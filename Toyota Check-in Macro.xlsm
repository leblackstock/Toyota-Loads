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IIS-1\Public\Users\Shared\Macros\"/>
    </mc:Choice>
  </mc:AlternateContent>
  <bookViews>
    <workbookView xWindow="0" yWindow="0" windowWidth="19440" windowHeight="9735"/>
  </bookViews>
  <sheets>
    <sheet name="MACRO" sheetId="17" r:id="rId1"/>
    <sheet name="DATA" sheetId="19" r:id="rId2"/>
    <sheet name="COVERPAGE" sheetId="18" r:id="rId3"/>
    <sheet name="PARTS" sheetId="10" r:id="rId4"/>
    <sheet name="UNLOAD" sheetId="13" r:id="rId5"/>
    <sheet name="PALLETS" sheetId="11" r:id="rId6"/>
    <sheet name="TOTALS" sheetId="8" r:id="rId7"/>
    <sheet name="PIVOT" sheetId="15" r:id="rId8"/>
    <sheet name="COD" sheetId="14" r:id="rId9"/>
    <sheet name="REFCE" sheetId="12" r:id="rId10"/>
    <sheet name="LOOKUP" sheetId="16" r:id="rId11"/>
    <sheet name="HANDLING" sheetId="20" r:id="rId12"/>
  </sheets>
  <definedNames>
    <definedName name="_xlnm._FilterDatabase" localSheetId="8" hidden="1">COD!$C$23:$J$38</definedName>
    <definedName name="_xlnm._FilterDatabase" localSheetId="10" hidden="1">LOOKUP!$A$1:$L$76</definedName>
    <definedName name="_xlnm._FilterDatabase" localSheetId="5" hidden="1">PALLETS!$A$1:$AG$97</definedName>
    <definedName name="_xlnm._FilterDatabase" localSheetId="6" hidden="1">TOTALS!$A$3:$I$229</definedName>
    <definedName name="_GoBack" localSheetId="2">COVERPAGE!$A$3</definedName>
    <definedName name="CITY">REFCE!$J:$J</definedName>
    <definedName name="LOCATION">REFCE!$I:$I</definedName>
    <definedName name="_xlnm.Print_Area" localSheetId="8">COD!$C$5:$O$55</definedName>
    <definedName name="_xlnm.Print_Area" localSheetId="2">COVERPAGE!$A$1:$D$20</definedName>
    <definedName name="_xlnm.Print_Area" localSheetId="5">PALLETS!$A$1:$AG$97</definedName>
    <definedName name="_xlnm.Print_Area" localSheetId="9">REFCE!$A$1:$F$88</definedName>
    <definedName name="_xlnm.Print_Area" localSheetId="6">TOTALS!$A$1:$I$77</definedName>
    <definedName name="_xlnm.Print_Area" localSheetId="4">UNLOAD!$A$1:$F$52</definedName>
    <definedName name="_xlnm.Print_Titles" localSheetId="5">PALLETS!$A:$A</definedName>
    <definedName name="_xlnm.Print_Titles" localSheetId="7">PIVOT!$1:$5</definedName>
    <definedName name="_xlnm.Print_Titles" localSheetId="9">REFCE!$1:$1</definedName>
    <definedName name="_xlnm.Print_Titles" localSheetId="6">TOTALS!$1:$3</definedName>
    <definedName name="_xlnm.Print_Titles" localSheetId="4">UNLOAD!$2:$2</definedName>
  </definedNames>
  <calcPr calcId="152511"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9" i="8" l="1"/>
  <c r="A69" i="8"/>
  <c r="G2" i="12" l="1"/>
  <c r="F25" i="14" l="1"/>
  <c r="H78" i="8" l="1"/>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806" i="8"/>
  <c r="H807" i="8"/>
  <c r="H808" i="8"/>
  <c r="H809" i="8"/>
  <c r="H810" i="8"/>
  <c r="H811" i="8"/>
  <c r="H812" i="8"/>
  <c r="H813" i="8"/>
  <c r="H814" i="8"/>
  <c r="H815" i="8"/>
  <c r="H816" i="8"/>
  <c r="H817" i="8"/>
  <c r="H818" i="8"/>
  <c r="H819" i="8"/>
  <c r="H820" i="8"/>
  <c r="H821" i="8"/>
  <c r="H822" i="8"/>
  <c r="H823" i="8"/>
  <c r="H824" i="8"/>
  <c r="H825" i="8"/>
  <c r="H826" i="8"/>
  <c r="H827" i="8"/>
  <c r="H828" i="8"/>
  <c r="H829" i="8"/>
  <c r="H830" i="8"/>
  <c r="H831" i="8"/>
  <c r="H832" i="8"/>
  <c r="H833" i="8"/>
  <c r="H834" i="8"/>
  <c r="H835" i="8"/>
  <c r="H836" i="8"/>
  <c r="H837" i="8"/>
  <c r="H838" i="8"/>
  <c r="H839" i="8"/>
  <c r="H840" i="8"/>
  <c r="H841" i="8"/>
  <c r="H842" i="8"/>
  <c r="H843" i="8"/>
  <c r="H844" i="8"/>
  <c r="H845" i="8"/>
  <c r="H846" i="8"/>
  <c r="H847" i="8"/>
  <c r="H848" i="8"/>
  <c r="H849" i="8"/>
  <c r="H850" i="8"/>
  <c r="H851" i="8"/>
  <c r="H852" i="8"/>
  <c r="H853" i="8"/>
  <c r="H854" i="8"/>
  <c r="H855" i="8"/>
  <c r="H856" i="8"/>
  <c r="H857" i="8"/>
  <c r="H858" i="8"/>
  <c r="H859" i="8"/>
  <c r="H860" i="8"/>
  <c r="H861" i="8"/>
  <c r="H862" i="8"/>
  <c r="H863" i="8"/>
  <c r="H864" i="8"/>
  <c r="H865" i="8"/>
  <c r="H866" i="8"/>
  <c r="H867" i="8"/>
  <c r="H868" i="8"/>
  <c r="H869" i="8"/>
  <c r="H870" i="8"/>
  <c r="H871" i="8"/>
  <c r="H872" i="8"/>
  <c r="H873" i="8"/>
  <c r="H874" i="8"/>
  <c r="H875" i="8"/>
  <c r="H876" i="8"/>
  <c r="H877" i="8"/>
  <c r="H878" i="8"/>
  <c r="H879" i="8"/>
  <c r="H880" i="8"/>
  <c r="H881" i="8"/>
  <c r="H882" i="8"/>
  <c r="H883" i="8"/>
  <c r="H884" i="8"/>
  <c r="H885" i="8"/>
  <c r="H886" i="8"/>
  <c r="H887" i="8"/>
  <c r="H888" i="8"/>
  <c r="H889" i="8"/>
  <c r="H890" i="8"/>
  <c r="H891" i="8"/>
  <c r="H892" i="8"/>
  <c r="H893" i="8"/>
  <c r="H894" i="8"/>
  <c r="H895" i="8"/>
  <c r="H896" i="8"/>
  <c r="H897" i="8"/>
  <c r="H898" i="8"/>
  <c r="H899" i="8"/>
  <c r="H900" i="8"/>
  <c r="H901" i="8"/>
  <c r="H902" i="8"/>
  <c r="H903" i="8"/>
  <c r="H904" i="8"/>
  <c r="H905" i="8"/>
  <c r="H906" i="8"/>
  <c r="H907" i="8"/>
  <c r="H908" i="8"/>
  <c r="H909" i="8"/>
  <c r="H910" i="8"/>
  <c r="H911" i="8"/>
  <c r="H912" i="8"/>
  <c r="H913" i="8"/>
  <c r="H914" i="8"/>
  <c r="H915" i="8"/>
  <c r="H916" i="8"/>
  <c r="H917" i="8"/>
  <c r="H918" i="8"/>
  <c r="H919" i="8"/>
  <c r="H920" i="8"/>
  <c r="H921" i="8"/>
  <c r="H922" i="8"/>
  <c r="H923" i="8"/>
  <c r="H924" i="8"/>
  <c r="H925" i="8"/>
  <c r="H926" i="8"/>
  <c r="H927" i="8"/>
  <c r="H928" i="8"/>
  <c r="H929" i="8"/>
  <c r="H930" i="8"/>
  <c r="H931" i="8"/>
  <c r="H932" i="8"/>
  <c r="H933" i="8"/>
  <c r="H934" i="8"/>
  <c r="H935" i="8"/>
  <c r="H936" i="8"/>
  <c r="H937" i="8"/>
  <c r="H938" i="8"/>
  <c r="H939" i="8"/>
  <c r="H940" i="8"/>
  <c r="H941" i="8"/>
  <c r="H942" i="8"/>
  <c r="H943" i="8"/>
  <c r="H944" i="8"/>
  <c r="H945" i="8"/>
  <c r="H946" i="8"/>
  <c r="H947" i="8"/>
  <c r="H948" i="8"/>
  <c r="H949" i="8"/>
  <c r="H950" i="8"/>
  <c r="H951" i="8"/>
  <c r="H952" i="8"/>
  <c r="H953" i="8"/>
  <c r="H954" i="8"/>
  <c r="H955" i="8"/>
  <c r="H956" i="8"/>
  <c r="H957" i="8"/>
  <c r="H958" i="8"/>
  <c r="H959" i="8"/>
  <c r="H960" i="8"/>
  <c r="H961" i="8"/>
  <c r="H962" i="8"/>
  <c r="H963" i="8"/>
  <c r="H964" i="8"/>
  <c r="H965" i="8"/>
  <c r="H966" i="8"/>
  <c r="H967" i="8"/>
  <c r="H968" i="8"/>
  <c r="H969" i="8"/>
  <c r="H970" i="8"/>
  <c r="H971" i="8"/>
  <c r="H972" i="8"/>
  <c r="H973" i="8"/>
  <c r="H974" i="8"/>
  <c r="H975" i="8"/>
  <c r="H976" i="8"/>
  <c r="H977" i="8"/>
  <c r="H978" i="8"/>
  <c r="H979" i="8"/>
  <c r="H980" i="8"/>
  <c r="H981" i="8"/>
  <c r="H982" i="8"/>
  <c r="H983" i="8"/>
  <c r="H984" i="8"/>
  <c r="H985" i="8"/>
  <c r="H986" i="8"/>
  <c r="H987" i="8"/>
  <c r="H988" i="8"/>
  <c r="H989" i="8"/>
  <c r="H990" i="8"/>
  <c r="H991" i="8"/>
  <c r="H992" i="8"/>
  <c r="H993" i="8"/>
  <c r="H994" i="8"/>
  <c r="H995" i="8"/>
  <c r="H996" i="8"/>
  <c r="H997" i="8"/>
  <c r="H998" i="8"/>
  <c r="H999" i="8"/>
  <c r="H1000" i="8"/>
  <c r="H1001" i="8"/>
  <c r="H1002" i="8"/>
  <c r="H1003" i="8"/>
  <c r="H1004" i="8"/>
  <c r="H1005" i="8"/>
  <c r="H1006" i="8"/>
  <c r="H1007" i="8"/>
  <c r="H1008" i="8"/>
  <c r="H1009" i="8"/>
  <c r="H1010" i="8"/>
  <c r="H1011" i="8"/>
  <c r="H1012" i="8"/>
  <c r="H1013" i="8"/>
  <c r="H1014" i="8"/>
  <c r="H1015" i="8"/>
  <c r="H1016" i="8"/>
  <c r="H1017" i="8"/>
  <c r="H1018" i="8"/>
  <c r="H1019" i="8"/>
  <c r="H1020" i="8"/>
  <c r="H1021" i="8"/>
  <c r="H1022" i="8"/>
  <c r="H1023" i="8"/>
  <c r="H1024" i="8"/>
  <c r="H1025" i="8"/>
  <c r="H1026" i="8"/>
  <c r="H1027" i="8"/>
  <c r="H1028" i="8"/>
  <c r="H1029" i="8"/>
  <c r="H1030" i="8"/>
  <c r="H1031" i="8"/>
  <c r="H1032" i="8"/>
  <c r="H1033" i="8"/>
  <c r="H1034" i="8"/>
  <c r="H1035" i="8"/>
  <c r="H1036" i="8"/>
  <c r="H1037" i="8"/>
  <c r="H1038" i="8"/>
  <c r="H1039" i="8"/>
  <c r="H1040" i="8"/>
  <c r="H1041" i="8"/>
  <c r="H1042" i="8"/>
  <c r="H1043" i="8"/>
  <c r="H1044" i="8"/>
  <c r="H1045" i="8"/>
  <c r="H1046" i="8"/>
  <c r="H1047" i="8"/>
  <c r="H1048" i="8"/>
  <c r="H1049" i="8"/>
  <c r="H1050" i="8"/>
  <c r="H1051" i="8"/>
  <c r="H1052" i="8"/>
  <c r="H1053" i="8"/>
  <c r="H1054" i="8"/>
  <c r="H1055" i="8"/>
  <c r="H1056" i="8"/>
  <c r="H1057" i="8"/>
  <c r="H1058" i="8"/>
  <c r="H1059" i="8"/>
  <c r="H1060" i="8"/>
  <c r="H1061" i="8"/>
  <c r="H1062" i="8"/>
  <c r="H1063" i="8"/>
  <c r="H1064" i="8"/>
  <c r="H1065" i="8"/>
  <c r="H1066" i="8"/>
  <c r="H1067" i="8"/>
  <c r="H1068" i="8"/>
  <c r="H1069" i="8"/>
  <c r="H1070" i="8"/>
  <c r="H1071" i="8"/>
  <c r="H1072" i="8"/>
  <c r="H1073" i="8"/>
  <c r="H1074" i="8"/>
  <c r="H1075" i="8"/>
  <c r="H1076" i="8"/>
  <c r="H1077" i="8"/>
  <c r="H1078" i="8"/>
  <c r="H1079" i="8"/>
  <c r="H1080" i="8"/>
  <c r="H1081" i="8"/>
  <c r="H1082" i="8"/>
  <c r="H1083" i="8"/>
  <c r="H1084" i="8"/>
  <c r="H1085" i="8"/>
  <c r="H1086" i="8"/>
  <c r="H1087" i="8"/>
  <c r="H1088" i="8"/>
  <c r="H1089" i="8"/>
  <c r="H1090" i="8"/>
  <c r="H1091" i="8"/>
  <c r="H1092" i="8"/>
  <c r="H1093" i="8"/>
  <c r="H1094" i="8"/>
  <c r="H1095" i="8"/>
  <c r="H1096" i="8"/>
  <c r="H1097" i="8"/>
  <c r="H1098" i="8"/>
  <c r="H1099" i="8"/>
  <c r="H1100" i="8"/>
  <c r="H1101" i="8"/>
  <c r="H1102" i="8"/>
  <c r="H1103" i="8"/>
  <c r="H1104" i="8"/>
  <c r="H1105" i="8"/>
  <c r="H1106" i="8"/>
  <c r="H1107" i="8"/>
  <c r="H1108" i="8"/>
  <c r="H1109" i="8"/>
  <c r="H1110" i="8"/>
  <c r="H1111" i="8"/>
  <c r="H1112" i="8"/>
  <c r="H1113" i="8"/>
  <c r="H1114" i="8"/>
  <c r="H1115" i="8"/>
  <c r="H1116" i="8"/>
  <c r="H1117" i="8"/>
  <c r="H1118" i="8"/>
  <c r="H1119" i="8"/>
  <c r="H1120" i="8"/>
  <c r="H1121" i="8"/>
  <c r="H1122" i="8"/>
  <c r="H1123" i="8"/>
  <c r="H1124" i="8"/>
  <c r="H1125" i="8"/>
  <c r="H1126" i="8"/>
  <c r="H1127" i="8"/>
  <c r="H1128" i="8"/>
  <c r="H1129" i="8"/>
  <c r="H1130" i="8"/>
  <c r="H1131" i="8"/>
  <c r="H1132" i="8"/>
  <c r="H1133" i="8"/>
  <c r="H1134" i="8"/>
  <c r="H1135" i="8"/>
  <c r="H1136" i="8"/>
  <c r="H1137" i="8"/>
  <c r="H1138" i="8"/>
  <c r="H1139" i="8"/>
  <c r="H1140" i="8"/>
  <c r="H1141" i="8"/>
  <c r="H1142" i="8"/>
  <c r="H1143" i="8"/>
  <c r="H1144" i="8"/>
  <c r="H1145" i="8"/>
  <c r="H1146" i="8"/>
  <c r="H1147" i="8"/>
  <c r="H1148" i="8"/>
  <c r="H1149" i="8"/>
  <c r="H1150" i="8"/>
  <c r="H1151" i="8"/>
  <c r="H1152" i="8"/>
  <c r="H1153" i="8"/>
  <c r="H1154" i="8"/>
  <c r="H1155" i="8"/>
  <c r="H1156" i="8"/>
  <c r="H1157" i="8"/>
  <c r="H1158" i="8"/>
  <c r="H1159" i="8"/>
  <c r="H1160" i="8"/>
  <c r="H1161" i="8"/>
  <c r="H1162" i="8"/>
  <c r="H1163" i="8"/>
  <c r="H1164" i="8"/>
  <c r="H1165" i="8"/>
  <c r="H1166" i="8"/>
  <c r="H1167" i="8"/>
  <c r="H1168" i="8"/>
  <c r="H1169" i="8"/>
  <c r="H1170" i="8"/>
  <c r="H1171" i="8"/>
  <c r="H1172" i="8"/>
  <c r="H1173" i="8"/>
  <c r="H1174" i="8"/>
  <c r="H1175" i="8"/>
  <c r="H1176" i="8"/>
  <c r="H1177" i="8"/>
  <c r="H1178" i="8"/>
  <c r="H1179" i="8"/>
  <c r="H1180" i="8"/>
  <c r="H1181" i="8"/>
  <c r="H1182" i="8"/>
  <c r="H1183" i="8"/>
  <c r="H1184" i="8"/>
  <c r="H1185" i="8"/>
  <c r="H1186" i="8"/>
  <c r="H1187" i="8"/>
  <c r="H1188" i="8"/>
  <c r="H1189" i="8"/>
  <c r="H1190" i="8"/>
  <c r="H1191" i="8"/>
  <c r="H1192" i="8"/>
  <c r="H1193" i="8"/>
  <c r="H1194" i="8"/>
  <c r="H1195" i="8"/>
  <c r="H1196" i="8"/>
  <c r="H1197" i="8"/>
  <c r="H1198" i="8"/>
  <c r="H1199" i="8"/>
  <c r="H1200" i="8"/>
  <c r="H1201" i="8"/>
  <c r="H1202" i="8"/>
  <c r="H1203" i="8"/>
  <c r="H1204" i="8"/>
  <c r="H1205" i="8"/>
  <c r="H1206" i="8"/>
  <c r="H1207" i="8"/>
  <c r="H1208" i="8"/>
  <c r="H1209" i="8"/>
  <c r="H1210" i="8"/>
  <c r="H1211" i="8"/>
  <c r="H1212" i="8"/>
  <c r="H1213" i="8"/>
  <c r="H1214" i="8"/>
  <c r="H1215" i="8"/>
  <c r="H1216" i="8"/>
  <c r="H1217" i="8"/>
  <c r="H1218" i="8"/>
  <c r="H1219" i="8"/>
  <c r="H1220" i="8"/>
  <c r="H1221" i="8"/>
  <c r="H1222" i="8"/>
  <c r="H1223" i="8"/>
  <c r="H1224" i="8"/>
  <c r="H1225" i="8"/>
  <c r="H1226" i="8"/>
  <c r="H1227" i="8"/>
  <c r="H1228" i="8"/>
  <c r="H1229" i="8"/>
  <c r="H1230" i="8"/>
  <c r="H1231" i="8"/>
  <c r="H1232" i="8"/>
  <c r="H1233" i="8"/>
  <c r="H1234" i="8"/>
  <c r="H1235" i="8"/>
  <c r="H1236" i="8"/>
  <c r="H1237" i="8"/>
  <c r="H1238" i="8"/>
  <c r="H1239" i="8"/>
  <c r="H1240" i="8"/>
  <c r="H1241" i="8"/>
  <c r="H1242" i="8"/>
  <c r="H1243" i="8"/>
  <c r="H1244" i="8"/>
  <c r="H1245" i="8"/>
  <c r="H1246" i="8"/>
  <c r="H1247" i="8"/>
  <c r="H1248" i="8"/>
  <c r="H1249" i="8"/>
  <c r="H1250" i="8"/>
  <c r="H1251" i="8"/>
  <c r="H1252" i="8"/>
  <c r="H1253" i="8"/>
  <c r="H1254" i="8"/>
  <c r="H1255" i="8"/>
  <c r="H1256" i="8"/>
  <c r="H1257" i="8"/>
  <c r="H1258" i="8"/>
  <c r="H1259" i="8"/>
  <c r="H1260" i="8"/>
  <c r="H1261" i="8"/>
  <c r="H1262" i="8"/>
  <c r="H1263" i="8"/>
  <c r="H1264" i="8"/>
  <c r="H1265" i="8"/>
  <c r="H1266" i="8"/>
  <c r="H1267" i="8"/>
  <c r="H1268" i="8"/>
  <c r="H1269" i="8"/>
  <c r="H1270" i="8"/>
  <c r="H1271" i="8"/>
  <c r="H1272" i="8"/>
  <c r="H1273" i="8"/>
  <c r="H1274" i="8"/>
  <c r="H1275" i="8"/>
  <c r="H1276" i="8"/>
  <c r="H1277" i="8"/>
  <c r="H1278" i="8"/>
  <c r="H1279" i="8"/>
  <c r="H1280" i="8"/>
  <c r="H1281" i="8"/>
  <c r="H1282" i="8"/>
  <c r="H1283" i="8"/>
  <c r="H1284" i="8"/>
  <c r="H1285" i="8"/>
  <c r="H1286" i="8"/>
  <c r="H1287" i="8"/>
  <c r="H1288" i="8"/>
  <c r="H1289" i="8"/>
  <c r="H1290" i="8"/>
  <c r="H1291" i="8"/>
  <c r="H1292" i="8"/>
  <c r="H1293" i="8"/>
  <c r="H1294" i="8"/>
  <c r="H1295" i="8"/>
  <c r="H1296" i="8"/>
  <c r="H1297" i="8"/>
  <c r="H1298" i="8"/>
  <c r="H1299" i="8"/>
  <c r="H1300" i="8"/>
  <c r="H1301" i="8"/>
  <c r="H1302" i="8"/>
  <c r="H1303" i="8"/>
  <c r="H1304" i="8"/>
  <c r="H1305" i="8"/>
  <c r="H1306" i="8"/>
  <c r="H1307" i="8"/>
  <c r="H1308" i="8"/>
  <c r="H1309" i="8"/>
  <c r="H1310" i="8"/>
  <c r="H1311" i="8"/>
  <c r="H1312" i="8"/>
  <c r="H1313" i="8"/>
  <c r="H1314" i="8"/>
  <c r="H1315" i="8"/>
  <c r="H1316" i="8"/>
  <c r="H1317" i="8"/>
  <c r="H1318" i="8"/>
  <c r="H1319" i="8"/>
  <c r="H1320" i="8"/>
  <c r="H1321" i="8"/>
  <c r="H1322" i="8"/>
  <c r="H1323" i="8"/>
  <c r="H1324" i="8"/>
  <c r="H1325" i="8"/>
  <c r="H1326" i="8"/>
  <c r="H1327" i="8"/>
  <c r="H1328" i="8"/>
  <c r="H1329" i="8"/>
  <c r="H1330" i="8"/>
  <c r="H1331" i="8"/>
  <c r="H1332" i="8"/>
  <c r="H1333" i="8"/>
  <c r="H1334" i="8"/>
  <c r="H1335" i="8"/>
  <c r="H1336" i="8"/>
  <c r="H1337" i="8"/>
  <c r="H1338" i="8"/>
  <c r="H1339" i="8"/>
  <c r="H1340" i="8"/>
  <c r="H1341" i="8"/>
  <c r="H1342" i="8"/>
  <c r="H1343" i="8"/>
  <c r="H1344" i="8"/>
  <c r="H1345" i="8"/>
  <c r="H1346" i="8"/>
  <c r="H1347" i="8"/>
  <c r="H1348" i="8"/>
  <c r="H1349" i="8"/>
  <c r="H1350" i="8"/>
  <c r="H1351" i="8"/>
  <c r="H1352" i="8"/>
  <c r="H1353" i="8"/>
  <c r="H1354" i="8"/>
  <c r="H1355" i="8"/>
  <c r="H1356" i="8"/>
  <c r="H1357" i="8"/>
  <c r="H1358" i="8"/>
  <c r="H1359" i="8"/>
  <c r="H1360" i="8"/>
  <c r="H1361" i="8"/>
  <c r="H1362" i="8"/>
  <c r="H1363" i="8"/>
  <c r="H1364" i="8"/>
  <c r="H1365" i="8"/>
  <c r="H1366" i="8"/>
  <c r="H1367" i="8"/>
  <c r="H1368" i="8"/>
  <c r="H1369" i="8"/>
  <c r="H1370" i="8"/>
  <c r="H1371" i="8"/>
  <c r="H1372" i="8"/>
  <c r="H1373" i="8"/>
  <c r="H1374" i="8"/>
  <c r="H1375" i="8"/>
  <c r="H1376" i="8"/>
  <c r="H1377" i="8"/>
  <c r="H1378" i="8"/>
  <c r="H1379" i="8"/>
  <c r="H1380" i="8"/>
  <c r="H1381" i="8"/>
  <c r="H1382" i="8"/>
  <c r="H1383" i="8"/>
  <c r="H1384" i="8"/>
  <c r="H1385" i="8"/>
  <c r="H1386" i="8"/>
  <c r="H1387" i="8"/>
  <c r="H1388" i="8"/>
  <c r="H1389" i="8"/>
  <c r="H1390" i="8"/>
  <c r="H1391" i="8"/>
  <c r="H1392" i="8"/>
  <c r="H1393" i="8"/>
  <c r="H1394" i="8"/>
  <c r="H1395" i="8"/>
  <c r="H1396" i="8"/>
  <c r="H1397" i="8"/>
  <c r="H1398" i="8"/>
  <c r="H1399" i="8"/>
  <c r="H1400" i="8"/>
  <c r="H1401" i="8"/>
  <c r="H1402" i="8"/>
  <c r="H1403" i="8"/>
  <c r="H1404" i="8"/>
  <c r="H1405" i="8"/>
  <c r="H1406" i="8"/>
  <c r="H1407" i="8"/>
  <c r="H1408" i="8"/>
  <c r="H1409" i="8"/>
  <c r="H1410" i="8"/>
  <c r="H1411" i="8"/>
  <c r="H1412" i="8"/>
  <c r="H1413" i="8"/>
  <c r="H1414" i="8"/>
  <c r="H1415" i="8"/>
  <c r="H1416" i="8"/>
  <c r="H1417" i="8"/>
  <c r="H1418" i="8"/>
  <c r="H1419" i="8"/>
  <c r="H1420" i="8"/>
  <c r="H1421" i="8"/>
  <c r="H1422" i="8"/>
  <c r="H1423" i="8"/>
  <c r="H1424" i="8"/>
  <c r="H1425" i="8"/>
  <c r="H1426" i="8"/>
  <c r="H1427" i="8"/>
  <c r="H1428" i="8"/>
  <c r="H1429" i="8"/>
  <c r="H1430" i="8"/>
  <c r="H1431" i="8"/>
  <c r="H1432" i="8"/>
  <c r="H1433" i="8"/>
  <c r="H1434" i="8"/>
  <c r="H1435" i="8"/>
  <c r="H1436" i="8"/>
  <c r="H1437" i="8"/>
  <c r="H1438" i="8"/>
  <c r="H1439" i="8"/>
  <c r="H1440" i="8"/>
  <c r="H1441" i="8"/>
  <c r="H1442" i="8"/>
  <c r="H1443" i="8"/>
  <c r="H1444" i="8"/>
  <c r="H1445" i="8"/>
  <c r="H1446" i="8"/>
  <c r="H1447" i="8"/>
  <c r="H1448" i="8"/>
  <c r="H1449" i="8"/>
  <c r="H1450" i="8"/>
  <c r="H1451" i="8"/>
  <c r="H1452" i="8"/>
  <c r="H1453" i="8"/>
  <c r="H1454" i="8"/>
  <c r="H1455" i="8"/>
  <c r="H1456" i="8"/>
  <c r="H1457" i="8"/>
  <c r="H1458" i="8"/>
  <c r="H1459" i="8"/>
  <c r="H1460" i="8"/>
  <c r="H1461" i="8"/>
  <c r="H1462" i="8"/>
  <c r="H1463" i="8"/>
  <c r="H1464" i="8"/>
  <c r="H1465" i="8"/>
  <c r="H1466" i="8"/>
  <c r="H1467" i="8"/>
  <c r="H1468" i="8"/>
  <c r="H1469" i="8"/>
  <c r="H1470" i="8"/>
  <c r="H1471" i="8"/>
  <c r="H1472" i="8"/>
  <c r="H1473" i="8"/>
  <c r="H1474" i="8"/>
  <c r="H1475" i="8"/>
  <c r="H1476" i="8"/>
  <c r="H1477" i="8"/>
  <c r="H1478" i="8"/>
  <c r="H1479" i="8"/>
  <c r="H1480" i="8"/>
  <c r="H1481" i="8"/>
  <c r="H1482" i="8"/>
  <c r="H1483" i="8"/>
  <c r="H1484" i="8"/>
  <c r="H1485" i="8"/>
  <c r="H1486" i="8"/>
  <c r="H1487" i="8"/>
  <c r="H1488" i="8"/>
  <c r="H1489" i="8"/>
  <c r="H1490" i="8"/>
  <c r="H1491" i="8"/>
  <c r="H1492" i="8"/>
  <c r="H1493" i="8"/>
  <c r="H1494" i="8"/>
  <c r="H1495" i="8"/>
  <c r="H1496" i="8"/>
  <c r="H1497" i="8"/>
  <c r="H1498" i="8"/>
  <c r="H1499" i="8"/>
  <c r="H1500" i="8"/>
  <c r="H1501" i="8"/>
  <c r="H1502" i="8"/>
  <c r="H1503" i="8"/>
  <c r="H1504" i="8"/>
  <c r="H1505" i="8"/>
  <c r="H1506" i="8"/>
  <c r="H1507" i="8"/>
  <c r="H1508" i="8"/>
  <c r="H1509" i="8"/>
  <c r="H1510" i="8"/>
  <c r="H1511" i="8"/>
  <c r="H1512" i="8"/>
  <c r="H1513" i="8"/>
  <c r="H1514" i="8"/>
  <c r="H1515" i="8"/>
  <c r="H1516" i="8"/>
  <c r="H1517" i="8"/>
  <c r="H1518" i="8"/>
  <c r="H1519" i="8"/>
  <c r="H1520" i="8"/>
  <c r="H1521" i="8"/>
  <c r="H1522" i="8"/>
  <c r="H1523" i="8"/>
  <c r="H1524" i="8"/>
  <c r="H1525" i="8"/>
  <c r="H1526" i="8"/>
  <c r="H1527" i="8"/>
  <c r="H1528" i="8"/>
  <c r="H1529" i="8"/>
  <c r="H1530" i="8"/>
  <c r="H1531" i="8"/>
  <c r="H1532" i="8"/>
  <c r="H1533" i="8"/>
  <c r="H1534" i="8"/>
  <c r="H1535" i="8"/>
  <c r="H1536" i="8"/>
  <c r="H1537" i="8"/>
  <c r="H1538" i="8"/>
  <c r="H1539" i="8"/>
  <c r="H1540" i="8"/>
  <c r="H1541" i="8"/>
  <c r="H1542" i="8"/>
  <c r="H1543" i="8"/>
  <c r="H1544" i="8"/>
  <c r="H1545" i="8"/>
  <c r="H1546" i="8"/>
  <c r="H1547" i="8"/>
  <c r="H1548" i="8"/>
  <c r="H1549" i="8"/>
  <c r="H1550" i="8"/>
  <c r="H1551" i="8"/>
  <c r="H1552" i="8"/>
  <c r="H1553" i="8"/>
  <c r="H1554" i="8"/>
  <c r="H1555" i="8"/>
  <c r="H1556" i="8"/>
  <c r="H1557" i="8"/>
  <c r="H1558" i="8"/>
  <c r="H1559" i="8"/>
  <c r="H1560" i="8"/>
  <c r="H1561" i="8"/>
  <c r="H1562" i="8"/>
  <c r="H1563" i="8"/>
  <c r="H1564" i="8"/>
  <c r="H1565" i="8"/>
  <c r="H1566" i="8"/>
  <c r="H1567" i="8"/>
  <c r="H1568" i="8"/>
  <c r="H1569" i="8"/>
  <c r="H1570" i="8"/>
  <c r="H1571" i="8"/>
  <c r="H1572" i="8"/>
  <c r="H1573" i="8"/>
  <c r="H1574" i="8"/>
  <c r="H1575" i="8"/>
  <c r="H1576" i="8"/>
  <c r="H1577" i="8"/>
  <c r="H1578" i="8"/>
  <c r="H1579" i="8"/>
  <c r="H1580" i="8"/>
  <c r="H1581" i="8"/>
  <c r="H1582" i="8"/>
  <c r="H1583" i="8"/>
  <c r="H1584" i="8"/>
  <c r="H1585" i="8"/>
  <c r="H1586" i="8"/>
  <c r="H1587" i="8"/>
  <c r="H1588" i="8"/>
  <c r="H1589" i="8"/>
  <c r="H1590" i="8"/>
  <c r="H1591" i="8"/>
  <c r="H1592" i="8"/>
  <c r="H1593" i="8"/>
  <c r="H1594" i="8"/>
  <c r="H1595" i="8"/>
  <c r="H1596" i="8"/>
  <c r="H1597" i="8"/>
  <c r="H1598" i="8"/>
  <c r="H1599" i="8"/>
  <c r="H1600" i="8"/>
  <c r="H1601" i="8"/>
  <c r="H1602" i="8"/>
  <c r="H1603" i="8"/>
  <c r="H1604" i="8"/>
  <c r="H1605" i="8"/>
  <c r="H1606" i="8"/>
  <c r="H1607" i="8"/>
  <c r="H1608" i="8"/>
  <c r="H1609" i="8"/>
  <c r="H1610" i="8"/>
  <c r="H1611" i="8"/>
  <c r="H1612" i="8"/>
  <c r="H1613" i="8"/>
  <c r="H1614" i="8"/>
  <c r="H1615" i="8"/>
  <c r="H1616" i="8"/>
  <c r="H1617" i="8"/>
  <c r="H1618" i="8"/>
  <c r="H1619" i="8"/>
  <c r="H1620" i="8"/>
  <c r="H1621" i="8"/>
  <c r="H1622" i="8"/>
  <c r="H1623" i="8"/>
  <c r="H1624" i="8"/>
  <c r="H1625" i="8"/>
  <c r="H1626" i="8"/>
  <c r="H1627" i="8"/>
  <c r="H1628" i="8"/>
  <c r="H1629" i="8"/>
  <c r="H1630" i="8"/>
  <c r="H1631" i="8"/>
  <c r="H1632" i="8"/>
  <c r="H1633" i="8"/>
  <c r="H1634" i="8"/>
  <c r="H1635" i="8"/>
  <c r="H1636" i="8"/>
  <c r="H1637" i="8"/>
  <c r="H1638" i="8"/>
  <c r="H1639" i="8"/>
  <c r="H1640" i="8"/>
  <c r="H1641" i="8"/>
  <c r="H1642" i="8"/>
  <c r="H1643" i="8"/>
  <c r="H1644" i="8"/>
  <c r="H1645" i="8"/>
  <c r="H1646" i="8"/>
  <c r="H1647" i="8"/>
  <c r="H1648" i="8"/>
  <c r="H1649" i="8"/>
  <c r="H1650" i="8"/>
  <c r="H1651" i="8"/>
  <c r="H1652" i="8"/>
  <c r="H1653" i="8"/>
  <c r="H1654" i="8"/>
  <c r="H1655" i="8"/>
  <c r="H1656" i="8"/>
  <c r="H1657" i="8"/>
  <c r="H1658" i="8"/>
  <c r="H1659" i="8"/>
  <c r="H1660" i="8"/>
  <c r="H1661" i="8"/>
  <c r="H1662" i="8"/>
  <c r="H1663" i="8"/>
  <c r="H1664" i="8"/>
  <c r="H1665" i="8"/>
  <c r="H1666" i="8"/>
  <c r="H1667" i="8"/>
  <c r="H1668" i="8"/>
  <c r="H1669" i="8"/>
  <c r="H1670" i="8"/>
  <c r="H1671" i="8"/>
  <c r="H1672" i="8"/>
  <c r="H1673" i="8"/>
  <c r="H1674" i="8"/>
  <c r="H1675" i="8"/>
  <c r="H1676" i="8"/>
  <c r="H1677" i="8"/>
  <c r="H1678" i="8"/>
  <c r="H1679" i="8"/>
  <c r="H1680" i="8"/>
  <c r="H1681" i="8"/>
  <c r="H1682" i="8"/>
  <c r="H1683" i="8"/>
  <c r="H1684" i="8"/>
  <c r="H1685" i="8"/>
  <c r="H1686" i="8"/>
  <c r="H1687" i="8"/>
  <c r="H1688" i="8"/>
  <c r="H1689" i="8"/>
  <c r="H1690" i="8"/>
  <c r="H1691" i="8"/>
  <c r="H1692" i="8"/>
  <c r="H1693" i="8"/>
  <c r="H1694" i="8"/>
  <c r="H1695" i="8"/>
  <c r="H1696" i="8"/>
  <c r="H1697" i="8"/>
  <c r="H1698" i="8"/>
  <c r="H1699" i="8"/>
  <c r="H1700" i="8"/>
  <c r="H1701" i="8"/>
  <c r="H1702" i="8"/>
  <c r="H1703" i="8"/>
  <c r="H1704" i="8"/>
  <c r="H1705" i="8"/>
  <c r="H1706" i="8"/>
  <c r="H1707" i="8"/>
  <c r="H1708" i="8"/>
  <c r="H1709" i="8"/>
  <c r="H1710" i="8"/>
  <c r="H1711" i="8"/>
  <c r="H1712" i="8"/>
  <c r="H1713" i="8"/>
  <c r="H1714" i="8"/>
  <c r="H1715" i="8"/>
  <c r="H1716" i="8"/>
  <c r="H1717" i="8"/>
  <c r="H1718" i="8"/>
  <c r="H1719" i="8"/>
  <c r="H1720" i="8"/>
  <c r="H1721" i="8"/>
  <c r="H1722" i="8"/>
  <c r="H1723" i="8"/>
  <c r="H1724" i="8"/>
  <c r="H1725" i="8"/>
  <c r="H1726" i="8"/>
  <c r="H1727" i="8"/>
  <c r="H1728" i="8"/>
  <c r="H1729" i="8"/>
  <c r="H1730" i="8"/>
  <c r="H1731" i="8"/>
  <c r="H1732" i="8"/>
  <c r="H1733" i="8"/>
  <c r="H1734" i="8"/>
  <c r="H1735" i="8"/>
  <c r="H1736" i="8"/>
  <c r="H1737" i="8"/>
  <c r="H1738" i="8"/>
  <c r="H1739" i="8"/>
  <c r="H1740" i="8"/>
  <c r="H1741" i="8"/>
  <c r="H1742" i="8"/>
  <c r="H1743" i="8"/>
  <c r="H1744" i="8"/>
  <c r="H1745" i="8"/>
  <c r="H1746" i="8"/>
  <c r="H1747" i="8"/>
  <c r="H1748" i="8"/>
  <c r="H1749" i="8"/>
  <c r="H1750" i="8"/>
  <c r="H1751" i="8"/>
  <c r="H1752" i="8"/>
  <c r="H1753" i="8"/>
  <c r="H1754" i="8"/>
  <c r="H1755" i="8"/>
  <c r="H1756" i="8"/>
  <c r="H1757" i="8"/>
  <c r="H1758" i="8"/>
  <c r="H1759" i="8"/>
  <c r="H1760" i="8"/>
  <c r="H1761" i="8"/>
  <c r="H1762" i="8"/>
  <c r="H1763" i="8"/>
  <c r="H1764" i="8"/>
  <c r="H1765" i="8"/>
  <c r="H1766" i="8"/>
  <c r="H1767" i="8"/>
  <c r="H1768" i="8"/>
  <c r="H1769" i="8"/>
  <c r="H1770" i="8"/>
  <c r="H1771" i="8"/>
  <c r="H1772" i="8"/>
  <c r="H1773" i="8"/>
  <c r="H1774" i="8"/>
  <c r="H1775" i="8"/>
  <c r="H1776" i="8"/>
  <c r="H1777" i="8"/>
  <c r="H1778" i="8"/>
  <c r="H1779" i="8"/>
  <c r="H1780" i="8"/>
  <c r="H1781" i="8"/>
  <c r="H1782" i="8"/>
  <c r="H1783" i="8"/>
  <c r="H1784" i="8"/>
  <c r="H1785" i="8"/>
  <c r="H1786" i="8"/>
  <c r="H1787" i="8"/>
  <c r="H1788" i="8"/>
  <c r="H1789" i="8"/>
  <c r="H1790" i="8"/>
  <c r="H1791" i="8"/>
  <c r="H1792" i="8"/>
  <c r="H1793" i="8"/>
  <c r="H1794" i="8"/>
  <c r="H1795" i="8"/>
  <c r="H1796" i="8"/>
  <c r="H1797" i="8"/>
  <c r="H1798" i="8"/>
  <c r="H1799" i="8"/>
  <c r="H1800" i="8"/>
  <c r="H1801" i="8"/>
  <c r="H1802" i="8"/>
  <c r="H1803" i="8"/>
  <c r="H1804" i="8"/>
  <c r="H1805" i="8"/>
  <c r="H1806" i="8"/>
  <c r="H1807" i="8"/>
  <c r="H1808" i="8"/>
  <c r="H1809" i="8"/>
  <c r="H1810" i="8"/>
  <c r="H1811" i="8"/>
  <c r="H1812" i="8"/>
  <c r="H1813" i="8"/>
  <c r="H1814" i="8"/>
  <c r="H1815" i="8"/>
  <c r="H1816" i="8"/>
  <c r="H1817" i="8"/>
  <c r="H1818" i="8"/>
  <c r="H1819" i="8"/>
  <c r="H1820" i="8"/>
  <c r="H1821" i="8"/>
  <c r="H1822" i="8"/>
  <c r="H1823" i="8"/>
  <c r="H1824" i="8"/>
  <c r="H1825" i="8"/>
  <c r="H1826" i="8"/>
  <c r="H1827" i="8"/>
  <c r="H1828" i="8"/>
  <c r="H1829" i="8"/>
  <c r="H1830" i="8"/>
  <c r="H1831" i="8"/>
  <c r="H1832" i="8"/>
  <c r="H1833" i="8"/>
  <c r="H1834" i="8"/>
  <c r="H1835" i="8"/>
  <c r="H1836" i="8"/>
  <c r="H1837" i="8"/>
  <c r="H1838" i="8"/>
  <c r="H1839" i="8"/>
  <c r="H1840" i="8"/>
  <c r="H1841" i="8"/>
  <c r="H1842" i="8"/>
  <c r="H1843" i="8"/>
  <c r="H1844" i="8"/>
  <c r="H1845" i="8"/>
  <c r="H1846" i="8"/>
  <c r="H1847" i="8"/>
  <c r="H1848" i="8"/>
  <c r="H1849" i="8"/>
  <c r="H1850" i="8"/>
  <c r="H1851" i="8"/>
  <c r="H1852" i="8"/>
  <c r="H1853" i="8"/>
  <c r="H1854" i="8"/>
  <c r="H1855" i="8"/>
  <c r="H1856" i="8"/>
  <c r="H1857" i="8"/>
  <c r="H1858" i="8"/>
  <c r="H1859" i="8"/>
  <c r="H1860" i="8"/>
  <c r="H1861" i="8"/>
  <c r="H1862" i="8"/>
  <c r="H1863" i="8"/>
  <c r="H1864" i="8"/>
  <c r="H1865" i="8"/>
  <c r="H1866" i="8"/>
  <c r="H1867" i="8"/>
  <c r="H1868" i="8"/>
  <c r="H1869" i="8"/>
  <c r="H1870" i="8"/>
  <c r="H1871" i="8"/>
  <c r="H1872" i="8"/>
  <c r="H1873" i="8"/>
  <c r="H1874" i="8"/>
  <c r="H1875" i="8"/>
  <c r="H1876" i="8"/>
  <c r="H1877" i="8"/>
  <c r="H1878" i="8"/>
  <c r="H1879" i="8"/>
  <c r="H1880" i="8"/>
  <c r="H1881" i="8"/>
  <c r="H1882" i="8"/>
  <c r="H1883" i="8"/>
  <c r="H1884" i="8"/>
  <c r="H1885" i="8"/>
  <c r="H1886" i="8"/>
  <c r="H1887" i="8"/>
  <c r="H1888" i="8"/>
  <c r="H1889" i="8"/>
  <c r="H1890" i="8"/>
  <c r="H1891" i="8"/>
  <c r="H1892" i="8"/>
  <c r="H1893" i="8"/>
  <c r="H1894" i="8"/>
  <c r="H1895" i="8"/>
  <c r="H1896" i="8"/>
  <c r="H1897" i="8"/>
  <c r="H1898" i="8"/>
  <c r="H1899" i="8"/>
  <c r="H1900" i="8"/>
  <c r="H1901" i="8"/>
  <c r="H1902" i="8"/>
  <c r="H1903" i="8"/>
  <c r="H1904" i="8"/>
  <c r="H1905" i="8"/>
  <c r="H1906" i="8"/>
  <c r="H1907" i="8"/>
  <c r="H1908" i="8"/>
  <c r="H1909" i="8"/>
  <c r="H1910" i="8"/>
  <c r="H1911" i="8"/>
  <c r="H1912" i="8"/>
  <c r="H1913" i="8"/>
  <c r="H1914" i="8"/>
  <c r="H1915" i="8"/>
  <c r="H1916" i="8"/>
  <c r="H1917" i="8"/>
  <c r="H1918" i="8"/>
  <c r="H1919" i="8"/>
  <c r="H1920" i="8"/>
  <c r="H1921" i="8"/>
  <c r="H1922" i="8"/>
  <c r="H1923" i="8"/>
  <c r="H1924" i="8"/>
  <c r="H1925" i="8"/>
  <c r="H1926" i="8"/>
  <c r="H1927" i="8"/>
  <c r="H1928" i="8"/>
  <c r="H1929" i="8"/>
  <c r="H1930" i="8"/>
  <c r="H1931" i="8"/>
  <c r="H1932" i="8"/>
  <c r="H1933" i="8"/>
  <c r="H1934" i="8"/>
  <c r="H1935" i="8"/>
  <c r="H1936" i="8"/>
  <c r="H1937" i="8"/>
  <c r="H1938" i="8"/>
  <c r="H1939" i="8"/>
  <c r="H1940" i="8"/>
  <c r="H1941" i="8"/>
  <c r="H1942" i="8"/>
  <c r="H1943" i="8"/>
  <c r="H1944" i="8"/>
  <c r="H1945" i="8"/>
  <c r="H1946" i="8"/>
  <c r="H1947" i="8"/>
  <c r="H1948" i="8"/>
  <c r="H1949" i="8"/>
  <c r="H1950" i="8"/>
  <c r="H1951" i="8"/>
  <c r="H1952" i="8"/>
  <c r="H1953" i="8"/>
  <c r="H1954" i="8"/>
  <c r="H1955" i="8"/>
  <c r="H1956" i="8"/>
  <c r="H1957" i="8"/>
  <c r="H1958" i="8"/>
  <c r="H1959" i="8"/>
  <c r="H1960" i="8"/>
  <c r="H1961" i="8"/>
  <c r="H1962" i="8"/>
  <c r="H1963" i="8"/>
  <c r="H1964" i="8"/>
  <c r="H1965" i="8"/>
  <c r="H1966" i="8"/>
  <c r="H1967" i="8"/>
  <c r="H1968" i="8"/>
  <c r="H1969" i="8"/>
  <c r="H1970" i="8"/>
  <c r="H1971" i="8"/>
  <c r="H1972" i="8"/>
  <c r="H1973" i="8"/>
  <c r="H1974" i="8"/>
  <c r="H1975" i="8"/>
  <c r="H1976" i="8"/>
  <c r="H1977" i="8"/>
  <c r="H1978" i="8"/>
  <c r="H1979" i="8"/>
  <c r="H1980" i="8"/>
  <c r="H1981" i="8"/>
  <c r="H1982" i="8"/>
  <c r="H1983" i="8"/>
  <c r="H1984" i="8"/>
  <c r="H1985" i="8"/>
  <c r="H1986" i="8"/>
  <c r="H1987" i="8"/>
  <c r="H1988" i="8"/>
  <c r="H1989" i="8"/>
  <c r="H1990" i="8"/>
  <c r="H1991" i="8"/>
  <c r="H1992" i="8"/>
  <c r="H1993" i="8"/>
  <c r="H1994" i="8"/>
  <c r="H1995" i="8"/>
  <c r="H1996" i="8"/>
  <c r="H1997" i="8"/>
  <c r="H1998" i="8"/>
  <c r="H1999" i="8"/>
  <c r="H2000" i="8"/>
  <c r="H2001" i="8"/>
  <c r="H2002" i="8"/>
  <c r="H77" i="8"/>
  <c r="A78" i="8"/>
  <c r="B78" i="8"/>
  <c r="C78" i="8"/>
  <c r="D78" i="8"/>
  <c r="A79" i="8"/>
  <c r="B79" i="8"/>
  <c r="C79" i="8"/>
  <c r="D79" i="8"/>
  <c r="A80" i="8"/>
  <c r="B80" i="8"/>
  <c r="C80" i="8"/>
  <c r="D80" i="8"/>
  <c r="A81" i="8"/>
  <c r="B81" i="8"/>
  <c r="C81" i="8"/>
  <c r="D81" i="8"/>
  <c r="A82" i="8"/>
  <c r="B82" i="8"/>
  <c r="C82" i="8"/>
  <c r="D82" i="8"/>
  <c r="A83" i="8"/>
  <c r="B83" i="8"/>
  <c r="C83" i="8"/>
  <c r="D83" i="8"/>
  <c r="A84" i="8"/>
  <c r="B84" i="8"/>
  <c r="C84" i="8"/>
  <c r="D84" i="8"/>
  <c r="A85" i="8"/>
  <c r="B85" i="8"/>
  <c r="C85" i="8"/>
  <c r="D85" i="8"/>
  <c r="A86" i="8"/>
  <c r="B86" i="8"/>
  <c r="C86" i="8"/>
  <c r="D86" i="8"/>
  <c r="A87" i="8"/>
  <c r="B87" i="8"/>
  <c r="C87" i="8"/>
  <c r="D87" i="8"/>
  <c r="A88" i="8"/>
  <c r="B88" i="8"/>
  <c r="C88" i="8"/>
  <c r="D88" i="8"/>
  <c r="A89" i="8"/>
  <c r="B89" i="8"/>
  <c r="C89" i="8"/>
  <c r="D89" i="8"/>
  <c r="A90" i="8"/>
  <c r="B90" i="8"/>
  <c r="C90" i="8"/>
  <c r="D90" i="8"/>
  <c r="A91" i="8"/>
  <c r="B91" i="8"/>
  <c r="C91" i="8"/>
  <c r="D91" i="8"/>
  <c r="A92" i="8"/>
  <c r="B92" i="8"/>
  <c r="C92" i="8"/>
  <c r="D92" i="8"/>
  <c r="A93" i="8"/>
  <c r="B93" i="8"/>
  <c r="C93" i="8"/>
  <c r="D93" i="8"/>
  <c r="A94" i="8"/>
  <c r="B94" i="8"/>
  <c r="C94" i="8"/>
  <c r="D94" i="8"/>
  <c r="A95" i="8"/>
  <c r="B95" i="8"/>
  <c r="C95" i="8"/>
  <c r="D95" i="8"/>
  <c r="A96" i="8"/>
  <c r="B96" i="8"/>
  <c r="C96" i="8"/>
  <c r="D96" i="8"/>
  <c r="A97" i="8"/>
  <c r="B97" i="8"/>
  <c r="C97" i="8"/>
  <c r="D97" i="8"/>
  <c r="A98" i="8"/>
  <c r="B98" i="8"/>
  <c r="C98" i="8"/>
  <c r="D98" i="8"/>
  <c r="A99" i="8"/>
  <c r="B99" i="8"/>
  <c r="C99" i="8"/>
  <c r="D99" i="8"/>
  <c r="A100" i="8"/>
  <c r="B100" i="8"/>
  <c r="C100" i="8"/>
  <c r="D100" i="8"/>
  <c r="A101" i="8"/>
  <c r="B101" i="8"/>
  <c r="C101" i="8"/>
  <c r="D101" i="8"/>
  <c r="A102" i="8"/>
  <c r="B102" i="8"/>
  <c r="C102" i="8"/>
  <c r="D102" i="8"/>
  <c r="A103" i="8"/>
  <c r="B103" i="8"/>
  <c r="C103" i="8"/>
  <c r="D103" i="8"/>
  <c r="A104" i="8"/>
  <c r="B104" i="8"/>
  <c r="C104" i="8"/>
  <c r="D104" i="8"/>
  <c r="A105" i="8"/>
  <c r="B105" i="8"/>
  <c r="C105" i="8"/>
  <c r="D105" i="8"/>
  <c r="A106" i="8"/>
  <c r="B106" i="8"/>
  <c r="C106" i="8"/>
  <c r="D106" i="8"/>
  <c r="A107" i="8"/>
  <c r="B107" i="8"/>
  <c r="C107" i="8"/>
  <c r="D107" i="8"/>
  <c r="A108" i="8"/>
  <c r="B108" i="8"/>
  <c r="C108" i="8"/>
  <c r="D108" i="8"/>
  <c r="A109" i="8"/>
  <c r="B109" i="8"/>
  <c r="C109" i="8"/>
  <c r="D109" i="8"/>
  <c r="A110" i="8"/>
  <c r="B110" i="8"/>
  <c r="C110" i="8"/>
  <c r="D110" i="8"/>
  <c r="A111" i="8"/>
  <c r="B111" i="8"/>
  <c r="C111" i="8"/>
  <c r="D111" i="8"/>
  <c r="A112" i="8"/>
  <c r="B112" i="8"/>
  <c r="C112" i="8"/>
  <c r="D112" i="8"/>
  <c r="A113" i="8"/>
  <c r="B113" i="8"/>
  <c r="C113" i="8"/>
  <c r="D113" i="8"/>
  <c r="A114" i="8"/>
  <c r="B114" i="8"/>
  <c r="C114" i="8"/>
  <c r="D114" i="8"/>
  <c r="A115" i="8"/>
  <c r="B115" i="8"/>
  <c r="C115" i="8"/>
  <c r="D115" i="8"/>
  <c r="A116" i="8"/>
  <c r="B116" i="8"/>
  <c r="C116" i="8"/>
  <c r="D116" i="8"/>
  <c r="A117" i="8"/>
  <c r="B117" i="8"/>
  <c r="C117" i="8"/>
  <c r="D117" i="8"/>
  <c r="A118" i="8"/>
  <c r="B118" i="8"/>
  <c r="C118" i="8"/>
  <c r="D118" i="8"/>
  <c r="A119" i="8"/>
  <c r="B119" i="8"/>
  <c r="C119" i="8"/>
  <c r="D119" i="8"/>
  <c r="A120" i="8"/>
  <c r="B120" i="8"/>
  <c r="C120" i="8"/>
  <c r="D120" i="8"/>
  <c r="A121" i="8"/>
  <c r="B121" i="8"/>
  <c r="C121" i="8"/>
  <c r="D121" i="8"/>
  <c r="A122" i="8"/>
  <c r="B122" i="8"/>
  <c r="C122" i="8"/>
  <c r="D122" i="8"/>
  <c r="A123" i="8"/>
  <c r="B123" i="8"/>
  <c r="C123" i="8"/>
  <c r="D123" i="8"/>
  <c r="A124" i="8"/>
  <c r="B124" i="8"/>
  <c r="C124" i="8"/>
  <c r="D124" i="8"/>
  <c r="A125" i="8"/>
  <c r="B125" i="8"/>
  <c r="C125" i="8"/>
  <c r="D125" i="8"/>
  <c r="A126" i="8"/>
  <c r="B126" i="8"/>
  <c r="C126" i="8"/>
  <c r="D126" i="8"/>
  <c r="A127" i="8"/>
  <c r="B127" i="8"/>
  <c r="C127" i="8"/>
  <c r="D127" i="8"/>
  <c r="A128" i="8"/>
  <c r="B128" i="8"/>
  <c r="C128" i="8"/>
  <c r="D128" i="8"/>
  <c r="A129" i="8"/>
  <c r="B129" i="8"/>
  <c r="C129" i="8"/>
  <c r="D129" i="8"/>
  <c r="A130" i="8"/>
  <c r="B130" i="8"/>
  <c r="C130" i="8"/>
  <c r="D130" i="8"/>
  <c r="A131" i="8"/>
  <c r="B131" i="8"/>
  <c r="C131" i="8"/>
  <c r="D131" i="8"/>
  <c r="A132" i="8"/>
  <c r="B132" i="8"/>
  <c r="C132" i="8"/>
  <c r="D132" i="8"/>
  <c r="A133" i="8"/>
  <c r="B133" i="8"/>
  <c r="C133" i="8"/>
  <c r="D133" i="8"/>
  <c r="A134" i="8"/>
  <c r="B134" i="8"/>
  <c r="C134" i="8"/>
  <c r="D134" i="8"/>
  <c r="A135" i="8"/>
  <c r="B135" i="8"/>
  <c r="C135" i="8"/>
  <c r="D135" i="8"/>
  <c r="A136" i="8"/>
  <c r="B136" i="8"/>
  <c r="C136" i="8"/>
  <c r="D136" i="8"/>
  <c r="A137" i="8"/>
  <c r="B137" i="8"/>
  <c r="C137" i="8"/>
  <c r="D137" i="8"/>
  <c r="A138" i="8"/>
  <c r="B138" i="8"/>
  <c r="C138" i="8"/>
  <c r="D138" i="8"/>
  <c r="A139" i="8"/>
  <c r="B139" i="8"/>
  <c r="C139" i="8"/>
  <c r="D139" i="8"/>
  <c r="A140" i="8"/>
  <c r="B140" i="8"/>
  <c r="C140" i="8"/>
  <c r="D140" i="8"/>
  <c r="A141" i="8"/>
  <c r="B141" i="8"/>
  <c r="C141" i="8"/>
  <c r="D141" i="8"/>
  <c r="A142" i="8"/>
  <c r="B142" i="8"/>
  <c r="C142" i="8"/>
  <c r="D142" i="8"/>
  <c r="A143" i="8"/>
  <c r="B143" i="8"/>
  <c r="C143" i="8"/>
  <c r="D143" i="8"/>
  <c r="A144" i="8"/>
  <c r="B144" i="8"/>
  <c r="C144" i="8"/>
  <c r="D144" i="8"/>
  <c r="A145" i="8"/>
  <c r="B145" i="8"/>
  <c r="C145" i="8"/>
  <c r="D145" i="8"/>
  <c r="A146" i="8"/>
  <c r="B146" i="8"/>
  <c r="C146" i="8"/>
  <c r="D146" i="8"/>
  <c r="A147" i="8"/>
  <c r="B147" i="8"/>
  <c r="C147" i="8"/>
  <c r="D147" i="8"/>
  <c r="A148" i="8"/>
  <c r="B148" i="8"/>
  <c r="C148" i="8"/>
  <c r="D148" i="8"/>
  <c r="A149" i="8"/>
  <c r="B149" i="8"/>
  <c r="C149" i="8"/>
  <c r="D149" i="8"/>
  <c r="A150" i="8"/>
  <c r="B150" i="8"/>
  <c r="C150" i="8"/>
  <c r="D150" i="8"/>
  <c r="A151" i="8"/>
  <c r="B151" i="8"/>
  <c r="C151" i="8"/>
  <c r="D151" i="8"/>
  <c r="A152" i="8"/>
  <c r="B152" i="8"/>
  <c r="C152" i="8"/>
  <c r="D152" i="8"/>
  <c r="A153" i="8"/>
  <c r="B153" i="8"/>
  <c r="C153" i="8"/>
  <c r="D153" i="8"/>
  <c r="A154" i="8"/>
  <c r="B154" i="8"/>
  <c r="C154" i="8"/>
  <c r="D154" i="8"/>
  <c r="A155" i="8"/>
  <c r="B155" i="8"/>
  <c r="C155" i="8"/>
  <c r="D155" i="8"/>
  <c r="A156" i="8"/>
  <c r="B156" i="8"/>
  <c r="C156" i="8"/>
  <c r="D156" i="8"/>
  <c r="A157" i="8"/>
  <c r="B157" i="8"/>
  <c r="C157" i="8"/>
  <c r="D157" i="8"/>
  <c r="A158" i="8"/>
  <c r="B158" i="8"/>
  <c r="C158" i="8"/>
  <c r="D158" i="8"/>
  <c r="A159" i="8"/>
  <c r="B159" i="8"/>
  <c r="C159" i="8"/>
  <c r="D159" i="8"/>
  <c r="A160" i="8"/>
  <c r="B160" i="8"/>
  <c r="C160" i="8"/>
  <c r="D160" i="8"/>
  <c r="A161" i="8"/>
  <c r="B161" i="8"/>
  <c r="C161" i="8"/>
  <c r="D161" i="8"/>
  <c r="A162" i="8"/>
  <c r="B162" i="8"/>
  <c r="C162" i="8"/>
  <c r="D162" i="8"/>
  <c r="A163" i="8"/>
  <c r="B163" i="8"/>
  <c r="C163" i="8"/>
  <c r="D163" i="8"/>
  <c r="A164" i="8"/>
  <c r="B164" i="8"/>
  <c r="C164" i="8"/>
  <c r="D164" i="8"/>
  <c r="A165" i="8"/>
  <c r="B165" i="8"/>
  <c r="C165" i="8"/>
  <c r="D165" i="8"/>
  <c r="A166" i="8"/>
  <c r="B166" i="8"/>
  <c r="C166" i="8"/>
  <c r="D166" i="8"/>
  <c r="A167" i="8"/>
  <c r="B167" i="8"/>
  <c r="C167" i="8"/>
  <c r="D167" i="8"/>
  <c r="A168" i="8"/>
  <c r="B168" i="8"/>
  <c r="C168" i="8"/>
  <c r="D168" i="8"/>
  <c r="A169" i="8"/>
  <c r="B169" i="8"/>
  <c r="C169" i="8"/>
  <c r="D169" i="8"/>
  <c r="A170" i="8"/>
  <c r="B170" i="8"/>
  <c r="C170" i="8"/>
  <c r="D170" i="8"/>
  <c r="A171" i="8"/>
  <c r="B171" i="8"/>
  <c r="C171" i="8"/>
  <c r="D171" i="8"/>
  <c r="A172" i="8"/>
  <c r="B172" i="8"/>
  <c r="C172" i="8"/>
  <c r="D172" i="8"/>
  <c r="A173" i="8"/>
  <c r="B173" i="8"/>
  <c r="C173" i="8"/>
  <c r="D173" i="8"/>
  <c r="A174" i="8"/>
  <c r="B174" i="8"/>
  <c r="C174" i="8"/>
  <c r="D174" i="8"/>
  <c r="A175" i="8"/>
  <c r="B175" i="8"/>
  <c r="C175" i="8"/>
  <c r="D175" i="8"/>
  <c r="A176" i="8"/>
  <c r="B176" i="8"/>
  <c r="C176" i="8"/>
  <c r="D176" i="8"/>
  <c r="A177" i="8"/>
  <c r="B177" i="8"/>
  <c r="C177" i="8"/>
  <c r="D177" i="8"/>
  <c r="A178" i="8"/>
  <c r="B178" i="8"/>
  <c r="C178" i="8"/>
  <c r="D178" i="8"/>
  <c r="A179" i="8"/>
  <c r="B179" i="8"/>
  <c r="C179" i="8"/>
  <c r="D179" i="8"/>
  <c r="A180" i="8"/>
  <c r="B180" i="8"/>
  <c r="C180" i="8"/>
  <c r="D180" i="8"/>
  <c r="A181" i="8"/>
  <c r="B181" i="8"/>
  <c r="C181" i="8"/>
  <c r="D181" i="8"/>
  <c r="A182" i="8"/>
  <c r="B182" i="8"/>
  <c r="C182" i="8"/>
  <c r="D182" i="8"/>
  <c r="A183" i="8"/>
  <c r="B183" i="8"/>
  <c r="C183" i="8"/>
  <c r="D183" i="8"/>
  <c r="A184" i="8"/>
  <c r="B184" i="8"/>
  <c r="C184" i="8"/>
  <c r="D184" i="8"/>
  <c r="A185" i="8"/>
  <c r="B185" i="8"/>
  <c r="C185" i="8"/>
  <c r="D185" i="8"/>
  <c r="A186" i="8"/>
  <c r="B186" i="8"/>
  <c r="C186" i="8"/>
  <c r="D186" i="8"/>
  <c r="A187" i="8"/>
  <c r="B187" i="8"/>
  <c r="C187" i="8"/>
  <c r="D187" i="8"/>
  <c r="A188" i="8"/>
  <c r="B188" i="8"/>
  <c r="C188" i="8"/>
  <c r="D188" i="8"/>
  <c r="A189" i="8"/>
  <c r="B189" i="8"/>
  <c r="C189" i="8"/>
  <c r="D189" i="8"/>
  <c r="A190" i="8"/>
  <c r="B190" i="8"/>
  <c r="C190" i="8"/>
  <c r="D190" i="8"/>
  <c r="A191" i="8"/>
  <c r="B191" i="8"/>
  <c r="C191" i="8"/>
  <c r="D191" i="8"/>
  <c r="A192" i="8"/>
  <c r="B192" i="8"/>
  <c r="C192" i="8"/>
  <c r="D192" i="8"/>
  <c r="A193" i="8"/>
  <c r="B193" i="8"/>
  <c r="C193" i="8"/>
  <c r="D193" i="8"/>
  <c r="A194" i="8"/>
  <c r="B194" i="8"/>
  <c r="C194" i="8"/>
  <c r="D194" i="8"/>
  <c r="A195" i="8"/>
  <c r="B195" i="8"/>
  <c r="C195" i="8"/>
  <c r="D195" i="8"/>
  <c r="A196" i="8"/>
  <c r="B196" i="8"/>
  <c r="C196" i="8"/>
  <c r="D196" i="8"/>
  <c r="A197" i="8"/>
  <c r="B197" i="8"/>
  <c r="C197" i="8"/>
  <c r="D197" i="8"/>
  <c r="A198" i="8"/>
  <c r="B198" i="8"/>
  <c r="C198" i="8"/>
  <c r="D198" i="8"/>
  <c r="A199" i="8"/>
  <c r="B199" i="8"/>
  <c r="C199" i="8"/>
  <c r="D199" i="8"/>
  <c r="A200" i="8"/>
  <c r="B200" i="8"/>
  <c r="C200" i="8"/>
  <c r="D200" i="8"/>
  <c r="A201" i="8"/>
  <c r="B201" i="8"/>
  <c r="C201" i="8"/>
  <c r="D201" i="8"/>
  <c r="A202" i="8"/>
  <c r="B202" i="8"/>
  <c r="C202" i="8"/>
  <c r="D202" i="8"/>
  <c r="A203" i="8"/>
  <c r="B203" i="8"/>
  <c r="C203" i="8"/>
  <c r="D203" i="8"/>
  <c r="A204" i="8"/>
  <c r="B204" i="8"/>
  <c r="C204" i="8"/>
  <c r="D204" i="8"/>
  <c r="A205" i="8"/>
  <c r="B205" i="8"/>
  <c r="C205" i="8"/>
  <c r="D205" i="8"/>
  <c r="A206" i="8"/>
  <c r="B206" i="8"/>
  <c r="C206" i="8"/>
  <c r="D206" i="8"/>
  <c r="A207" i="8"/>
  <c r="B207" i="8"/>
  <c r="C207" i="8"/>
  <c r="D207" i="8"/>
  <c r="A208" i="8"/>
  <c r="B208" i="8"/>
  <c r="C208" i="8"/>
  <c r="D208" i="8"/>
  <c r="A209" i="8"/>
  <c r="B209" i="8"/>
  <c r="C209" i="8"/>
  <c r="D209" i="8"/>
  <c r="A210" i="8"/>
  <c r="B210" i="8"/>
  <c r="C210" i="8"/>
  <c r="D210" i="8"/>
  <c r="A211" i="8"/>
  <c r="B211" i="8"/>
  <c r="C211" i="8"/>
  <c r="D211" i="8"/>
  <c r="A212" i="8"/>
  <c r="B212" i="8"/>
  <c r="C212" i="8"/>
  <c r="D212" i="8"/>
  <c r="A213" i="8"/>
  <c r="B213" i="8"/>
  <c r="C213" i="8"/>
  <c r="D213" i="8"/>
  <c r="A214" i="8"/>
  <c r="B214" i="8"/>
  <c r="C214" i="8"/>
  <c r="D214" i="8"/>
  <c r="A215" i="8"/>
  <c r="B215" i="8"/>
  <c r="C215" i="8"/>
  <c r="D215" i="8"/>
  <c r="A216" i="8"/>
  <c r="B216" i="8"/>
  <c r="C216" i="8"/>
  <c r="D216" i="8"/>
  <c r="A217" i="8"/>
  <c r="B217" i="8"/>
  <c r="C217" i="8"/>
  <c r="D217" i="8"/>
  <c r="A218" i="8"/>
  <c r="B218" i="8"/>
  <c r="C218" i="8"/>
  <c r="D218" i="8"/>
  <c r="A219" i="8"/>
  <c r="B219" i="8"/>
  <c r="C219" i="8"/>
  <c r="D219" i="8"/>
  <c r="A220" i="8"/>
  <c r="B220" i="8"/>
  <c r="C220" i="8"/>
  <c r="D220" i="8"/>
  <c r="A221" i="8"/>
  <c r="B221" i="8"/>
  <c r="C221" i="8"/>
  <c r="D221" i="8"/>
  <c r="A222" i="8"/>
  <c r="B222" i="8"/>
  <c r="C222" i="8"/>
  <c r="D222" i="8"/>
  <c r="A223" i="8"/>
  <c r="B223" i="8"/>
  <c r="C223" i="8"/>
  <c r="D223" i="8"/>
  <c r="A224" i="8"/>
  <c r="B224" i="8"/>
  <c r="C224" i="8"/>
  <c r="D224" i="8"/>
  <c r="A225" i="8"/>
  <c r="B225" i="8"/>
  <c r="C225" i="8"/>
  <c r="D225" i="8"/>
  <c r="A226" i="8"/>
  <c r="B226" i="8"/>
  <c r="C226" i="8"/>
  <c r="D226" i="8"/>
  <c r="A227" i="8"/>
  <c r="B227" i="8"/>
  <c r="C227" i="8"/>
  <c r="D227" i="8"/>
  <c r="A228" i="8"/>
  <c r="B228" i="8"/>
  <c r="C228" i="8"/>
  <c r="D228" i="8"/>
  <c r="A229" i="8"/>
  <c r="B229" i="8"/>
  <c r="C229" i="8"/>
  <c r="D229" i="8"/>
  <c r="A230" i="8"/>
  <c r="B230" i="8"/>
  <c r="C230" i="8"/>
  <c r="D230" i="8"/>
  <c r="A231" i="8"/>
  <c r="B231" i="8"/>
  <c r="C231" i="8"/>
  <c r="D231" i="8"/>
  <c r="A232" i="8"/>
  <c r="B232" i="8"/>
  <c r="C232" i="8"/>
  <c r="D232" i="8"/>
  <c r="A233" i="8"/>
  <c r="B233" i="8"/>
  <c r="C233" i="8"/>
  <c r="D233" i="8"/>
  <c r="A234" i="8"/>
  <c r="B234" i="8"/>
  <c r="C234" i="8"/>
  <c r="D234" i="8"/>
  <c r="A235" i="8"/>
  <c r="B235" i="8"/>
  <c r="C235" i="8"/>
  <c r="D235" i="8"/>
  <c r="A236" i="8"/>
  <c r="B236" i="8"/>
  <c r="C236" i="8"/>
  <c r="D236" i="8"/>
  <c r="A237" i="8"/>
  <c r="B237" i="8"/>
  <c r="C237" i="8"/>
  <c r="D237" i="8"/>
  <c r="A238" i="8"/>
  <c r="B238" i="8"/>
  <c r="C238" i="8"/>
  <c r="D238" i="8"/>
  <c r="A239" i="8"/>
  <c r="B239" i="8"/>
  <c r="C239" i="8"/>
  <c r="D239" i="8"/>
  <c r="A240" i="8"/>
  <c r="B240" i="8"/>
  <c r="C240" i="8"/>
  <c r="D240" i="8"/>
  <c r="A241" i="8"/>
  <c r="B241" i="8"/>
  <c r="C241" i="8"/>
  <c r="D241" i="8"/>
  <c r="A242" i="8"/>
  <c r="B242" i="8"/>
  <c r="C242" i="8"/>
  <c r="D242" i="8"/>
  <c r="A243" i="8"/>
  <c r="B243" i="8"/>
  <c r="C243" i="8"/>
  <c r="D243" i="8"/>
  <c r="A244" i="8"/>
  <c r="B244" i="8"/>
  <c r="C244" i="8"/>
  <c r="D244" i="8"/>
  <c r="A245" i="8"/>
  <c r="B245" i="8"/>
  <c r="C245" i="8"/>
  <c r="D245" i="8"/>
  <c r="A246" i="8"/>
  <c r="B246" i="8"/>
  <c r="C246" i="8"/>
  <c r="D246" i="8"/>
  <c r="A247" i="8"/>
  <c r="B247" i="8"/>
  <c r="C247" i="8"/>
  <c r="D247" i="8"/>
  <c r="A248" i="8"/>
  <c r="B248" i="8"/>
  <c r="C248" i="8"/>
  <c r="D248" i="8"/>
  <c r="A249" i="8"/>
  <c r="B249" i="8"/>
  <c r="C249" i="8"/>
  <c r="D249" i="8"/>
  <c r="A250" i="8"/>
  <c r="B250" i="8"/>
  <c r="C250" i="8"/>
  <c r="D250" i="8"/>
  <c r="A251" i="8"/>
  <c r="B251" i="8"/>
  <c r="C251" i="8"/>
  <c r="D251" i="8"/>
  <c r="A252" i="8"/>
  <c r="B252" i="8"/>
  <c r="C252" i="8"/>
  <c r="D252" i="8"/>
  <c r="A253" i="8"/>
  <c r="B253" i="8"/>
  <c r="C253" i="8"/>
  <c r="D253" i="8"/>
  <c r="A254" i="8"/>
  <c r="B254" i="8"/>
  <c r="C254" i="8"/>
  <c r="D254" i="8"/>
  <c r="A255" i="8"/>
  <c r="B255" i="8"/>
  <c r="C255" i="8"/>
  <c r="D255" i="8"/>
  <c r="A256" i="8"/>
  <c r="B256" i="8"/>
  <c r="C256" i="8"/>
  <c r="D256" i="8"/>
  <c r="A257" i="8"/>
  <c r="B257" i="8"/>
  <c r="C257" i="8"/>
  <c r="D257" i="8"/>
  <c r="A258" i="8"/>
  <c r="B258" i="8"/>
  <c r="C258" i="8"/>
  <c r="D258" i="8"/>
  <c r="A259" i="8"/>
  <c r="B259" i="8"/>
  <c r="C259" i="8"/>
  <c r="D259" i="8"/>
  <c r="A260" i="8"/>
  <c r="B260" i="8"/>
  <c r="C260" i="8"/>
  <c r="D260" i="8"/>
  <c r="A261" i="8"/>
  <c r="B261" i="8"/>
  <c r="C261" i="8"/>
  <c r="D261" i="8"/>
  <c r="A262" i="8"/>
  <c r="B262" i="8"/>
  <c r="C262" i="8"/>
  <c r="D262" i="8"/>
  <c r="A263" i="8"/>
  <c r="B263" i="8"/>
  <c r="C263" i="8"/>
  <c r="D263" i="8"/>
  <c r="A264" i="8"/>
  <c r="B264" i="8"/>
  <c r="C264" i="8"/>
  <c r="D264" i="8"/>
  <c r="A265" i="8"/>
  <c r="B265" i="8"/>
  <c r="C265" i="8"/>
  <c r="D265" i="8"/>
  <c r="A266" i="8"/>
  <c r="B266" i="8"/>
  <c r="C266" i="8"/>
  <c r="D266" i="8"/>
  <c r="A267" i="8"/>
  <c r="B267" i="8"/>
  <c r="C267" i="8"/>
  <c r="D267" i="8"/>
  <c r="A268" i="8"/>
  <c r="B268" i="8"/>
  <c r="C268" i="8"/>
  <c r="D268" i="8"/>
  <c r="A269" i="8"/>
  <c r="B269" i="8"/>
  <c r="C269" i="8"/>
  <c r="D269" i="8"/>
  <c r="A270" i="8"/>
  <c r="B270" i="8"/>
  <c r="C270" i="8"/>
  <c r="D270" i="8"/>
  <c r="A271" i="8"/>
  <c r="B271" i="8"/>
  <c r="C271" i="8"/>
  <c r="D271" i="8"/>
  <c r="A272" i="8"/>
  <c r="B272" i="8"/>
  <c r="C272" i="8"/>
  <c r="D272" i="8"/>
  <c r="A273" i="8"/>
  <c r="B273" i="8"/>
  <c r="C273" i="8"/>
  <c r="D273" i="8"/>
  <c r="A274" i="8"/>
  <c r="B274" i="8"/>
  <c r="C274" i="8"/>
  <c r="D274" i="8"/>
  <c r="A275" i="8"/>
  <c r="B275" i="8"/>
  <c r="C275" i="8"/>
  <c r="D275" i="8"/>
  <c r="A276" i="8"/>
  <c r="B276" i="8"/>
  <c r="C276" i="8"/>
  <c r="D276" i="8"/>
  <c r="A277" i="8"/>
  <c r="B277" i="8"/>
  <c r="C277" i="8"/>
  <c r="D277" i="8"/>
  <c r="A278" i="8"/>
  <c r="B278" i="8"/>
  <c r="C278" i="8"/>
  <c r="D278" i="8"/>
  <c r="A279" i="8"/>
  <c r="B279" i="8"/>
  <c r="C279" i="8"/>
  <c r="D279" i="8"/>
  <c r="A280" i="8"/>
  <c r="B280" i="8"/>
  <c r="C280" i="8"/>
  <c r="D280" i="8"/>
  <c r="A281" i="8"/>
  <c r="B281" i="8"/>
  <c r="C281" i="8"/>
  <c r="D281" i="8"/>
  <c r="A282" i="8"/>
  <c r="B282" i="8"/>
  <c r="C282" i="8"/>
  <c r="D282" i="8"/>
  <c r="A283" i="8"/>
  <c r="B283" i="8"/>
  <c r="C283" i="8"/>
  <c r="D283" i="8"/>
  <c r="A284" i="8"/>
  <c r="B284" i="8"/>
  <c r="C284" i="8"/>
  <c r="D284" i="8"/>
  <c r="A285" i="8"/>
  <c r="B285" i="8"/>
  <c r="C285" i="8"/>
  <c r="D285" i="8"/>
  <c r="A286" i="8"/>
  <c r="B286" i="8"/>
  <c r="C286" i="8"/>
  <c r="D286" i="8"/>
  <c r="A287" i="8"/>
  <c r="B287" i="8"/>
  <c r="C287" i="8"/>
  <c r="D287" i="8"/>
  <c r="A288" i="8"/>
  <c r="B288" i="8"/>
  <c r="C288" i="8"/>
  <c r="D288" i="8"/>
  <c r="A289" i="8"/>
  <c r="B289" i="8"/>
  <c r="C289" i="8"/>
  <c r="D289" i="8"/>
  <c r="A290" i="8"/>
  <c r="B290" i="8"/>
  <c r="C290" i="8"/>
  <c r="D290" i="8"/>
  <c r="A291" i="8"/>
  <c r="B291" i="8"/>
  <c r="C291" i="8"/>
  <c r="D291" i="8"/>
  <c r="A292" i="8"/>
  <c r="B292" i="8"/>
  <c r="C292" i="8"/>
  <c r="D292" i="8"/>
  <c r="A293" i="8"/>
  <c r="B293" i="8"/>
  <c r="C293" i="8"/>
  <c r="D293" i="8"/>
  <c r="A294" i="8"/>
  <c r="B294" i="8"/>
  <c r="C294" i="8"/>
  <c r="D294" i="8"/>
  <c r="A295" i="8"/>
  <c r="B295" i="8"/>
  <c r="C295" i="8"/>
  <c r="D295" i="8"/>
  <c r="A296" i="8"/>
  <c r="B296" i="8"/>
  <c r="C296" i="8"/>
  <c r="D296" i="8"/>
  <c r="A297" i="8"/>
  <c r="B297" i="8"/>
  <c r="C297" i="8"/>
  <c r="D297" i="8"/>
  <c r="A298" i="8"/>
  <c r="B298" i="8"/>
  <c r="C298" i="8"/>
  <c r="D298" i="8"/>
  <c r="A299" i="8"/>
  <c r="B299" i="8"/>
  <c r="C299" i="8"/>
  <c r="D299" i="8"/>
  <c r="A300" i="8"/>
  <c r="B300" i="8"/>
  <c r="C300" i="8"/>
  <c r="D300" i="8"/>
  <c r="A301" i="8"/>
  <c r="B301" i="8"/>
  <c r="C301" i="8"/>
  <c r="D301" i="8"/>
  <c r="A302" i="8"/>
  <c r="B302" i="8"/>
  <c r="C302" i="8"/>
  <c r="D302" i="8"/>
  <c r="A303" i="8"/>
  <c r="B303" i="8"/>
  <c r="C303" i="8"/>
  <c r="D303" i="8"/>
  <c r="A304" i="8"/>
  <c r="B304" i="8"/>
  <c r="C304" i="8"/>
  <c r="D304" i="8"/>
  <c r="A305" i="8"/>
  <c r="B305" i="8"/>
  <c r="C305" i="8"/>
  <c r="D305" i="8"/>
  <c r="A306" i="8"/>
  <c r="B306" i="8"/>
  <c r="C306" i="8"/>
  <c r="D306" i="8"/>
  <c r="A307" i="8"/>
  <c r="B307" i="8"/>
  <c r="C307" i="8"/>
  <c r="D307" i="8"/>
  <c r="A308" i="8"/>
  <c r="B308" i="8"/>
  <c r="C308" i="8"/>
  <c r="D308" i="8"/>
  <c r="A309" i="8"/>
  <c r="B309" i="8"/>
  <c r="C309" i="8"/>
  <c r="D309" i="8"/>
  <c r="A310" i="8"/>
  <c r="B310" i="8"/>
  <c r="C310" i="8"/>
  <c r="D310" i="8"/>
  <c r="A311" i="8"/>
  <c r="B311" i="8"/>
  <c r="C311" i="8"/>
  <c r="D311" i="8"/>
  <c r="A312" i="8"/>
  <c r="B312" i="8"/>
  <c r="C312" i="8"/>
  <c r="D312" i="8"/>
  <c r="A313" i="8"/>
  <c r="B313" i="8"/>
  <c r="C313" i="8"/>
  <c r="D313" i="8"/>
  <c r="A314" i="8"/>
  <c r="B314" i="8"/>
  <c r="C314" i="8"/>
  <c r="D314" i="8"/>
  <c r="A315" i="8"/>
  <c r="B315" i="8"/>
  <c r="C315" i="8"/>
  <c r="D315" i="8"/>
  <c r="A316" i="8"/>
  <c r="B316" i="8"/>
  <c r="C316" i="8"/>
  <c r="D316" i="8"/>
  <c r="A317" i="8"/>
  <c r="B317" i="8"/>
  <c r="C317" i="8"/>
  <c r="D317" i="8"/>
  <c r="A318" i="8"/>
  <c r="B318" i="8"/>
  <c r="C318" i="8"/>
  <c r="D318" i="8"/>
  <c r="A319" i="8"/>
  <c r="B319" i="8"/>
  <c r="C319" i="8"/>
  <c r="D319" i="8"/>
  <c r="A320" i="8"/>
  <c r="B320" i="8"/>
  <c r="C320" i="8"/>
  <c r="D320" i="8"/>
  <c r="A321" i="8"/>
  <c r="B321" i="8"/>
  <c r="C321" i="8"/>
  <c r="D321" i="8"/>
  <c r="A322" i="8"/>
  <c r="B322" i="8"/>
  <c r="C322" i="8"/>
  <c r="D322" i="8"/>
  <c r="A323" i="8"/>
  <c r="B323" i="8"/>
  <c r="C323" i="8"/>
  <c r="D323" i="8"/>
  <c r="A324" i="8"/>
  <c r="B324" i="8"/>
  <c r="C324" i="8"/>
  <c r="D324" i="8"/>
  <c r="A325" i="8"/>
  <c r="B325" i="8"/>
  <c r="C325" i="8"/>
  <c r="D325" i="8"/>
  <c r="A326" i="8"/>
  <c r="B326" i="8"/>
  <c r="C326" i="8"/>
  <c r="D326" i="8"/>
  <c r="A327" i="8"/>
  <c r="B327" i="8"/>
  <c r="C327" i="8"/>
  <c r="D327" i="8"/>
  <c r="A328" i="8"/>
  <c r="B328" i="8"/>
  <c r="C328" i="8"/>
  <c r="D328" i="8"/>
  <c r="A329" i="8"/>
  <c r="B329" i="8"/>
  <c r="C329" i="8"/>
  <c r="D329" i="8"/>
  <c r="A330" i="8"/>
  <c r="B330" i="8"/>
  <c r="C330" i="8"/>
  <c r="D330" i="8"/>
  <c r="A331" i="8"/>
  <c r="B331" i="8"/>
  <c r="C331" i="8"/>
  <c r="D331" i="8"/>
  <c r="A332" i="8"/>
  <c r="B332" i="8"/>
  <c r="C332" i="8"/>
  <c r="D332" i="8"/>
  <c r="A333" i="8"/>
  <c r="B333" i="8"/>
  <c r="C333" i="8"/>
  <c r="D333" i="8"/>
  <c r="A334" i="8"/>
  <c r="B334" i="8"/>
  <c r="C334" i="8"/>
  <c r="D334" i="8"/>
  <c r="A335" i="8"/>
  <c r="B335" i="8"/>
  <c r="C335" i="8"/>
  <c r="D335" i="8"/>
  <c r="A336" i="8"/>
  <c r="B336" i="8"/>
  <c r="C336" i="8"/>
  <c r="D336" i="8"/>
  <c r="A337" i="8"/>
  <c r="B337" i="8"/>
  <c r="C337" i="8"/>
  <c r="D337" i="8"/>
  <c r="A338" i="8"/>
  <c r="B338" i="8"/>
  <c r="C338" i="8"/>
  <c r="D338" i="8"/>
  <c r="A339" i="8"/>
  <c r="B339" i="8"/>
  <c r="C339" i="8"/>
  <c r="D339" i="8"/>
  <c r="A340" i="8"/>
  <c r="B340" i="8"/>
  <c r="C340" i="8"/>
  <c r="D340" i="8"/>
  <c r="A341" i="8"/>
  <c r="B341" i="8"/>
  <c r="C341" i="8"/>
  <c r="D341" i="8"/>
  <c r="A342" i="8"/>
  <c r="B342" i="8"/>
  <c r="C342" i="8"/>
  <c r="D342" i="8"/>
  <c r="A343" i="8"/>
  <c r="B343" i="8"/>
  <c r="C343" i="8"/>
  <c r="D343" i="8"/>
  <c r="A344" i="8"/>
  <c r="B344" i="8"/>
  <c r="C344" i="8"/>
  <c r="D344" i="8"/>
  <c r="A345" i="8"/>
  <c r="B345" i="8"/>
  <c r="C345" i="8"/>
  <c r="D345" i="8"/>
  <c r="A346" i="8"/>
  <c r="B346" i="8"/>
  <c r="C346" i="8"/>
  <c r="D346" i="8"/>
  <c r="A347" i="8"/>
  <c r="B347" i="8"/>
  <c r="C347" i="8"/>
  <c r="D347" i="8"/>
  <c r="A348" i="8"/>
  <c r="B348" i="8"/>
  <c r="C348" i="8"/>
  <c r="D348" i="8"/>
  <c r="A349" i="8"/>
  <c r="B349" i="8"/>
  <c r="C349" i="8"/>
  <c r="D349" i="8"/>
  <c r="A350" i="8"/>
  <c r="B350" i="8"/>
  <c r="C350" i="8"/>
  <c r="D350" i="8"/>
  <c r="A351" i="8"/>
  <c r="B351" i="8"/>
  <c r="C351" i="8"/>
  <c r="D351" i="8"/>
  <c r="A352" i="8"/>
  <c r="B352" i="8"/>
  <c r="C352" i="8"/>
  <c r="D352" i="8"/>
  <c r="A353" i="8"/>
  <c r="B353" i="8"/>
  <c r="C353" i="8"/>
  <c r="D353" i="8"/>
  <c r="A354" i="8"/>
  <c r="B354" i="8"/>
  <c r="C354" i="8"/>
  <c r="D354" i="8"/>
  <c r="A355" i="8"/>
  <c r="B355" i="8"/>
  <c r="C355" i="8"/>
  <c r="D355" i="8"/>
  <c r="A356" i="8"/>
  <c r="B356" i="8"/>
  <c r="C356" i="8"/>
  <c r="D356" i="8"/>
  <c r="A357" i="8"/>
  <c r="B357" i="8"/>
  <c r="C357" i="8"/>
  <c r="D357" i="8"/>
  <c r="A358" i="8"/>
  <c r="B358" i="8"/>
  <c r="C358" i="8"/>
  <c r="D358" i="8"/>
  <c r="A359" i="8"/>
  <c r="B359" i="8"/>
  <c r="C359" i="8"/>
  <c r="D359" i="8"/>
  <c r="A360" i="8"/>
  <c r="B360" i="8"/>
  <c r="C360" i="8"/>
  <c r="D360" i="8"/>
  <c r="A361" i="8"/>
  <c r="B361" i="8"/>
  <c r="C361" i="8"/>
  <c r="D361" i="8"/>
  <c r="A362" i="8"/>
  <c r="B362" i="8"/>
  <c r="C362" i="8"/>
  <c r="D362" i="8"/>
  <c r="A363" i="8"/>
  <c r="B363" i="8"/>
  <c r="C363" i="8"/>
  <c r="D363" i="8"/>
  <c r="A364" i="8"/>
  <c r="B364" i="8"/>
  <c r="C364" i="8"/>
  <c r="D364" i="8"/>
  <c r="A365" i="8"/>
  <c r="B365" i="8"/>
  <c r="C365" i="8"/>
  <c r="D365" i="8"/>
  <c r="A366" i="8"/>
  <c r="B366" i="8"/>
  <c r="C366" i="8"/>
  <c r="D366" i="8"/>
  <c r="A367" i="8"/>
  <c r="B367" i="8"/>
  <c r="C367" i="8"/>
  <c r="D367" i="8"/>
  <c r="A368" i="8"/>
  <c r="B368" i="8"/>
  <c r="C368" i="8"/>
  <c r="D368" i="8"/>
  <c r="A369" i="8"/>
  <c r="B369" i="8"/>
  <c r="C369" i="8"/>
  <c r="D369" i="8"/>
  <c r="A370" i="8"/>
  <c r="B370" i="8"/>
  <c r="C370" i="8"/>
  <c r="D370" i="8"/>
  <c r="A371" i="8"/>
  <c r="B371" i="8"/>
  <c r="C371" i="8"/>
  <c r="D371" i="8"/>
  <c r="A372" i="8"/>
  <c r="B372" i="8"/>
  <c r="C372" i="8"/>
  <c r="D372" i="8"/>
  <c r="A373" i="8"/>
  <c r="B373" i="8"/>
  <c r="C373" i="8"/>
  <c r="D373" i="8"/>
  <c r="A374" i="8"/>
  <c r="B374" i="8"/>
  <c r="C374" i="8"/>
  <c r="D374" i="8"/>
  <c r="A375" i="8"/>
  <c r="B375" i="8"/>
  <c r="C375" i="8"/>
  <c r="D375" i="8"/>
  <c r="A376" i="8"/>
  <c r="B376" i="8"/>
  <c r="C376" i="8"/>
  <c r="D376" i="8"/>
  <c r="A377" i="8"/>
  <c r="B377" i="8"/>
  <c r="C377" i="8"/>
  <c r="D377" i="8"/>
  <c r="A378" i="8"/>
  <c r="B378" i="8"/>
  <c r="C378" i="8"/>
  <c r="D378" i="8"/>
  <c r="A379" i="8"/>
  <c r="B379" i="8"/>
  <c r="C379" i="8"/>
  <c r="D379" i="8"/>
  <c r="A380" i="8"/>
  <c r="B380" i="8"/>
  <c r="C380" i="8"/>
  <c r="D380" i="8"/>
  <c r="A381" i="8"/>
  <c r="B381" i="8"/>
  <c r="C381" i="8"/>
  <c r="D381" i="8"/>
  <c r="A382" i="8"/>
  <c r="B382" i="8"/>
  <c r="C382" i="8"/>
  <c r="D382" i="8"/>
  <c r="A383" i="8"/>
  <c r="B383" i="8"/>
  <c r="C383" i="8"/>
  <c r="D383" i="8"/>
  <c r="A384" i="8"/>
  <c r="B384" i="8"/>
  <c r="C384" i="8"/>
  <c r="D384" i="8"/>
  <c r="A385" i="8"/>
  <c r="B385" i="8"/>
  <c r="C385" i="8"/>
  <c r="D385" i="8"/>
  <c r="A386" i="8"/>
  <c r="B386" i="8"/>
  <c r="C386" i="8"/>
  <c r="D386" i="8"/>
  <c r="A387" i="8"/>
  <c r="B387" i="8"/>
  <c r="C387" i="8"/>
  <c r="D387" i="8"/>
  <c r="A388" i="8"/>
  <c r="B388" i="8"/>
  <c r="C388" i="8"/>
  <c r="D388" i="8"/>
  <c r="A389" i="8"/>
  <c r="B389" i="8"/>
  <c r="C389" i="8"/>
  <c r="D389" i="8"/>
  <c r="A390" i="8"/>
  <c r="B390" i="8"/>
  <c r="C390" i="8"/>
  <c r="D390" i="8"/>
  <c r="A391" i="8"/>
  <c r="B391" i="8"/>
  <c r="C391" i="8"/>
  <c r="D391" i="8"/>
  <c r="A392" i="8"/>
  <c r="B392" i="8"/>
  <c r="C392" i="8"/>
  <c r="D392" i="8"/>
  <c r="A393" i="8"/>
  <c r="B393" i="8"/>
  <c r="C393" i="8"/>
  <c r="D393" i="8"/>
  <c r="A394" i="8"/>
  <c r="B394" i="8"/>
  <c r="C394" i="8"/>
  <c r="D394" i="8"/>
  <c r="A395" i="8"/>
  <c r="B395" i="8"/>
  <c r="C395" i="8"/>
  <c r="D395" i="8"/>
  <c r="A396" i="8"/>
  <c r="B396" i="8"/>
  <c r="C396" i="8"/>
  <c r="D396" i="8"/>
  <c r="A397" i="8"/>
  <c r="B397" i="8"/>
  <c r="C397" i="8"/>
  <c r="D397" i="8"/>
  <c r="A398" i="8"/>
  <c r="B398" i="8"/>
  <c r="C398" i="8"/>
  <c r="D398" i="8"/>
  <c r="A399" i="8"/>
  <c r="B399" i="8"/>
  <c r="C399" i="8"/>
  <c r="D399" i="8"/>
  <c r="A400" i="8"/>
  <c r="B400" i="8"/>
  <c r="C400" i="8"/>
  <c r="D400" i="8"/>
  <c r="A401" i="8"/>
  <c r="B401" i="8"/>
  <c r="C401" i="8"/>
  <c r="D401" i="8"/>
  <c r="A402" i="8"/>
  <c r="B402" i="8"/>
  <c r="C402" i="8"/>
  <c r="D402" i="8"/>
  <c r="A403" i="8"/>
  <c r="B403" i="8"/>
  <c r="C403" i="8"/>
  <c r="D403" i="8"/>
  <c r="A404" i="8"/>
  <c r="B404" i="8"/>
  <c r="C404" i="8"/>
  <c r="D404" i="8"/>
  <c r="A405" i="8"/>
  <c r="B405" i="8"/>
  <c r="C405" i="8"/>
  <c r="D405" i="8"/>
  <c r="A406" i="8"/>
  <c r="B406" i="8"/>
  <c r="C406" i="8"/>
  <c r="D406" i="8"/>
  <c r="A407" i="8"/>
  <c r="B407" i="8"/>
  <c r="C407" i="8"/>
  <c r="D407" i="8"/>
  <c r="A408" i="8"/>
  <c r="B408" i="8"/>
  <c r="C408" i="8"/>
  <c r="D408" i="8"/>
  <c r="A409" i="8"/>
  <c r="B409" i="8"/>
  <c r="C409" i="8"/>
  <c r="D409" i="8"/>
  <c r="A410" i="8"/>
  <c r="B410" i="8"/>
  <c r="C410" i="8"/>
  <c r="D410" i="8"/>
  <c r="A411" i="8"/>
  <c r="B411" i="8"/>
  <c r="C411" i="8"/>
  <c r="D411" i="8"/>
  <c r="A412" i="8"/>
  <c r="B412" i="8"/>
  <c r="C412" i="8"/>
  <c r="D412" i="8"/>
  <c r="A413" i="8"/>
  <c r="B413" i="8"/>
  <c r="C413" i="8"/>
  <c r="D413" i="8"/>
  <c r="A414" i="8"/>
  <c r="B414" i="8"/>
  <c r="C414" i="8"/>
  <c r="D414" i="8"/>
  <c r="A415" i="8"/>
  <c r="B415" i="8"/>
  <c r="C415" i="8"/>
  <c r="D415" i="8"/>
  <c r="A416" i="8"/>
  <c r="B416" i="8"/>
  <c r="C416" i="8"/>
  <c r="D416" i="8"/>
  <c r="A417" i="8"/>
  <c r="B417" i="8"/>
  <c r="C417" i="8"/>
  <c r="D417" i="8"/>
  <c r="A418" i="8"/>
  <c r="B418" i="8"/>
  <c r="C418" i="8"/>
  <c r="D418" i="8"/>
  <c r="A419" i="8"/>
  <c r="B419" i="8"/>
  <c r="C419" i="8"/>
  <c r="D419" i="8"/>
  <c r="A420" i="8"/>
  <c r="B420" i="8"/>
  <c r="C420" i="8"/>
  <c r="D420" i="8"/>
  <c r="A421" i="8"/>
  <c r="B421" i="8"/>
  <c r="C421" i="8"/>
  <c r="D421" i="8"/>
  <c r="A422" i="8"/>
  <c r="B422" i="8"/>
  <c r="C422" i="8"/>
  <c r="D422" i="8"/>
  <c r="A423" i="8"/>
  <c r="B423" i="8"/>
  <c r="C423" i="8"/>
  <c r="D423" i="8"/>
  <c r="A424" i="8"/>
  <c r="B424" i="8"/>
  <c r="C424" i="8"/>
  <c r="D424" i="8"/>
  <c r="A425" i="8"/>
  <c r="B425" i="8"/>
  <c r="C425" i="8"/>
  <c r="D425" i="8"/>
  <c r="A426" i="8"/>
  <c r="B426" i="8"/>
  <c r="C426" i="8"/>
  <c r="D426" i="8"/>
  <c r="A427" i="8"/>
  <c r="B427" i="8"/>
  <c r="C427" i="8"/>
  <c r="D427" i="8"/>
  <c r="A428" i="8"/>
  <c r="B428" i="8"/>
  <c r="C428" i="8"/>
  <c r="D428" i="8"/>
  <c r="A429" i="8"/>
  <c r="B429" i="8"/>
  <c r="C429" i="8"/>
  <c r="D429" i="8"/>
  <c r="A430" i="8"/>
  <c r="B430" i="8"/>
  <c r="C430" i="8"/>
  <c r="D430" i="8"/>
  <c r="A431" i="8"/>
  <c r="B431" i="8"/>
  <c r="C431" i="8"/>
  <c r="D431" i="8"/>
  <c r="A432" i="8"/>
  <c r="B432" i="8"/>
  <c r="C432" i="8"/>
  <c r="D432" i="8"/>
  <c r="A433" i="8"/>
  <c r="B433" i="8"/>
  <c r="C433" i="8"/>
  <c r="D433" i="8"/>
  <c r="A434" i="8"/>
  <c r="B434" i="8"/>
  <c r="C434" i="8"/>
  <c r="D434" i="8"/>
  <c r="A435" i="8"/>
  <c r="B435" i="8"/>
  <c r="C435" i="8"/>
  <c r="D435" i="8"/>
  <c r="A436" i="8"/>
  <c r="B436" i="8"/>
  <c r="C436" i="8"/>
  <c r="D436" i="8"/>
  <c r="A437" i="8"/>
  <c r="B437" i="8"/>
  <c r="C437" i="8"/>
  <c r="D437" i="8"/>
  <c r="A438" i="8"/>
  <c r="B438" i="8"/>
  <c r="C438" i="8"/>
  <c r="D438" i="8"/>
  <c r="A439" i="8"/>
  <c r="B439" i="8"/>
  <c r="C439" i="8"/>
  <c r="D439" i="8"/>
  <c r="A440" i="8"/>
  <c r="B440" i="8"/>
  <c r="C440" i="8"/>
  <c r="D440" i="8"/>
  <c r="A441" i="8"/>
  <c r="B441" i="8"/>
  <c r="C441" i="8"/>
  <c r="D441" i="8"/>
  <c r="A442" i="8"/>
  <c r="B442" i="8"/>
  <c r="C442" i="8"/>
  <c r="D442" i="8"/>
  <c r="A443" i="8"/>
  <c r="B443" i="8"/>
  <c r="C443" i="8"/>
  <c r="D443" i="8"/>
  <c r="A444" i="8"/>
  <c r="B444" i="8"/>
  <c r="C444" i="8"/>
  <c r="D444" i="8"/>
  <c r="A445" i="8"/>
  <c r="B445" i="8"/>
  <c r="C445" i="8"/>
  <c r="D445" i="8"/>
  <c r="A446" i="8"/>
  <c r="B446" i="8"/>
  <c r="C446" i="8"/>
  <c r="D446" i="8"/>
  <c r="A447" i="8"/>
  <c r="B447" i="8"/>
  <c r="C447" i="8"/>
  <c r="D447" i="8"/>
  <c r="A448" i="8"/>
  <c r="B448" i="8"/>
  <c r="C448" i="8"/>
  <c r="D448" i="8"/>
  <c r="A449" i="8"/>
  <c r="B449" i="8"/>
  <c r="C449" i="8"/>
  <c r="D449" i="8"/>
  <c r="A450" i="8"/>
  <c r="B450" i="8"/>
  <c r="C450" i="8"/>
  <c r="D450" i="8"/>
  <c r="A451" i="8"/>
  <c r="B451" i="8"/>
  <c r="C451" i="8"/>
  <c r="D451" i="8"/>
  <c r="A452" i="8"/>
  <c r="B452" i="8"/>
  <c r="C452" i="8"/>
  <c r="D452" i="8"/>
  <c r="A453" i="8"/>
  <c r="B453" i="8"/>
  <c r="C453" i="8"/>
  <c r="D453" i="8"/>
  <c r="A454" i="8"/>
  <c r="B454" i="8"/>
  <c r="C454" i="8"/>
  <c r="D454" i="8"/>
  <c r="A455" i="8"/>
  <c r="B455" i="8"/>
  <c r="C455" i="8"/>
  <c r="D455" i="8"/>
  <c r="A456" i="8"/>
  <c r="B456" i="8"/>
  <c r="C456" i="8"/>
  <c r="D456" i="8"/>
  <c r="A457" i="8"/>
  <c r="B457" i="8"/>
  <c r="C457" i="8"/>
  <c r="D457" i="8"/>
  <c r="A458" i="8"/>
  <c r="B458" i="8"/>
  <c r="C458" i="8"/>
  <c r="D458" i="8"/>
  <c r="A459" i="8"/>
  <c r="B459" i="8"/>
  <c r="C459" i="8"/>
  <c r="D459" i="8"/>
  <c r="A460" i="8"/>
  <c r="B460" i="8"/>
  <c r="C460" i="8"/>
  <c r="D460" i="8"/>
  <c r="A461" i="8"/>
  <c r="B461" i="8"/>
  <c r="C461" i="8"/>
  <c r="D461" i="8"/>
  <c r="A462" i="8"/>
  <c r="B462" i="8"/>
  <c r="C462" i="8"/>
  <c r="D462" i="8"/>
  <c r="A463" i="8"/>
  <c r="B463" i="8"/>
  <c r="C463" i="8"/>
  <c r="D463" i="8"/>
  <c r="A464" i="8"/>
  <c r="B464" i="8"/>
  <c r="C464" i="8"/>
  <c r="D464" i="8"/>
  <c r="A465" i="8"/>
  <c r="B465" i="8"/>
  <c r="C465" i="8"/>
  <c r="D465" i="8"/>
  <c r="A466" i="8"/>
  <c r="B466" i="8"/>
  <c r="C466" i="8"/>
  <c r="D466" i="8"/>
  <c r="A467" i="8"/>
  <c r="B467" i="8"/>
  <c r="C467" i="8"/>
  <c r="D467" i="8"/>
  <c r="A468" i="8"/>
  <c r="B468" i="8"/>
  <c r="C468" i="8"/>
  <c r="D468" i="8"/>
  <c r="A469" i="8"/>
  <c r="B469" i="8"/>
  <c r="C469" i="8"/>
  <c r="D469" i="8"/>
  <c r="A470" i="8"/>
  <c r="B470" i="8"/>
  <c r="C470" i="8"/>
  <c r="D470" i="8"/>
  <c r="A471" i="8"/>
  <c r="B471" i="8"/>
  <c r="C471" i="8"/>
  <c r="D471" i="8"/>
  <c r="A472" i="8"/>
  <c r="B472" i="8"/>
  <c r="C472" i="8"/>
  <c r="D472" i="8"/>
  <c r="A473" i="8"/>
  <c r="B473" i="8"/>
  <c r="C473" i="8"/>
  <c r="D473" i="8"/>
  <c r="A474" i="8"/>
  <c r="B474" i="8"/>
  <c r="C474" i="8"/>
  <c r="D474" i="8"/>
  <c r="A475" i="8"/>
  <c r="B475" i="8"/>
  <c r="C475" i="8"/>
  <c r="D475" i="8"/>
  <c r="A476" i="8"/>
  <c r="B476" i="8"/>
  <c r="C476" i="8"/>
  <c r="D476" i="8"/>
  <c r="A477" i="8"/>
  <c r="B477" i="8"/>
  <c r="C477" i="8"/>
  <c r="D477" i="8"/>
  <c r="A478" i="8"/>
  <c r="B478" i="8"/>
  <c r="C478" i="8"/>
  <c r="D478" i="8"/>
  <c r="A479" i="8"/>
  <c r="B479" i="8"/>
  <c r="C479" i="8"/>
  <c r="D479" i="8"/>
  <c r="A480" i="8"/>
  <c r="B480" i="8"/>
  <c r="C480" i="8"/>
  <c r="D480" i="8"/>
  <c r="A481" i="8"/>
  <c r="B481" i="8"/>
  <c r="C481" i="8"/>
  <c r="D481" i="8"/>
  <c r="A482" i="8"/>
  <c r="B482" i="8"/>
  <c r="C482" i="8"/>
  <c r="D482" i="8"/>
  <c r="A483" i="8"/>
  <c r="B483" i="8"/>
  <c r="C483" i="8"/>
  <c r="D483" i="8"/>
  <c r="A484" i="8"/>
  <c r="B484" i="8"/>
  <c r="C484" i="8"/>
  <c r="D484" i="8"/>
  <c r="A485" i="8"/>
  <c r="B485" i="8"/>
  <c r="C485" i="8"/>
  <c r="D485" i="8"/>
  <c r="A486" i="8"/>
  <c r="B486" i="8"/>
  <c r="C486" i="8"/>
  <c r="D486" i="8"/>
  <c r="A487" i="8"/>
  <c r="B487" i="8"/>
  <c r="C487" i="8"/>
  <c r="D487" i="8"/>
  <c r="A488" i="8"/>
  <c r="B488" i="8"/>
  <c r="C488" i="8"/>
  <c r="D488" i="8"/>
  <c r="A489" i="8"/>
  <c r="B489" i="8"/>
  <c r="C489" i="8"/>
  <c r="D489" i="8"/>
  <c r="A490" i="8"/>
  <c r="B490" i="8"/>
  <c r="C490" i="8"/>
  <c r="D490" i="8"/>
  <c r="A491" i="8"/>
  <c r="B491" i="8"/>
  <c r="C491" i="8"/>
  <c r="D491" i="8"/>
  <c r="A492" i="8"/>
  <c r="B492" i="8"/>
  <c r="C492" i="8"/>
  <c r="D492" i="8"/>
  <c r="A493" i="8"/>
  <c r="B493" i="8"/>
  <c r="C493" i="8"/>
  <c r="D493" i="8"/>
  <c r="A494" i="8"/>
  <c r="B494" i="8"/>
  <c r="C494" i="8"/>
  <c r="D494" i="8"/>
  <c r="A495" i="8"/>
  <c r="B495" i="8"/>
  <c r="C495" i="8"/>
  <c r="D495" i="8"/>
  <c r="A496" i="8"/>
  <c r="B496" i="8"/>
  <c r="C496" i="8"/>
  <c r="D496" i="8"/>
  <c r="A497" i="8"/>
  <c r="B497" i="8"/>
  <c r="C497" i="8"/>
  <c r="D497" i="8"/>
  <c r="A498" i="8"/>
  <c r="B498" i="8"/>
  <c r="C498" i="8"/>
  <c r="D498" i="8"/>
  <c r="A499" i="8"/>
  <c r="B499" i="8"/>
  <c r="C499" i="8"/>
  <c r="D499" i="8"/>
  <c r="A500" i="8"/>
  <c r="B500" i="8"/>
  <c r="C500" i="8"/>
  <c r="D500" i="8"/>
  <c r="A501" i="8"/>
  <c r="B501" i="8"/>
  <c r="C501" i="8"/>
  <c r="D501" i="8"/>
  <c r="A502" i="8"/>
  <c r="B502" i="8"/>
  <c r="C502" i="8"/>
  <c r="D502" i="8"/>
  <c r="A503" i="8"/>
  <c r="B503" i="8"/>
  <c r="C503" i="8"/>
  <c r="D503" i="8"/>
  <c r="A504" i="8"/>
  <c r="B504" i="8"/>
  <c r="C504" i="8"/>
  <c r="D504" i="8"/>
  <c r="A505" i="8"/>
  <c r="B505" i="8"/>
  <c r="C505" i="8"/>
  <c r="D505" i="8"/>
  <c r="A506" i="8"/>
  <c r="B506" i="8"/>
  <c r="C506" i="8"/>
  <c r="D506" i="8"/>
  <c r="A507" i="8"/>
  <c r="B507" i="8"/>
  <c r="C507" i="8"/>
  <c r="D507" i="8"/>
  <c r="A508" i="8"/>
  <c r="B508" i="8"/>
  <c r="C508" i="8"/>
  <c r="D508" i="8"/>
  <c r="A509" i="8"/>
  <c r="B509" i="8"/>
  <c r="C509" i="8"/>
  <c r="D509" i="8"/>
  <c r="A510" i="8"/>
  <c r="B510" i="8"/>
  <c r="C510" i="8"/>
  <c r="D510" i="8"/>
  <c r="A511" i="8"/>
  <c r="B511" i="8"/>
  <c r="C511" i="8"/>
  <c r="D511" i="8"/>
  <c r="A512" i="8"/>
  <c r="B512" i="8"/>
  <c r="C512" i="8"/>
  <c r="D512" i="8"/>
  <c r="A513" i="8"/>
  <c r="B513" i="8"/>
  <c r="C513" i="8"/>
  <c r="D513" i="8"/>
  <c r="A514" i="8"/>
  <c r="B514" i="8"/>
  <c r="C514" i="8"/>
  <c r="D514" i="8"/>
  <c r="A515" i="8"/>
  <c r="B515" i="8"/>
  <c r="C515" i="8"/>
  <c r="D515" i="8"/>
  <c r="A516" i="8"/>
  <c r="B516" i="8"/>
  <c r="C516" i="8"/>
  <c r="D516" i="8"/>
  <c r="A517" i="8"/>
  <c r="B517" i="8"/>
  <c r="C517" i="8"/>
  <c r="D517" i="8"/>
  <c r="A518" i="8"/>
  <c r="B518" i="8"/>
  <c r="C518" i="8"/>
  <c r="D518" i="8"/>
  <c r="A519" i="8"/>
  <c r="B519" i="8"/>
  <c r="C519" i="8"/>
  <c r="D519" i="8"/>
  <c r="A520" i="8"/>
  <c r="B520" i="8"/>
  <c r="C520" i="8"/>
  <c r="D520" i="8"/>
  <c r="A521" i="8"/>
  <c r="B521" i="8"/>
  <c r="C521" i="8"/>
  <c r="D521" i="8"/>
  <c r="A522" i="8"/>
  <c r="B522" i="8"/>
  <c r="C522" i="8"/>
  <c r="D522" i="8"/>
  <c r="A523" i="8"/>
  <c r="B523" i="8"/>
  <c r="C523" i="8"/>
  <c r="D523" i="8"/>
  <c r="A524" i="8"/>
  <c r="B524" i="8"/>
  <c r="C524" i="8"/>
  <c r="D524" i="8"/>
  <c r="A525" i="8"/>
  <c r="B525" i="8"/>
  <c r="C525" i="8"/>
  <c r="D525" i="8"/>
  <c r="A526" i="8"/>
  <c r="B526" i="8"/>
  <c r="C526" i="8"/>
  <c r="D526" i="8"/>
  <c r="A527" i="8"/>
  <c r="B527" i="8"/>
  <c r="C527" i="8"/>
  <c r="D527" i="8"/>
  <c r="A528" i="8"/>
  <c r="B528" i="8"/>
  <c r="C528" i="8"/>
  <c r="D528" i="8"/>
  <c r="A529" i="8"/>
  <c r="B529" i="8"/>
  <c r="C529" i="8"/>
  <c r="D529" i="8"/>
  <c r="A530" i="8"/>
  <c r="B530" i="8"/>
  <c r="C530" i="8"/>
  <c r="D530" i="8"/>
  <c r="A531" i="8"/>
  <c r="B531" i="8"/>
  <c r="C531" i="8"/>
  <c r="D531" i="8"/>
  <c r="A532" i="8"/>
  <c r="B532" i="8"/>
  <c r="C532" i="8"/>
  <c r="D532" i="8"/>
  <c r="A533" i="8"/>
  <c r="B533" i="8"/>
  <c r="C533" i="8"/>
  <c r="D533" i="8"/>
  <c r="A534" i="8"/>
  <c r="B534" i="8"/>
  <c r="C534" i="8"/>
  <c r="D534" i="8"/>
  <c r="A535" i="8"/>
  <c r="B535" i="8"/>
  <c r="C535" i="8"/>
  <c r="D535" i="8"/>
  <c r="A536" i="8"/>
  <c r="B536" i="8"/>
  <c r="C536" i="8"/>
  <c r="D536" i="8"/>
  <c r="A537" i="8"/>
  <c r="B537" i="8"/>
  <c r="C537" i="8"/>
  <c r="D537" i="8"/>
  <c r="A538" i="8"/>
  <c r="B538" i="8"/>
  <c r="C538" i="8"/>
  <c r="D538" i="8"/>
  <c r="A539" i="8"/>
  <c r="B539" i="8"/>
  <c r="C539" i="8"/>
  <c r="D539" i="8"/>
  <c r="A540" i="8"/>
  <c r="B540" i="8"/>
  <c r="C540" i="8"/>
  <c r="D540" i="8"/>
  <c r="A541" i="8"/>
  <c r="B541" i="8"/>
  <c r="C541" i="8"/>
  <c r="D541" i="8"/>
  <c r="A542" i="8"/>
  <c r="B542" i="8"/>
  <c r="C542" i="8"/>
  <c r="D542" i="8"/>
  <c r="A543" i="8"/>
  <c r="B543" i="8"/>
  <c r="C543" i="8"/>
  <c r="D543" i="8"/>
  <c r="A544" i="8"/>
  <c r="B544" i="8"/>
  <c r="C544" i="8"/>
  <c r="D544" i="8"/>
  <c r="A545" i="8"/>
  <c r="B545" i="8"/>
  <c r="C545" i="8"/>
  <c r="D545" i="8"/>
  <c r="A546" i="8"/>
  <c r="B546" i="8"/>
  <c r="C546" i="8"/>
  <c r="D546" i="8"/>
  <c r="A547" i="8"/>
  <c r="B547" i="8"/>
  <c r="C547" i="8"/>
  <c r="D547" i="8"/>
  <c r="A548" i="8"/>
  <c r="B548" i="8"/>
  <c r="C548" i="8"/>
  <c r="D548" i="8"/>
  <c r="A549" i="8"/>
  <c r="B549" i="8"/>
  <c r="C549" i="8"/>
  <c r="D549" i="8"/>
  <c r="A550" i="8"/>
  <c r="B550" i="8"/>
  <c r="C550" i="8"/>
  <c r="D550" i="8"/>
  <c r="A551" i="8"/>
  <c r="B551" i="8"/>
  <c r="C551" i="8"/>
  <c r="D551" i="8"/>
  <c r="A552" i="8"/>
  <c r="B552" i="8"/>
  <c r="C552" i="8"/>
  <c r="D552" i="8"/>
  <c r="A553" i="8"/>
  <c r="B553" i="8"/>
  <c r="C553" i="8"/>
  <c r="D553" i="8"/>
  <c r="A554" i="8"/>
  <c r="B554" i="8"/>
  <c r="C554" i="8"/>
  <c r="D554" i="8"/>
  <c r="A555" i="8"/>
  <c r="B555" i="8"/>
  <c r="C555" i="8"/>
  <c r="D555" i="8"/>
  <c r="A556" i="8"/>
  <c r="B556" i="8"/>
  <c r="C556" i="8"/>
  <c r="D556" i="8"/>
  <c r="A557" i="8"/>
  <c r="B557" i="8"/>
  <c r="C557" i="8"/>
  <c r="D557" i="8"/>
  <c r="A558" i="8"/>
  <c r="B558" i="8"/>
  <c r="C558" i="8"/>
  <c r="D558" i="8"/>
  <c r="A559" i="8"/>
  <c r="B559" i="8"/>
  <c r="C559" i="8"/>
  <c r="D559" i="8"/>
  <c r="A560" i="8"/>
  <c r="B560" i="8"/>
  <c r="C560" i="8"/>
  <c r="D560" i="8"/>
  <c r="A561" i="8"/>
  <c r="B561" i="8"/>
  <c r="C561" i="8"/>
  <c r="D561" i="8"/>
  <c r="A562" i="8"/>
  <c r="B562" i="8"/>
  <c r="C562" i="8"/>
  <c r="D562" i="8"/>
  <c r="A563" i="8"/>
  <c r="B563" i="8"/>
  <c r="C563" i="8"/>
  <c r="D563" i="8"/>
  <c r="A564" i="8"/>
  <c r="B564" i="8"/>
  <c r="C564" i="8"/>
  <c r="D564" i="8"/>
  <c r="A565" i="8"/>
  <c r="B565" i="8"/>
  <c r="C565" i="8"/>
  <c r="D565" i="8"/>
  <c r="A566" i="8"/>
  <c r="B566" i="8"/>
  <c r="C566" i="8"/>
  <c r="D566" i="8"/>
  <c r="A567" i="8"/>
  <c r="B567" i="8"/>
  <c r="C567" i="8"/>
  <c r="D567" i="8"/>
  <c r="A568" i="8"/>
  <c r="B568" i="8"/>
  <c r="C568" i="8"/>
  <c r="D568" i="8"/>
  <c r="A569" i="8"/>
  <c r="B569" i="8"/>
  <c r="C569" i="8"/>
  <c r="D569" i="8"/>
  <c r="A570" i="8"/>
  <c r="B570" i="8"/>
  <c r="C570" i="8"/>
  <c r="D570" i="8"/>
  <c r="A571" i="8"/>
  <c r="B571" i="8"/>
  <c r="C571" i="8"/>
  <c r="D571" i="8"/>
  <c r="A572" i="8"/>
  <c r="B572" i="8"/>
  <c r="C572" i="8"/>
  <c r="D572" i="8"/>
  <c r="A573" i="8"/>
  <c r="B573" i="8"/>
  <c r="C573" i="8"/>
  <c r="D573" i="8"/>
  <c r="A574" i="8"/>
  <c r="B574" i="8"/>
  <c r="C574" i="8"/>
  <c r="D574" i="8"/>
  <c r="A575" i="8"/>
  <c r="B575" i="8"/>
  <c r="C575" i="8"/>
  <c r="D575" i="8"/>
  <c r="A576" i="8"/>
  <c r="B576" i="8"/>
  <c r="C576" i="8"/>
  <c r="D576" i="8"/>
  <c r="A577" i="8"/>
  <c r="B577" i="8"/>
  <c r="C577" i="8"/>
  <c r="D577" i="8"/>
  <c r="A578" i="8"/>
  <c r="B578" i="8"/>
  <c r="C578" i="8"/>
  <c r="D578" i="8"/>
  <c r="A579" i="8"/>
  <c r="B579" i="8"/>
  <c r="C579" i="8"/>
  <c r="D579" i="8"/>
  <c r="A580" i="8"/>
  <c r="B580" i="8"/>
  <c r="C580" i="8"/>
  <c r="D580" i="8"/>
  <c r="A581" i="8"/>
  <c r="B581" i="8"/>
  <c r="C581" i="8"/>
  <c r="D581" i="8"/>
  <c r="A582" i="8"/>
  <c r="B582" i="8"/>
  <c r="C582" i="8"/>
  <c r="D582" i="8"/>
  <c r="A583" i="8"/>
  <c r="B583" i="8"/>
  <c r="C583" i="8"/>
  <c r="D583" i="8"/>
  <c r="A584" i="8"/>
  <c r="B584" i="8"/>
  <c r="C584" i="8"/>
  <c r="D584" i="8"/>
  <c r="A585" i="8"/>
  <c r="B585" i="8"/>
  <c r="C585" i="8"/>
  <c r="D585" i="8"/>
  <c r="A586" i="8"/>
  <c r="B586" i="8"/>
  <c r="C586" i="8"/>
  <c r="D586" i="8"/>
  <c r="A587" i="8"/>
  <c r="B587" i="8"/>
  <c r="C587" i="8"/>
  <c r="D587" i="8"/>
  <c r="A588" i="8"/>
  <c r="B588" i="8"/>
  <c r="C588" i="8"/>
  <c r="D588" i="8"/>
  <c r="A589" i="8"/>
  <c r="B589" i="8"/>
  <c r="C589" i="8"/>
  <c r="D589" i="8"/>
  <c r="A590" i="8"/>
  <c r="B590" i="8"/>
  <c r="C590" i="8"/>
  <c r="D590" i="8"/>
  <c r="A591" i="8"/>
  <c r="B591" i="8"/>
  <c r="C591" i="8"/>
  <c r="D591" i="8"/>
  <c r="A592" i="8"/>
  <c r="B592" i="8"/>
  <c r="C592" i="8"/>
  <c r="D592" i="8"/>
  <c r="A593" i="8"/>
  <c r="B593" i="8"/>
  <c r="C593" i="8"/>
  <c r="D593" i="8"/>
  <c r="A594" i="8"/>
  <c r="B594" i="8"/>
  <c r="C594" i="8"/>
  <c r="D594" i="8"/>
  <c r="A595" i="8"/>
  <c r="B595" i="8"/>
  <c r="C595" i="8"/>
  <c r="D595" i="8"/>
  <c r="A596" i="8"/>
  <c r="B596" i="8"/>
  <c r="C596" i="8"/>
  <c r="D596" i="8"/>
  <c r="A597" i="8"/>
  <c r="B597" i="8"/>
  <c r="C597" i="8"/>
  <c r="D597" i="8"/>
  <c r="A598" i="8"/>
  <c r="B598" i="8"/>
  <c r="C598" i="8"/>
  <c r="D598" i="8"/>
  <c r="A599" i="8"/>
  <c r="B599" i="8"/>
  <c r="C599" i="8"/>
  <c r="D599" i="8"/>
  <c r="A600" i="8"/>
  <c r="B600" i="8"/>
  <c r="C600" i="8"/>
  <c r="D600" i="8"/>
  <c r="A601" i="8"/>
  <c r="B601" i="8"/>
  <c r="C601" i="8"/>
  <c r="D601" i="8"/>
  <c r="A602" i="8"/>
  <c r="B602" i="8"/>
  <c r="C602" i="8"/>
  <c r="D602" i="8"/>
  <c r="A603" i="8"/>
  <c r="B603" i="8"/>
  <c r="C603" i="8"/>
  <c r="D603" i="8"/>
  <c r="A604" i="8"/>
  <c r="B604" i="8"/>
  <c r="C604" i="8"/>
  <c r="D604" i="8"/>
  <c r="A605" i="8"/>
  <c r="B605" i="8"/>
  <c r="C605" i="8"/>
  <c r="D605" i="8"/>
  <c r="A606" i="8"/>
  <c r="B606" i="8"/>
  <c r="C606" i="8"/>
  <c r="D606" i="8"/>
  <c r="A607" i="8"/>
  <c r="B607" i="8"/>
  <c r="C607" i="8"/>
  <c r="D607" i="8"/>
  <c r="A608" i="8"/>
  <c r="B608" i="8"/>
  <c r="C608" i="8"/>
  <c r="D608" i="8"/>
  <c r="A609" i="8"/>
  <c r="B609" i="8"/>
  <c r="C609" i="8"/>
  <c r="D609" i="8"/>
  <c r="A610" i="8"/>
  <c r="B610" i="8"/>
  <c r="C610" i="8"/>
  <c r="D610" i="8"/>
  <c r="A611" i="8"/>
  <c r="B611" i="8"/>
  <c r="C611" i="8"/>
  <c r="D611" i="8"/>
  <c r="A612" i="8"/>
  <c r="B612" i="8"/>
  <c r="C612" i="8"/>
  <c r="D612" i="8"/>
  <c r="A613" i="8"/>
  <c r="B613" i="8"/>
  <c r="C613" i="8"/>
  <c r="D613" i="8"/>
  <c r="A614" i="8"/>
  <c r="B614" i="8"/>
  <c r="C614" i="8"/>
  <c r="D614" i="8"/>
  <c r="A615" i="8"/>
  <c r="B615" i="8"/>
  <c r="C615" i="8"/>
  <c r="D615" i="8"/>
  <c r="A616" i="8"/>
  <c r="B616" i="8"/>
  <c r="C616" i="8"/>
  <c r="D616" i="8"/>
  <c r="A617" i="8"/>
  <c r="B617" i="8"/>
  <c r="C617" i="8"/>
  <c r="D617" i="8"/>
  <c r="A618" i="8"/>
  <c r="B618" i="8"/>
  <c r="C618" i="8"/>
  <c r="D618" i="8"/>
  <c r="A619" i="8"/>
  <c r="B619" i="8"/>
  <c r="C619" i="8"/>
  <c r="D619" i="8"/>
  <c r="A620" i="8"/>
  <c r="B620" i="8"/>
  <c r="C620" i="8"/>
  <c r="D620" i="8"/>
  <c r="A621" i="8"/>
  <c r="B621" i="8"/>
  <c r="C621" i="8"/>
  <c r="D621" i="8"/>
  <c r="A622" i="8"/>
  <c r="B622" i="8"/>
  <c r="C622" i="8"/>
  <c r="D622" i="8"/>
  <c r="A623" i="8"/>
  <c r="B623" i="8"/>
  <c r="C623" i="8"/>
  <c r="D623" i="8"/>
  <c r="A624" i="8"/>
  <c r="B624" i="8"/>
  <c r="C624" i="8"/>
  <c r="D624" i="8"/>
  <c r="A625" i="8"/>
  <c r="B625" i="8"/>
  <c r="C625" i="8"/>
  <c r="D625" i="8"/>
  <c r="A626" i="8"/>
  <c r="B626" i="8"/>
  <c r="C626" i="8"/>
  <c r="D626" i="8"/>
  <c r="A627" i="8"/>
  <c r="B627" i="8"/>
  <c r="C627" i="8"/>
  <c r="D627" i="8"/>
  <c r="A628" i="8"/>
  <c r="B628" i="8"/>
  <c r="C628" i="8"/>
  <c r="D628" i="8"/>
  <c r="A629" i="8"/>
  <c r="B629" i="8"/>
  <c r="C629" i="8"/>
  <c r="D629" i="8"/>
  <c r="A630" i="8"/>
  <c r="B630" i="8"/>
  <c r="C630" i="8"/>
  <c r="D630" i="8"/>
  <c r="A631" i="8"/>
  <c r="B631" i="8"/>
  <c r="C631" i="8"/>
  <c r="D631" i="8"/>
  <c r="A632" i="8"/>
  <c r="B632" i="8"/>
  <c r="C632" i="8"/>
  <c r="D632" i="8"/>
  <c r="A633" i="8"/>
  <c r="B633" i="8"/>
  <c r="C633" i="8"/>
  <c r="D633" i="8"/>
  <c r="A634" i="8"/>
  <c r="B634" i="8"/>
  <c r="C634" i="8"/>
  <c r="D634" i="8"/>
  <c r="A635" i="8"/>
  <c r="B635" i="8"/>
  <c r="C635" i="8"/>
  <c r="D635" i="8"/>
  <c r="A636" i="8"/>
  <c r="B636" i="8"/>
  <c r="C636" i="8"/>
  <c r="D636" i="8"/>
  <c r="A637" i="8"/>
  <c r="B637" i="8"/>
  <c r="C637" i="8"/>
  <c r="D637" i="8"/>
  <c r="A638" i="8"/>
  <c r="B638" i="8"/>
  <c r="C638" i="8"/>
  <c r="D638" i="8"/>
  <c r="A639" i="8"/>
  <c r="B639" i="8"/>
  <c r="C639" i="8"/>
  <c r="D639" i="8"/>
  <c r="A640" i="8"/>
  <c r="B640" i="8"/>
  <c r="C640" i="8"/>
  <c r="D640" i="8"/>
  <c r="A641" i="8"/>
  <c r="B641" i="8"/>
  <c r="C641" i="8"/>
  <c r="D641" i="8"/>
  <c r="A642" i="8"/>
  <c r="B642" i="8"/>
  <c r="C642" i="8"/>
  <c r="D642" i="8"/>
  <c r="A643" i="8"/>
  <c r="B643" i="8"/>
  <c r="C643" i="8"/>
  <c r="D643" i="8"/>
  <c r="A644" i="8"/>
  <c r="B644" i="8"/>
  <c r="C644" i="8"/>
  <c r="D644" i="8"/>
  <c r="A645" i="8"/>
  <c r="B645" i="8"/>
  <c r="C645" i="8"/>
  <c r="D645" i="8"/>
  <c r="A646" i="8"/>
  <c r="B646" i="8"/>
  <c r="C646" i="8"/>
  <c r="D646" i="8"/>
  <c r="A647" i="8"/>
  <c r="B647" i="8"/>
  <c r="C647" i="8"/>
  <c r="D647" i="8"/>
  <c r="A648" i="8"/>
  <c r="B648" i="8"/>
  <c r="C648" i="8"/>
  <c r="D648" i="8"/>
  <c r="A649" i="8"/>
  <c r="B649" i="8"/>
  <c r="C649" i="8"/>
  <c r="D649" i="8"/>
  <c r="A650" i="8"/>
  <c r="B650" i="8"/>
  <c r="C650" i="8"/>
  <c r="D650" i="8"/>
  <c r="A651" i="8"/>
  <c r="B651" i="8"/>
  <c r="C651" i="8"/>
  <c r="D651" i="8"/>
  <c r="A652" i="8"/>
  <c r="B652" i="8"/>
  <c r="C652" i="8"/>
  <c r="D652" i="8"/>
  <c r="A653" i="8"/>
  <c r="B653" i="8"/>
  <c r="C653" i="8"/>
  <c r="D653" i="8"/>
  <c r="A654" i="8"/>
  <c r="B654" i="8"/>
  <c r="C654" i="8"/>
  <c r="D654" i="8"/>
  <c r="A655" i="8"/>
  <c r="B655" i="8"/>
  <c r="C655" i="8"/>
  <c r="D655" i="8"/>
  <c r="A656" i="8"/>
  <c r="B656" i="8"/>
  <c r="C656" i="8"/>
  <c r="D656" i="8"/>
  <c r="A657" i="8"/>
  <c r="B657" i="8"/>
  <c r="C657" i="8"/>
  <c r="D657" i="8"/>
  <c r="A658" i="8"/>
  <c r="B658" i="8"/>
  <c r="C658" i="8"/>
  <c r="D658" i="8"/>
  <c r="A659" i="8"/>
  <c r="B659" i="8"/>
  <c r="C659" i="8"/>
  <c r="D659" i="8"/>
  <c r="A660" i="8"/>
  <c r="B660" i="8"/>
  <c r="C660" i="8"/>
  <c r="D660" i="8"/>
  <c r="A661" i="8"/>
  <c r="B661" i="8"/>
  <c r="C661" i="8"/>
  <c r="D661" i="8"/>
  <c r="A662" i="8"/>
  <c r="B662" i="8"/>
  <c r="C662" i="8"/>
  <c r="D662" i="8"/>
  <c r="A663" i="8"/>
  <c r="B663" i="8"/>
  <c r="C663" i="8"/>
  <c r="D663" i="8"/>
  <c r="A664" i="8"/>
  <c r="B664" i="8"/>
  <c r="C664" i="8"/>
  <c r="D664" i="8"/>
  <c r="A665" i="8"/>
  <c r="B665" i="8"/>
  <c r="C665" i="8"/>
  <c r="D665" i="8"/>
  <c r="A666" i="8"/>
  <c r="B666" i="8"/>
  <c r="C666" i="8"/>
  <c r="D666" i="8"/>
  <c r="A667" i="8"/>
  <c r="B667" i="8"/>
  <c r="C667" i="8"/>
  <c r="D667" i="8"/>
  <c r="A668" i="8"/>
  <c r="B668" i="8"/>
  <c r="C668" i="8"/>
  <c r="D668" i="8"/>
  <c r="A669" i="8"/>
  <c r="B669" i="8"/>
  <c r="C669" i="8"/>
  <c r="D669" i="8"/>
  <c r="A670" i="8"/>
  <c r="B670" i="8"/>
  <c r="C670" i="8"/>
  <c r="D670" i="8"/>
  <c r="A671" i="8"/>
  <c r="B671" i="8"/>
  <c r="C671" i="8"/>
  <c r="D671" i="8"/>
  <c r="A672" i="8"/>
  <c r="B672" i="8"/>
  <c r="C672" i="8"/>
  <c r="D672" i="8"/>
  <c r="A673" i="8"/>
  <c r="B673" i="8"/>
  <c r="C673" i="8"/>
  <c r="D673" i="8"/>
  <c r="A674" i="8"/>
  <c r="B674" i="8"/>
  <c r="C674" i="8"/>
  <c r="D674" i="8"/>
  <c r="A675" i="8"/>
  <c r="B675" i="8"/>
  <c r="C675" i="8"/>
  <c r="D675" i="8"/>
  <c r="A676" i="8"/>
  <c r="B676" i="8"/>
  <c r="C676" i="8"/>
  <c r="D676" i="8"/>
  <c r="A677" i="8"/>
  <c r="B677" i="8"/>
  <c r="C677" i="8"/>
  <c r="D677" i="8"/>
  <c r="A678" i="8"/>
  <c r="B678" i="8"/>
  <c r="C678" i="8"/>
  <c r="D678" i="8"/>
  <c r="A679" i="8"/>
  <c r="B679" i="8"/>
  <c r="C679" i="8"/>
  <c r="D679" i="8"/>
  <c r="A680" i="8"/>
  <c r="B680" i="8"/>
  <c r="C680" i="8"/>
  <c r="D680" i="8"/>
  <c r="A681" i="8"/>
  <c r="B681" i="8"/>
  <c r="C681" i="8"/>
  <c r="D681" i="8"/>
  <c r="A682" i="8"/>
  <c r="B682" i="8"/>
  <c r="C682" i="8"/>
  <c r="D682" i="8"/>
  <c r="A683" i="8"/>
  <c r="B683" i="8"/>
  <c r="C683" i="8"/>
  <c r="D683" i="8"/>
  <c r="A684" i="8"/>
  <c r="B684" i="8"/>
  <c r="C684" i="8"/>
  <c r="D684" i="8"/>
  <c r="A685" i="8"/>
  <c r="B685" i="8"/>
  <c r="C685" i="8"/>
  <c r="D685" i="8"/>
  <c r="A686" i="8"/>
  <c r="B686" i="8"/>
  <c r="C686" i="8"/>
  <c r="D686" i="8"/>
  <c r="A687" i="8"/>
  <c r="B687" i="8"/>
  <c r="C687" i="8"/>
  <c r="D687" i="8"/>
  <c r="A688" i="8"/>
  <c r="B688" i="8"/>
  <c r="C688" i="8"/>
  <c r="D688" i="8"/>
  <c r="A689" i="8"/>
  <c r="B689" i="8"/>
  <c r="C689" i="8"/>
  <c r="D689" i="8"/>
  <c r="A690" i="8"/>
  <c r="B690" i="8"/>
  <c r="C690" i="8"/>
  <c r="D690" i="8"/>
  <c r="A691" i="8"/>
  <c r="B691" i="8"/>
  <c r="C691" i="8"/>
  <c r="D691" i="8"/>
  <c r="A692" i="8"/>
  <c r="B692" i="8"/>
  <c r="C692" i="8"/>
  <c r="D692" i="8"/>
  <c r="A693" i="8"/>
  <c r="B693" i="8"/>
  <c r="C693" i="8"/>
  <c r="D693" i="8"/>
  <c r="A694" i="8"/>
  <c r="B694" i="8"/>
  <c r="C694" i="8"/>
  <c r="D694" i="8"/>
  <c r="A695" i="8"/>
  <c r="B695" i="8"/>
  <c r="C695" i="8"/>
  <c r="D695" i="8"/>
  <c r="A696" i="8"/>
  <c r="B696" i="8"/>
  <c r="C696" i="8"/>
  <c r="D696" i="8"/>
  <c r="A697" i="8"/>
  <c r="B697" i="8"/>
  <c r="C697" i="8"/>
  <c r="D697" i="8"/>
  <c r="A698" i="8"/>
  <c r="B698" i="8"/>
  <c r="C698" i="8"/>
  <c r="D698" i="8"/>
  <c r="A699" i="8"/>
  <c r="B699" i="8"/>
  <c r="C699" i="8"/>
  <c r="D699" i="8"/>
  <c r="A700" i="8"/>
  <c r="B700" i="8"/>
  <c r="C700" i="8"/>
  <c r="D700" i="8"/>
  <c r="A701" i="8"/>
  <c r="B701" i="8"/>
  <c r="C701" i="8"/>
  <c r="D701" i="8"/>
  <c r="A702" i="8"/>
  <c r="B702" i="8"/>
  <c r="C702" i="8"/>
  <c r="D702" i="8"/>
  <c r="A703" i="8"/>
  <c r="B703" i="8"/>
  <c r="C703" i="8"/>
  <c r="D703" i="8"/>
  <c r="A704" i="8"/>
  <c r="B704" i="8"/>
  <c r="C704" i="8"/>
  <c r="D704" i="8"/>
  <c r="A705" i="8"/>
  <c r="B705" i="8"/>
  <c r="C705" i="8"/>
  <c r="D705" i="8"/>
  <c r="A706" i="8"/>
  <c r="B706" i="8"/>
  <c r="C706" i="8"/>
  <c r="D706" i="8"/>
  <c r="A707" i="8"/>
  <c r="B707" i="8"/>
  <c r="C707" i="8"/>
  <c r="D707" i="8"/>
  <c r="A708" i="8"/>
  <c r="B708" i="8"/>
  <c r="C708" i="8"/>
  <c r="D708" i="8"/>
  <c r="A709" i="8"/>
  <c r="B709" i="8"/>
  <c r="C709" i="8"/>
  <c r="D709" i="8"/>
  <c r="A710" i="8"/>
  <c r="B710" i="8"/>
  <c r="C710" i="8"/>
  <c r="D710" i="8"/>
  <c r="A711" i="8"/>
  <c r="B711" i="8"/>
  <c r="C711" i="8"/>
  <c r="D711" i="8"/>
  <c r="A712" i="8"/>
  <c r="B712" i="8"/>
  <c r="C712" i="8"/>
  <c r="D712" i="8"/>
  <c r="A713" i="8"/>
  <c r="B713" i="8"/>
  <c r="C713" i="8"/>
  <c r="D713" i="8"/>
  <c r="A714" i="8"/>
  <c r="B714" i="8"/>
  <c r="C714" i="8"/>
  <c r="D714" i="8"/>
  <c r="A715" i="8"/>
  <c r="B715" i="8"/>
  <c r="C715" i="8"/>
  <c r="D715" i="8"/>
  <c r="A716" i="8"/>
  <c r="B716" i="8"/>
  <c r="C716" i="8"/>
  <c r="D716" i="8"/>
  <c r="A717" i="8"/>
  <c r="B717" i="8"/>
  <c r="C717" i="8"/>
  <c r="D717" i="8"/>
  <c r="A718" i="8"/>
  <c r="B718" i="8"/>
  <c r="C718" i="8"/>
  <c r="D718" i="8"/>
  <c r="A719" i="8"/>
  <c r="B719" i="8"/>
  <c r="C719" i="8"/>
  <c r="D719" i="8"/>
  <c r="A720" i="8"/>
  <c r="B720" i="8"/>
  <c r="C720" i="8"/>
  <c r="D720" i="8"/>
  <c r="A721" i="8"/>
  <c r="B721" i="8"/>
  <c r="C721" i="8"/>
  <c r="D721" i="8"/>
  <c r="A722" i="8"/>
  <c r="B722" i="8"/>
  <c r="C722" i="8"/>
  <c r="D722" i="8"/>
  <c r="A723" i="8"/>
  <c r="B723" i="8"/>
  <c r="C723" i="8"/>
  <c r="D723" i="8"/>
  <c r="A724" i="8"/>
  <c r="B724" i="8"/>
  <c r="C724" i="8"/>
  <c r="D724" i="8"/>
  <c r="A725" i="8"/>
  <c r="B725" i="8"/>
  <c r="C725" i="8"/>
  <c r="D725" i="8"/>
  <c r="A726" i="8"/>
  <c r="B726" i="8"/>
  <c r="C726" i="8"/>
  <c r="D726" i="8"/>
  <c r="A727" i="8"/>
  <c r="B727" i="8"/>
  <c r="C727" i="8"/>
  <c r="D727" i="8"/>
  <c r="A728" i="8"/>
  <c r="B728" i="8"/>
  <c r="C728" i="8"/>
  <c r="D728" i="8"/>
  <c r="A729" i="8"/>
  <c r="B729" i="8"/>
  <c r="C729" i="8"/>
  <c r="D729" i="8"/>
  <c r="A730" i="8"/>
  <c r="B730" i="8"/>
  <c r="C730" i="8"/>
  <c r="D730" i="8"/>
  <c r="A731" i="8"/>
  <c r="B731" i="8"/>
  <c r="C731" i="8"/>
  <c r="D731" i="8"/>
  <c r="A732" i="8"/>
  <c r="B732" i="8"/>
  <c r="C732" i="8"/>
  <c r="D732" i="8"/>
  <c r="A733" i="8"/>
  <c r="B733" i="8"/>
  <c r="C733" i="8"/>
  <c r="D733" i="8"/>
  <c r="A734" i="8"/>
  <c r="B734" i="8"/>
  <c r="C734" i="8"/>
  <c r="D734" i="8"/>
  <c r="A735" i="8"/>
  <c r="B735" i="8"/>
  <c r="C735" i="8"/>
  <c r="D735" i="8"/>
  <c r="A736" i="8"/>
  <c r="B736" i="8"/>
  <c r="C736" i="8"/>
  <c r="D736" i="8"/>
  <c r="A737" i="8"/>
  <c r="B737" i="8"/>
  <c r="C737" i="8"/>
  <c r="D737" i="8"/>
  <c r="A738" i="8"/>
  <c r="B738" i="8"/>
  <c r="C738" i="8"/>
  <c r="D738" i="8"/>
  <c r="A739" i="8"/>
  <c r="B739" i="8"/>
  <c r="C739" i="8"/>
  <c r="D739" i="8"/>
  <c r="A740" i="8"/>
  <c r="B740" i="8"/>
  <c r="C740" i="8"/>
  <c r="D740" i="8"/>
  <c r="A741" i="8"/>
  <c r="B741" i="8"/>
  <c r="C741" i="8"/>
  <c r="D741" i="8"/>
  <c r="A742" i="8"/>
  <c r="B742" i="8"/>
  <c r="C742" i="8"/>
  <c r="D742" i="8"/>
  <c r="A743" i="8"/>
  <c r="B743" i="8"/>
  <c r="C743" i="8"/>
  <c r="D743" i="8"/>
  <c r="A744" i="8"/>
  <c r="B744" i="8"/>
  <c r="C744" i="8"/>
  <c r="D744" i="8"/>
  <c r="A745" i="8"/>
  <c r="B745" i="8"/>
  <c r="C745" i="8"/>
  <c r="D745" i="8"/>
  <c r="A746" i="8"/>
  <c r="B746" i="8"/>
  <c r="C746" i="8"/>
  <c r="D746" i="8"/>
  <c r="A747" i="8"/>
  <c r="B747" i="8"/>
  <c r="C747" i="8"/>
  <c r="D747" i="8"/>
  <c r="A748" i="8"/>
  <c r="B748" i="8"/>
  <c r="C748" i="8"/>
  <c r="D748" i="8"/>
  <c r="A749" i="8"/>
  <c r="B749" i="8"/>
  <c r="C749" i="8"/>
  <c r="D749" i="8"/>
  <c r="A750" i="8"/>
  <c r="B750" i="8"/>
  <c r="C750" i="8"/>
  <c r="D750" i="8"/>
  <c r="A751" i="8"/>
  <c r="B751" i="8"/>
  <c r="C751" i="8"/>
  <c r="D751" i="8"/>
  <c r="A752" i="8"/>
  <c r="B752" i="8"/>
  <c r="C752" i="8"/>
  <c r="D752" i="8"/>
  <c r="A753" i="8"/>
  <c r="B753" i="8"/>
  <c r="C753" i="8"/>
  <c r="D753" i="8"/>
  <c r="A754" i="8"/>
  <c r="B754" i="8"/>
  <c r="C754" i="8"/>
  <c r="D754" i="8"/>
  <c r="A755" i="8"/>
  <c r="B755" i="8"/>
  <c r="C755" i="8"/>
  <c r="D755" i="8"/>
  <c r="A756" i="8"/>
  <c r="B756" i="8"/>
  <c r="C756" i="8"/>
  <c r="D756" i="8"/>
  <c r="A757" i="8"/>
  <c r="B757" i="8"/>
  <c r="C757" i="8"/>
  <c r="D757" i="8"/>
  <c r="A758" i="8"/>
  <c r="B758" i="8"/>
  <c r="C758" i="8"/>
  <c r="D758" i="8"/>
  <c r="A759" i="8"/>
  <c r="B759" i="8"/>
  <c r="C759" i="8"/>
  <c r="D759" i="8"/>
  <c r="A760" i="8"/>
  <c r="B760" i="8"/>
  <c r="C760" i="8"/>
  <c r="D760" i="8"/>
  <c r="A761" i="8"/>
  <c r="B761" i="8"/>
  <c r="C761" i="8"/>
  <c r="D761" i="8"/>
  <c r="A762" i="8"/>
  <c r="B762" i="8"/>
  <c r="C762" i="8"/>
  <c r="D762" i="8"/>
  <c r="A763" i="8"/>
  <c r="B763" i="8"/>
  <c r="C763" i="8"/>
  <c r="D763" i="8"/>
  <c r="A764" i="8"/>
  <c r="B764" i="8"/>
  <c r="C764" i="8"/>
  <c r="D764" i="8"/>
  <c r="A765" i="8"/>
  <c r="B765" i="8"/>
  <c r="C765" i="8"/>
  <c r="D765" i="8"/>
  <c r="A766" i="8"/>
  <c r="B766" i="8"/>
  <c r="C766" i="8"/>
  <c r="D766" i="8"/>
  <c r="A767" i="8"/>
  <c r="B767" i="8"/>
  <c r="C767" i="8"/>
  <c r="D767" i="8"/>
  <c r="A768" i="8"/>
  <c r="B768" i="8"/>
  <c r="C768" i="8"/>
  <c r="D768" i="8"/>
  <c r="A769" i="8"/>
  <c r="B769" i="8"/>
  <c r="C769" i="8"/>
  <c r="D769" i="8"/>
  <c r="A770" i="8"/>
  <c r="B770" i="8"/>
  <c r="C770" i="8"/>
  <c r="D770" i="8"/>
  <c r="A771" i="8"/>
  <c r="B771" i="8"/>
  <c r="C771" i="8"/>
  <c r="D771" i="8"/>
  <c r="A772" i="8"/>
  <c r="B772" i="8"/>
  <c r="C772" i="8"/>
  <c r="D772" i="8"/>
  <c r="A773" i="8"/>
  <c r="B773" i="8"/>
  <c r="C773" i="8"/>
  <c r="D773" i="8"/>
  <c r="A774" i="8"/>
  <c r="B774" i="8"/>
  <c r="C774" i="8"/>
  <c r="D774" i="8"/>
  <c r="A775" i="8"/>
  <c r="B775" i="8"/>
  <c r="C775" i="8"/>
  <c r="D775" i="8"/>
  <c r="A776" i="8"/>
  <c r="B776" i="8"/>
  <c r="C776" i="8"/>
  <c r="D776" i="8"/>
  <c r="A777" i="8"/>
  <c r="B777" i="8"/>
  <c r="C777" i="8"/>
  <c r="D777" i="8"/>
  <c r="A778" i="8"/>
  <c r="B778" i="8"/>
  <c r="C778" i="8"/>
  <c r="D778" i="8"/>
  <c r="A779" i="8"/>
  <c r="B779" i="8"/>
  <c r="C779" i="8"/>
  <c r="D779" i="8"/>
  <c r="A780" i="8"/>
  <c r="B780" i="8"/>
  <c r="C780" i="8"/>
  <c r="D780" i="8"/>
  <c r="A781" i="8"/>
  <c r="B781" i="8"/>
  <c r="C781" i="8"/>
  <c r="D781" i="8"/>
  <c r="A782" i="8"/>
  <c r="B782" i="8"/>
  <c r="C782" i="8"/>
  <c r="D782" i="8"/>
  <c r="A783" i="8"/>
  <c r="B783" i="8"/>
  <c r="C783" i="8"/>
  <c r="D783" i="8"/>
  <c r="A784" i="8"/>
  <c r="B784" i="8"/>
  <c r="C784" i="8"/>
  <c r="D784" i="8"/>
  <c r="A785" i="8"/>
  <c r="B785" i="8"/>
  <c r="C785" i="8"/>
  <c r="D785" i="8"/>
  <c r="A786" i="8"/>
  <c r="B786" i="8"/>
  <c r="C786" i="8"/>
  <c r="D786" i="8"/>
  <c r="A787" i="8"/>
  <c r="B787" i="8"/>
  <c r="C787" i="8"/>
  <c r="D787" i="8"/>
  <c r="A788" i="8"/>
  <c r="B788" i="8"/>
  <c r="C788" i="8"/>
  <c r="D788" i="8"/>
  <c r="A789" i="8"/>
  <c r="B789" i="8"/>
  <c r="C789" i="8"/>
  <c r="D789" i="8"/>
  <c r="A790" i="8"/>
  <c r="B790" i="8"/>
  <c r="C790" i="8"/>
  <c r="D790" i="8"/>
  <c r="A791" i="8"/>
  <c r="B791" i="8"/>
  <c r="C791" i="8"/>
  <c r="D791" i="8"/>
  <c r="A792" i="8"/>
  <c r="B792" i="8"/>
  <c r="C792" i="8"/>
  <c r="D792" i="8"/>
  <c r="A793" i="8"/>
  <c r="B793" i="8"/>
  <c r="C793" i="8"/>
  <c r="D793" i="8"/>
  <c r="A794" i="8"/>
  <c r="B794" i="8"/>
  <c r="C794" i="8"/>
  <c r="D794" i="8"/>
  <c r="A795" i="8"/>
  <c r="B795" i="8"/>
  <c r="C795" i="8"/>
  <c r="D795" i="8"/>
  <c r="A796" i="8"/>
  <c r="B796" i="8"/>
  <c r="C796" i="8"/>
  <c r="D796" i="8"/>
  <c r="A797" i="8"/>
  <c r="B797" i="8"/>
  <c r="C797" i="8"/>
  <c r="D797" i="8"/>
  <c r="A798" i="8"/>
  <c r="B798" i="8"/>
  <c r="C798" i="8"/>
  <c r="D798" i="8"/>
  <c r="A799" i="8"/>
  <c r="B799" i="8"/>
  <c r="C799" i="8"/>
  <c r="D799" i="8"/>
  <c r="A800" i="8"/>
  <c r="B800" i="8"/>
  <c r="C800" i="8"/>
  <c r="D800" i="8"/>
  <c r="A801" i="8"/>
  <c r="B801" i="8"/>
  <c r="C801" i="8"/>
  <c r="D801" i="8"/>
  <c r="A802" i="8"/>
  <c r="B802" i="8"/>
  <c r="C802" i="8"/>
  <c r="D802" i="8"/>
  <c r="A803" i="8"/>
  <c r="B803" i="8"/>
  <c r="C803" i="8"/>
  <c r="D803" i="8"/>
  <c r="A804" i="8"/>
  <c r="B804" i="8"/>
  <c r="C804" i="8"/>
  <c r="D804" i="8"/>
  <c r="A805" i="8"/>
  <c r="B805" i="8"/>
  <c r="C805" i="8"/>
  <c r="D805" i="8"/>
  <c r="A806" i="8"/>
  <c r="B806" i="8"/>
  <c r="C806" i="8"/>
  <c r="D806" i="8"/>
  <c r="A807" i="8"/>
  <c r="B807" i="8"/>
  <c r="C807" i="8"/>
  <c r="D807" i="8"/>
  <c r="A808" i="8"/>
  <c r="B808" i="8"/>
  <c r="C808" i="8"/>
  <c r="D808" i="8"/>
  <c r="A809" i="8"/>
  <c r="B809" i="8"/>
  <c r="C809" i="8"/>
  <c r="D809" i="8"/>
  <c r="A810" i="8"/>
  <c r="B810" i="8"/>
  <c r="C810" i="8"/>
  <c r="D810" i="8"/>
  <c r="A811" i="8"/>
  <c r="B811" i="8"/>
  <c r="C811" i="8"/>
  <c r="D811" i="8"/>
  <c r="A812" i="8"/>
  <c r="B812" i="8"/>
  <c r="C812" i="8"/>
  <c r="D812" i="8"/>
  <c r="A813" i="8"/>
  <c r="B813" i="8"/>
  <c r="C813" i="8"/>
  <c r="D813" i="8"/>
  <c r="A814" i="8"/>
  <c r="B814" i="8"/>
  <c r="C814" i="8"/>
  <c r="D814" i="8"/>
  <c r="A815" i="8"/>
  <c r="B815" i="8"/>
  <c r="C815" i="8"/>
  <c r="D815" i="8"/>
  <c r="A816" i="8"/>
  <c r="B816" i="8"/>
  <c r="C816" i="8"/>
  <c r="D816" i="8"/>
  <c r="A817" i="8"/>
  <c r="B817" i="8"/>
  <c r="C817" i="8"/>
  <c r="D817" i="8"/>
  <c r="A818" i="8"/>
  <c r="B818" i="8"/>
  <c r="C818" i="8"/>
  <c r="D818" i="8"/>
  <c r="A819" i="8"/>
  <c r="B819" i="8"/>
  <c r="C819" i="8"/>
  <c r="D819" i="8"/>
  <c r="A820" i="8"/>
  <c r="B820" i="8"/>
  <c r="C820" i="8"/>
  <c r="D820" i="8"/>
  <c r="A821" i="8"/>
  <c r="B821" i="8"/>
  <c r="C821" i="8"/>
  <c r="D821" i="8"/>
  <c r="A822" i="8"/>
  <c r="B822" i="8"/>
  <c r="C822" i="8"/>
  <c r="D822" i="8"/>
  <c r="A823" i="8"/>
  <c r="B823" i="8"/>
  <c r="C823" i="8"/>
  <c r="D823" i="8"/>
  <c r="A824" i="8"/>
  <c r="B824" i="8"/>
  <c r="C824" i="8"/>
  <c r="D824" i="8"/>
  <c r="A825" i="8"/>
  <c r="B825" i="8"/>
  <c r="C825" i="8"/>
  <c r="D825" i="8"/>
  <c r="A826" i="8"/>
  <c r="B826" i="8"/>
  <c r="C826" i="8"/>
  <c r="D826" i="8"/>
  <c r="A827" i="8"/>
  <c r="B827" i="8"/>
  <c r="C827" i="8"/>
  <c r="D827" i="8"/>
  <c r="A828" i="8"/>
  <c r="B828" i="8"/>
  <c r="C828" i="8"/>
  <c r="D828" i="8"/>
  <c r="A829" i="8"/>
  <c r="B829" i="8"/>
  <c r="C829" i="8"/>
  <c r="D829" i="8"/>
  <c r="A830" i="8"/>
  <c r="B830" i="8"/>
  <c r="C830" i="8"/>
  <c r="D830" i="8"/>
  <c r="A831" i="8"/>
  <c r="B831" i="8"/>
  <c r="C831" i="8"/>
  <c r="D831" i="8"/>
  <c r="A832" i="8"/>
  <c r="B832" i="8"/>
  <c r="C832" i="8"/>
  <c r="D832" i="8"/>
  <c r="A833" i="8"/>
  <c r="B833" i="8"/>
  <c r="C833" i="8"/>
  <c r="D833" i="8"/>
  <c r="A834" i="8"/>
  <c r="B834" i="8"/>
  <c r="C834" i="8"/>
  <c r="D834" i="8"/>
  <c r="A835" i="8"/>
  <c r="B835" i="8"/>
  <c r="C835" i="8"/>
  <c r="D835" i="8"/>
  <c r="A836" i="8"/>
  <c r="B836" i="8"/>
  <c r="C836" i="8"/>
  <c r="D836" i="8"/>
  <c r="A837" i="8"/>
  <c r="B837" i="8"/>
  <c r="C837" i="8"/>
  <c r="D837" i="8"/>
  <c r="A838" i="8"/>
  <c r="B838" i="8"/>
  <c r="C838" i="8"/>
  <c r="D838" i="8"/>
  <c r="A839" i="8"/>
  <c r="B839" i="8"/>
  <c r="C839" i="8"/>
  <c r="D839" i="8"/>
  <c r="A840" i="8"/>
  <c r="B840" i="8"/>
  <c r="C840" i="8"/>
  <c r="D840" i="8"/>
  <c r="A841" i="8"/>
  <c r="B841" i="8"/>
  <c r="C841" i="8"/>
  <c r="D841" i="8"/>
  <c r="A842" i="8"/>
  <c r="B842" i="8"/>
  <c r="C842" i="8"/>
  <c r="D842" i="8"/>
  <c r="A843" i="8"/>
  <c r="B843" i="8"/>
  <c r="C843" i="8"/>
  <c r="D843" i="8"/>
  <c r="A844" i="8"/>
  <c r="B844" i="8"/>
  <c r="C844" i="8"/>
  <c r="D844" i="8"/>
  <c r="A845" i="8"/>
  <c r="B845" i="8"/>
  <c r="C845" i="8"/>
  <c r="D845" i="8"/>
  <c r="A846" i="8"/>
  <c r="B846" i="8"/>
  <c r="C846" i="8"/>
  <c r="D846" i="8"/>
  <c r="A847" i="8"/>
  <c r="B847" i="8"/>
  <c r="C847" i="8"/>
  <c r="D847" i="8"/>
  <c r="A848" i="8"/>
  <c r="B848" i="8"/>
  <c r="C848" i="8"/>
  <c r="D848" i="8"/>
  <c r="A849" i="8"/>
  <c r="B849" i="8"/>
  <c r="C849" i="8"/>
  <c r="D849" i="8"/>
  <c r="A850" i="8"/>
  <c r="B850" i="8"/>
  <c r="C850" i="8"/>
  <c r="D850" i="8"/>
  <c r="A851" i="8"/>
  <c r="B851" i="8"/>
  <c r="C851" i="8"/>
  <c r="D851" i="8"/>
  <c r="A852" i="8"/>
  <c r="B852" i="8"/>
  <c r="C852" i="8"/>
  <c r="D852" i="8"/>
  <c r="A853" i="8"/>
  <c r="B853" i="8"/>
  <c r="C853" i="8"/>
  <c r="D853" i="8"/>
  <c r="A854" i="8"/>
  <c r="B854" i="8"/>
  <c r="C854" i="8"/>
  <c r="D854" i="8"/>
  <c r="A855" i="8"/>
  <c r="B855" i="8"/>
  <c r="C855" i="8"/>
  <c r="D855" i="8"/>
  <c r="A856" i="8"/>
  <c r="B856" i="8"/>
  <c r="C856" i="8"/>
  <c r="D856" i="8"/>
  <c r="A857" i="8"/>
  <c r="B857" i="8"/>
  <c r="C857" i="8"/>
  <c r="D857" i="8"/>
  <c r="A858" i="8"/>
  <c r="B858" i="8"/>
  <c r="C858" i="8"/>
  <c r="D858" i="8"/>
  <c r="A859" i="8"/>
  <c r="B859" i="8"/>
  <c r="C859" i="8"/>
  <c r="D859" i="8"/>
  <c r="A860" i="8"/>
  <c r="B860" i="8"/>
  <c r="C860" i="8"/>
  <c r="D860" i="8"/>
  <c r="A861" i="8"/>
  <c r="B861" i="8"/>
  <c r="C861" i="8"/>
  <c r="D861" i="8"/>
  <c r="A862" i="8"/>
  <c r="B862" i="8"/>
  <c r="C862" i="8"/>
  <c r="D862" i="8"/>
  <c r="A863" i="8"/>
  <c r="B863" i="8"/>
  <c r="C863" i="8"/>
  <c r="D863" i="8"/>
  <c r="A864" i="8"/>
  <c r="B864" i="8"/>
  <c r="C864" i="8"/>
  <c r="D864" i="8"/>
  <c r="A865" i="8"/>
  <c r="B865" i="8"/>
  <c r="C865" i="8"/>
  <c r="D865" i="8"/>
  <c r="A866" i="8"/>
  <c r="B866" i="8"/>
  <c r="C866" i="8"/>
  <c r="D866" i="8"/>
  <c r="A867" i="8"/>
  <c r="B867" i="8"/>
  <c r="C867" i="8"/>
  <c r="D867" i="8"/>
  <c r="A868" i="8"/>
  <c r="B868" i="8"/>
  <c r="C868" i="8"/>
  <c r="D868" i="8"/>
  <c r="A869" i="8"/>
  <c r="B869" i="8"/>
  <c r="C869" i="8"/>
  <c r="D869" i="8"/>
  <c r="A870" i="8"/>
  <c r="B870" i="8"/>
  <c r="C870" i="8"/>
  <c r="D870" i="8"/>
  <c r="A871" i="8"/>
  <c r="B871" i="8"/>
  <c r="C871" i="8"/>
  <c r="D871" i="8"/>
  <c r="A872" i="8"/>
  <c r="B872" i="8"/>
  <c r="C872" i="8"/>
  <c r="D872" i="8"/>
  <c r="A873" i="8"/>
  <c r="B873" i="8"/>
  <c r="C873" i="8"/>
  <c r="D873" i="8"/>
  <c r="A874" i="8"/>
  <c r="B874" i="8"/>
  <c r="C874" i="8"/>
  <c r="D874" i="8"/>
  <c r="A875" i="8"/>
  <c r="B875" i="8"/>
  <c r="C875" i="8"/>
  <c r="D875" i="8"/>
  <c r="A876" i="8"/>
  <c r="B876" i="8"/>
  <c r="C876" i="8"/>
  <c r="D876" i="8"/>
  <c r="A877" i="8"/>
  <c r="B877" i="8"/>
  <c r="C877" i="8"/>
  <c r="D877" i="8"/>
  <c r="A878" i="8"/>
  <c r="B878" i="8"/>
  <c r="C878" i="8"/>
  <c r="D878" i="8"/>
  <c r="A879" i="8"/>
  <c r="B879" i="8"/>
  <c r="C879" i="8"/>
  <c r="D879" i="8"/>
  <c r="A880" i="8"/>
  <c r="B880" i="8"/>
  <c r="C880" i="8"/>
  <c r="D880" i="8"/>
  <c r="A881" i="8"/>
  <c r="B881" i="8"/>
  <c r="C881" i="8"/>
  <c r="D881" i="8"/>
  <c r="A882" i="8"/>
  <c r="B882" i="8"/>
  <c r="C882" i="8"/>
  <c r="D882" i="8"/>
  <c r="A883" i="8"/>
  <c r="B883" i="8"/>
  <c r="C883" i="8"/>
  <c r="D883" i="8"/>
  <c r="A884" i="8"/>
  <c r="B884" i="8"/>
  <c r="C884" i="8"/>
  <c r="D884" i="8"/>
  <c r="A885" i="8"/>
  <c r="B885" i="8"/>
  <c r="C885" i="8"/>
  <c r="D885" i="8"/>
  <c r="A886" i="8"/>
  <c r="B886" i="8"/>
  <c r="C886" i="8"/>
  <c r="D886" i="8"/>
  <c r="A887" i="8"/>
  <c r="B887" i="8"/>
  <c r="C887" i="8"/>
  <c r="D887" i="8"/>
  <c r="A888" i="8"/>
  <c r="B888" i="8"/>
  <c r="C888" i="8"/>
  <c r="D888" i="8"/>
  <c r="A889" i="8"/>
  <c r="B889" i="8"/>
  <c r="C889" i="8"/>
  <c r="D889" i="8"/>
  <c r="A890" i="8"/>
  <c r="B890" i="8"/>
  <c r="C890" i="8"/>
  <c r="D890" i="8"/>
  <c r="A891" i="8"/>
  <c r="B891" i="8"/>
  <c r="C891" i="8"/>
  <c r="D891" i="8"/>
  <c r="A892" i="8"/>
  <c r="B892" i="8"/>
  <c r="C892" i="8"/>
  <c r="D892" i="8"/>
  <c r="A893" i="8"/>
  <c r="B893" i="8"/>
  <c r="C893" i="8"/>
  <c r="D893" i="8"/>
  <c r="A894" i="8"/>
  <c r="B894" i="8"/>
  <c r="C894" i="8"/>
  <c r="D894" i="8"/>
  <c r="A895" i="8"/>
  <c r="B895" i="8"/>
  <c r="C895" i="8"/>
  <c r="D895" i="8"/>
  <c r="A896" i="8"/>
  <c r="B896" i="8"/>
  <c r="C896" i="8"/>
  <c r="D896" i="8"/>
  <c r="A897" i="8"/>
  <c r="B897" i="8"/>
  <c r="C897" i="8"/>
  <c r="D897" i="8"/>
  <c r="A898" i="8"/>
  <c r="B898" i="8"/>
  <c r="C898" i="8"/>
  <c r="D898" i="8"/>
  <c r="A899" i="8"/>
  <c r="B899" i="8"/>
  <c r="C899" i="8"/>
  <c r="D899" i="8"/>
  <c r="A900" i="8"/>
  <c r="B900" i="8"/>
  <c r="C900" i="8"/>
  <c r="D900" i="8"/>
  <c r="A901" i="8"/>
  <c r="B901" i="8"/>
  <c r="C901" i="8"/>
  <c r="D901" i="8"/>
  <c r="A902" i="8"/>
  <c r="B902" i="8"/>
  <c r="C902" i="8"/>
  <c r="D902" i="8"/>
  <c r="A903" i="8"/>
  <c r="B903" i="8"/>
  <c r="C903" i="8"/>
  <c r="D903" i="8"/>
  <c r="A904" i="8"/>
  <c r="B904" i="8"/>
  <c r="C904" i="8"/>
  <c r="D904" i="8"/>
  <c r="A905" i="8"/>
  <c r="B905" i="8"/>
  <c r="C905" i="8"/>
  <c r="D905" i="8"/>
  <c r="A906" i="8"/>
  <c r="B906" i="8"/>
  <c r="C906" i="8"/>
  <c r="D906" i="8"/>
  <c r="A907" i="8"/>
  <c r="B907" i="8"/>
  <c r="C907" i="8"/>
  <c r="D907" i="8"/>
  <c r="A908" i="8"/>
  <c r="B908" i="8"/>
  <c r="C908" i="8"/>
  <c r="D908" i="8"/>
  <c r="A909" i="8"/>
  <c r="B909" i="8"/>
  <c r="C909" i="8"/>
  <c r="D909" i="8"/>
  <c r="A910" i="8"/>
  <c r="B910" i="8"/>
  <c r="C910" i="8"/>
  <c r="D910" i="8"/>
  <c r="A911" i="8"/>
  <c r="B911" i="8"/>
  <c r="C911" i="8"/>
  <c r="D911" i="8"/>
  <c r="A912" i="8"/>
  <c r="B912" i="8"/>
  <c r="C912" i="8"/>
  <c r="D912" i="8"/>
  <c r="A913" i="8"/>
  <c r="B913" i="8"/>
  <c r="C913" i="8"/>
  <c r="D913" i="8"/>
  <c r="A914" i="8"/>
  <c r="B914" i="8"/>
  <c r="C914" i="8"/>
  <c r="D914" i="8"/>
  <c r="A915" i="8"/>
  <c r="B915" i="8"/>
  <c r="C915" i="8"/>
  <c r="D915" i="8"/>
  <c r="A916" i="8"/>
  <c r="B916" i="8"/>
  <c r="C916" i="8"/>
  <c r="D916" i="8"/>
  <c r="A917" i="8"/>
  <c r="B917" i="8"/>
  <c r="C917" i="8"/>
  <c r="D917" i="8"/>
  <c r="A918" i="8"/>
  <c r="B918" i="8"/>
  <c r="C918" i="8"/>
  <c r="D918" i="8"/>
  <c r="A919" i="8"/>
  <c r="B919" i="8"/>
  <c r="C919" i="8"/>
  <c r="D919" i="8"/>
  <c r="A920" i="8"/>
  <c r="B920" i="8"/>
  <c r="C920" i="8"/>
  <c r="D920" i="8"/>
  <c r="A921" i="8"/>
  <c r="B921" i="8"/>
  <c r="C921" i="8"/>
  <c r="D921" i="8"/>
  <c r="A922" i="8"/>
  <c r="B922" i="8"/>
  <c r="C922" i="8"/>
  <c r="D922" i="8"/>
  <c r="A923" i="8"/>
  <c r="B923" i="8"/>
  <c r="C923" i="8"/>
  <c r="D923" i="8"/>
  <c r="A924" i="8"/>
  <c r="B924" i="8"/>
  <c r="C924" i="8"/>
  <c r="D924" i="8"/>
  <c r="A925" i="8"/>
  <c r="B925" i="8"/>
  <c r="C925" i="8"/>
  <c r="D925" i="8"/>
  <c r="A926" i="8"/>
  <c r="B926" i="8"/>
  <c r="C926" i="8"/>
  <c r="D926" i="8"/>
  <c r="A927" i="8"/>
  <c r="B927" i="8"/>
  <c r="C927" i="8"/>
  <c r="D927" i="8"/>
  <c r="A928" i="8"/>
  <c r="B928" i="8"/>
  <c r="C928" i="8"/>
  <c r="D928" i="8"/>
  <c r="A929" i="8"/>
  <c r="B929" i="8"/>
  <c r="C929" i="8"/>
  <c r="D929" i="8"/>
  <c r="A930" i="8"/>
  <c r="B930" i="8"/>
  <c r="C930" i="8"/>
  <c r="D930" i="8"/>
  <c r="A931" i="8"/>
  <c r="B931" i="8"/>
  <c r="C931" i="8"/>
  <c r="D931" i="8"/>
  <c r="A932" i="8"/>
  <c r="B932" i="8"/>
  <c r="C932" i="8"/>
  <c r="D932" i="8"/>
  <c r="A933" i="8"/>
  <c r="B933" i="8"/>
  <c r="C933" i="8"/>
  <c r="D933" i="8"/>
  <c r="A934" i="8"/>
  <c r="B934" i="8"/>
  <c r="C934" i="8"/>
  <c r="D934" i="8"/>
  <c r="A935" i="8"/>
  <c r="B935" i="8"/>
  <c r="C935" i="8"/>
  <c r="D935" i="8"/>
  <c r="A936" i="8"/>
  <c r="B936" i="8"/>
  <c r="C936" i="8"/>
  <c r="D936" i="8"/>
  <c r="A937" i="8"/>
  <c r="B937" i="8"/>
  <c r="C937" i="8"/>
  <c r="D937" i="8"/>
  <c r="A938" i="8"/>
  <c r="B938" i="8"/>
  <c r="C938" i="8"/>
  <c r="D938" i="8"/>
  <c r="A939" i="8"/>
  <c r="B939" i="8"/>
  <c r="C939" i="8"/>
  <c r="D939" i="8"/>
  <c r="A940" i="8"/>
  <c r="B940" i="8"/>
  <c r="C940" i="8"/>
  <c r="D940" i="8"/>
  <c r="A941" i="8"/>
  <c r="B941" i="8"/>
  <c r="C941" i="8"/>
  <c r="D941" i="8"/>
  <c r="A942" i="8"/>
  <c r="B942" i="8"/>
  <c r="C942" i="8"/>
  <c r="D942" i="8"/>
  <c r="A943" i="8"/>
  <c r="B943" i="8"/>
  <c r="C943" i="8"/>
  <c r="D943" i="8"/>
  <c r="A944" i="8"/>
  <c r="B944" i="8"/>
  <c r="C944" i="8"/>
  <c r="D944" i="8"/>
  <c r="A945" i="8"/>
  <c r="B945" i="8"/>
  <c r="C945" i="8"/>
  <c r="D945" i="8"/>
  <c r="A946" i="8"/>
  <c r="B946" i="8"/>
  <c r="C946" i="8"/>
  <c r="D946" i="8"/>
  <c r="A947" i="8"/>
  <c r="B947" i="8"/>
  <c r="C947" i="8"/>
  <c r="D947" i="8"/>
  <c r="A948" i="8"/>
  <c r="B948" i="8"/>
  <c r="C948" i="8"/>
  <c r="D948" i="8"/>
  <c r="A949" i="8"/>
  <c r="B949" i="8"/>
  <c r="C949" i="8"/>
  <c r="D949" i="8"/>
  <c r="A950" i="8"/>
  <c r="B950" i="8"/>
  <c r="C950" i="8"/>
  <c r="D950" i="8"/>
  <c r="A951" i="8"/>
  <c r="B951" i="8"/>
  <c r="C951" i="8"/>
  <c r="D951" i="8"/>
  <c r="A952" i="8"/>
  <c r="B952" i="8"/>
  <c r="C952" i="8"/>
  <c r="D952" i="8"/>
  <c r="A953" i="8"/>
  <c r="B953" i="8"/>
  <c r="C953" i="8"/>
  <c r="D953" i="8"/>
  <c r="A954" i="8"/>
  <c r="B954" i="8"/>
  <c r="C954" i="8"/>
  <c r="D954" i="8"/>
  <c r="A955" i="8"/>
  <c r="B955" i="8"/>
  <c r="C955" i="8"/>
  <c r="D955" i="8"/>
  <c r="A956" i="8"/>
  <c r="B956" i="8"/>
  <c r="C956" i="8"/>
  <c r="D956" i="8"/>
  <c r="A957" i="8"/>
  <c r="B957" i="8"/>
  <c r="C957" i="8"/>
  <c r="D957" i="8"/>
  <c r="A958" i="8"/>
  <c r="B958" i="8"/>
  <c r="C958" i="8"/>
  <c r="D958" i="8"/>
  <c r="A959" i="8"/>
  <c r="B959" i="8"/>
  <c r="C959" i="8"/>
  <c r="D959" i="8"/>
  <c r="A960" i="8"/>
  <c r="B960" i="8"/>
  <c r="C960" i="8"/>
  <c r="D960" i="8"/>
  <c r="A961" i="8"/>
  <c r="B961" i="8"/>
  <c r="C961" i="8"/>
  <c r="D961" i="8"/>
  <c r="A962" i="8"/>
  <c r="B962" i="8"/>
  <c r="C962" i="8"/>
  <c r="D962" i="8"/>
  <c r="A963" i="8"/>
  <c r="B963" i="8"/>
  <c r="C963" i="8"/>
  <c r="D963" i="8"/>
  <c r="A964" i="8"/>
  <c r="B964" i="8"/>
  <c r="C964" i="8"/>
  <c r="D964" i="8"/>
  <c r="A965" i="8"/>
  <c r="B965" i="8"/>
  <c r="C965" i="8"/>
  <c r="D965" i="8"/>
  <c r="A966" i="8"/>
  <c r="B966" i="8"/>
  <c r="C966" i="8"/>
  <c r="D966" i="8"/>
  <c r="A967" i="8"/>
  <c r="B967" i="8"/>
  <c r="C967" i="8"/>
  <c r="D967" i="8"/>
  <c r="A968" i="8"/>
  <c r="B968" i="8"/>
  <c r="C968" i="8"/>
  <c r="D968" i="8"/>
  <c r="A969" i="8"/>
  <c r="B969" i="8"/>
  <c r="C969" i="8"/>
  <c r="D969" i="8"/>
  <c r="A970" i="8"/>
  <c r="B970" i="8"/>
  <c r="C970" i="8"/>
  <c r="D970" i="8"/>
  <c r="A971" i="8"/>
  <c r="B971" i="8"/>
  <c r="C971" i="8"/>
  <c r="D971" i="8"/>
  <c r="A972" i="8"/>
  <c r="B972" i="8"/>
  <c r="C972" i="8"/>
  <c r="D972" i="8"/>
  <c r="A973" i="8"/>
  <c r="B973" i="8"/>
  <c r="C973" i="8"/>
  <c r="D973" i="8"/>
  <c r="A974" i="8"/>
  <c r="B974" i="8"/>
  <c r="C974" i="8"/>
  <c r="D974" i="8"/>
  <c r="A975" i="8"/>
  <c r="B975" i="8"/>
  <c r="C975" i="8"/>
  <c r="D975" i="8"/>
  <c r="A976" i="8"/>
  <c r="B976" i="8"/>
  <c r="C976" i="8"/>
  <c r="D976" i="8"/>
  <c r="A977" i="8"/>
  <c r="B977" i="8"/>
  <c r="C977" i="8"/>
  <c r="D977" i="8"/>
  <c r="A978" i="8"/>
  <c r="B978" i="8"/>
  <c r="C978" i="8"/>
  <c r="D978" i="8"/>
  <c r="A979" i="8"/>
  <c r="B979" i="8"/>
  <c r="C979" i="8"/>
  <c r="D979" i="8"/>
  <c r="A980" i="8"/>
  <c r="B980" i="8"/>
  <c r="C980" i="8"/>
  <c r="D980" i="8"/>
  <c r="A981" i="8"/>
  <c r="B981" i="8"/>
  <c r="C981" i="8"/>
  <c r="D981" i="8"/>
  <c r="A982" i="8"/>
  <c r="B982" i="8"/>
  <c r="C982" i="8"/>
  <c r="D982" i="8"/>
  <c r="A983" i="8"/>
  <c r="B983" i="8"/>
  <c r="C983" i="8"/>
  <c r="D983" i="8"/>
  <c r="A984" i="8"/>
  <c r="B984" i="8"/>
  <c r="C984" i="8"/>
  <c r="D984" i="8"/>
  <c r="A985" i="8"/>
  <c r="B985" i="8"/>
  <c r="C985" i="8"/>
  <c r="D985" i="8"/>
  <c r="A986" i="8"/>
  <c r="B986" i="8"/>
  <c r="C986" i="8"/>
  <c r="D986" i="8"/>
  <c r="A987" i="8"/>
  <c r="B987" i="8"/>
  <c r="C987" i="8"/>
  <c r="D987" i="8"/>
  <c r="A988" i="8"/>
  <c r="B988" i="8"/>
  <c r="C988" i="8"/>
  <c r="D988" i="8"/>
  <c r="A989" i="8"/>
  <c r="B989" i="8"/>
  <c r="C989" i="8"/>
  <c r="D989" i="8"/>
  <c r="A990" i="8"/>
  <c r="B990" i="8"/>
  <c r="C990" i="8"/>
  <c r="D990" i="8"/>
  <c r="A991" i="8"/>
  <c r="B991" i="8"/>
  <c r="C991" i="8"/>
  <c r="D991" i="8"/>
  <c r="A992" i="8"/>
  <c r="B992" i="8"/>
  <c r="C992" i="8"/>
  <c r="D992" i="8"/>
  <c r="A993" i="8"/>
  <c r="B993" i="8"/>
  <c r="C993" i="8"/>
  <c r="D993" i="8"/>
  <c r="A994" i="8"/>
  <c r="B994" i="8"/>
  <c r="C994" i="8"/>
  <c r="D994" i="8"/>
  <c r="A995" i="8"/>
  <c r="B995" i="8"/>
  <c r="C995" i="8"/>
  <c r="D995" i="8"/>
  <c r="A996" i="8"/>
  <c r="B996" i="8"/>
  <c r="C996" i="8"/>
  <c r="D996" i="8"/>
  <c r="A997" i="8"/>
  <c r="B997" i="8"/>
  <c r="C997" i="8"/>
  <c r="D997" i="8"/>
  <c r="A998" i="8"/>
  <c r="B998" i="8"/>
  <c r="C998" i="8"/>
  <c r="D998" i="8"/>
  <c r="A999" i="8"/>
  <c r="B999" i="8"/>
  <c r="C999" i="8"/>
  <c r="D999" i="8"/>
  <c r="A1000" i="8"/>
  <c r="B1000" i="8"/>
  <c r="C1000" i="8"/>
  <c r="D1000" i="8"/>
  <c r="A1001" i="8"/>
  <c r="B1001" i="8"/>
  <c r="C1001" i="8"/>
  <c r="D1001" i="8"/>
  <c r="A1002" i="8"/>
  <c r="B1002" i="8"/>
  <c r="C1002" i="8"/>
  <c r="D1002" i="8"/>
  <c r="A1003" i="8"/>
  <c r="B1003" i="8"/>
  <c r="C1003" i="8"/>
  <c r="D1003" i="8"/>
  <c r="A1004" i="8"/>
  <c r="B1004" i="8"/>
  <c r="C1004" i="8"/>
  <c r="D1004" i="8"/>
  <c r="A1005" i="8"/>
  <c r="B1005" i="8"/>
  <c r="C1005" i="8"/>
  <c r="D1005" i="8"/>
  <c r="A1006" i="8"/>
  <c r="B1006" i="8"/>
  <c r="C1006" i="8"/>
  <c r="D1006" i="8"/>
  <c r="A1007" i="8"/>
  <c r="B1007" i="8"/>
  <c r="C1007" i="8"/>
  <c r="D1007" i="8"/>
  <c r="A1008" i="8"/>
  <c r="B1008" i="8"/>
  <c r="C1008" i="8"/>
  <c r="D1008" i="8"/>
  <c r="A1009" i="8"/>
  <c r="B1009" i="8"/>
  <c r="C1009" i="8"/>
  <c r="D1009" i="8"/>
  <c r="A1010" i="8"/>
  <c r="B1010" i="8"/>
  <c r="C1010" i="8"/>
  <c r="D1010" i="8"/>
  <c r="A1011" i="8"/>
  <c r="B1011" i="8"/>
  <c r="C1011" i="8"/>
  <c r="D1011" i="8"/>
  <c r="A1012" i="8"/>
  <c r="B1012" i="8"/>
  <c r="C1012" i="8"/>
  <c r="D1012" i="8"/>
  <c r="A1013" i="8"/>
  <c r="B1013" i="8"/>
  <c r="C1013" i="8"/>
  <c r="D1013" i="8"/>
  <c r="A1014" i="8"/>
  <c r="B1014" i="8"/>
  <c r="C1014" i="8"/>
  <c r="D1014" i="8"/>
  <c r="A1015" i="8"/>
  <c r="B1015" i="8"/>
  <c r="C1015" i="8"/>
  <c r="D1015" i="8"/>
  <c r="A1016" i="8"/>
  <c r="B1016" i="8"/>
  <c r="C1016" i="8"/>
  <c r="D1016" i="8"/>
  <c r="A1017" i="8"/>
  <c r="B1017" i="8"/>
  <c r="C1017" i="8"/>
  <c r="D1017" i="8"/>
  <c r="A1018" i="8"/>
  <c r="B1018" i="8"/>
  <c r="C1018" i="8"/>
  <c r="D1018" i="8"/>
  <c r="A1019" i="8"/>
  <c r="B1019" i="8"/>
  <c r="C1019" i="8"/>
  <c r="D1019" i="8"/>
  <c r="A1020" i="8"/>
  <c r="B1020" i="8"/>
  <c r="C1020" i="8"/>
  <c r="D1020" i="8"/>
  <c r="A1021" i="8"/>
  <c r="B1021" i="8"/>
  <c r="C1021" i="8"/>
  <c r="D1021" i="8"/>
  <c r="A1022" i="8"/>
  <c r="B1022" i="8"/>
  <c r="C1022" i="8"/>
  <c r="D1022" i="8"/>
  <c r="A1023" i="8"/>
  <c r="B1023" i="8"/>
  <c r="C1023" i="8"/>
  <c r="D1023" i="8"/>
  <c r="A1024" i="8"/>
  <c r="B1024" i="8"/>
  <c r="C1024" i="8"/>
  <c r="D1024" i="8"/>
  <c r="A1025" i="8"/>
  <c r="B1025" i="8"/>
  <c r="C1025" i="8"/>
  <c r="D1025" i="8"/>
  <c r="A1026" i="8"/>
  <c r="B1026" i="8"/>
  <c r="C1026" i="8"/>
  <c r="D1026" i="8"/>
  <c r="A1027" i="8"/>
  <c r="B1027" i="8"/>
  <c r="C1027" i="8"/>
  <c r="D1027" i="8"/>
  <c r="A1028" i="8"/>
  <c r="B1028" i="8"/>
  <c r="C1028" i="8"/>
  <c r="D1028" i="8"/>
  <c r="A1029" i="8"/>
  <c r="B1029" i="8"/>
  <c r="C1029" i="8"/>
  <c r="D1029" i="8"/>
  <c r="A1030" i="8"/>
  <c r="B1030" i="8"/>
  <c r="C1030" i="8"/>
  <c r="D1030" i="8"/>
  <c r="A1031" i="8"/>
  <c r="B1031" i="8"/>
  <c r="C1031" i="8"/>
  <c r="D1031" i="8"/>
  <c r="A1032" i="8"/>
  <c r="B1032" i="8"/>
  <c r="C1032" i="8"/>
  <c r="D1032" i="8"/>
  <c r="A1033" i="8"/>
  <c r="B1033" i="8"/>
  <c r="C1033" i="8"/>
  <c r="D1033" i="8"/>
  <c r="A1034" i="8"/>
  <c r="B1034" i="8"/>
  <c r="C1034" i="8"/>
  <c r="D1034" i="8"/>
  <c r="A1035" i="8"/>
  <c r="B1035" i="8"/>
  <c r="C1035" i="8"/>
  <c r="D1035" i="8"/>
  <c r="A1036" i="8"/>
  <c r="B1036" i="8"/>
  <c r="C1036" i="8"/>
  <c r="D1036" i="8"/>
  <c r="A1037" i="8"/>
  <c r="B1037" i="8"/>
  <c r="C1037" i="8"/>
  <c r="D1037" i="8"/>
  <c r="A1038" i="8"/>
  <c r="B1038" i="8"/>
  <c r="C1038" i="8"/>
  <c r="D1038" i="8"/>
  <c r="A1039" i="8"/>
  <c r="B1039" i="8"/>
  <c r="C1039" i="8"/>
  <c r="D1039" i="8"/>
  <c r="A1040" i="8"/>
  <c r="B1040" i="8"/>
  <c r="C1040" i="8"/>
  <c r="D1040" i="8"/>
  <c r="A1041" i="8"/>
  <c r="B1041" i="8"/>
  <c r="C1041" i="8"/>
  <c r="D1041" i="8"/>
  <c r="A1042" i="8"/>
  <c r="B1042" i="8"/>
  <c r="C1042" i="8"/>
  <c r="D1042" i="8"/>
  <c r="A1043" i="8"/>
  <c r="B1043" i="8"/>
  <c r="C1043" i="8"/>
  <c r="D1043" i="8"/>
  <c r="A1044" i="8"/>
  <c r="B1044" i="8"/>
  <c r="C1044" i="8"/>
  <c r="D1044" i="8"/>
  <c r="A1045" i="8"/>
  <c r="B1045" i="8"/>
  <c r="C1045" i="8"/>
  <c r="D1045" i="8"/>
  <c r="A1046" i="8"/>
  <c r="B1046" i="8"/>
  <c r="C1046" i="8"/>
  <c r="D1046" i="8"/>
  <c r="A1047" i="8"/>
  <c r="B1047" i="8"/>
  <c r="C1047" i="8"/>
  <c r="D1047" i="8"/>
  <c r="A1048" i="8"/>
  <c r="B1048" i="8"/>
  <c r="C1048" i="8"/>
  <c r="D1048" i="8"/>
  <c r="A1049" i="8"/>
  <c r="B1049" i="8"/>
  <c r="C1049" i="8"/>
  <c r="D1049" i="8"/>
  <c r="A1050" i="8"/>
  <c r="B1050" i="8"/>
  <c r="C1050" i="8"/>
  <c r="D1050" i="8"/>
  <c r="A1051" i="8"/>
  <c r="B1051" i="8"/>
  <c r="C1051" i="8"/>
  <c r="D1051" i="8"/>
  <c r="A1052" i="8"/>
  <c r="B1052" i="8"/>
  <c r="C1052" i="8"/>
  <c r="D1052" i="8"/>
  <c r="A1053" i="8"/>
  <c r="B1053" i="8"/>
  <c r="C1053" i="8"/>
  <c r="D1053" i="8"/>
  <c r="A1054" i="8"/>
  <c r="B1054" i="8"/>
  <c r="C1054" i="8"/>
  <c r="D1054" i="8"/>
  <c r="A1055" i="8"/>
  <c r="B1055" i="8"/>
  <c r="C1055" i="8"/>
  <c r="D1055" i="8"/>
  <c r="A1056" i="8"/>
  <c r="B1056" i="8"/>
  <c r="C1056" i="8"/>
  <c r="D1056" i="8"/>
  <c r="A1057" i="8"/>
  <c r="B1057" i="8"/>
  <c r="C1057" i="8"/>
  <c r="D1057" i="8"/>
  <c r="A1058" i="8"/>
  <c r="B1058" i="8"/>
  <c r="C1058" i="8"/>
  <c r="D1058" i="8"/>
  <c r="A1059" i="8"/>
  <c r="B1059" i="8"/>
  <c r="C1059" i="8"/>
  <c r="D1059" i="8"/>
  <c r="A1060" i="8"/>
  <c r="B1060" i="8"/>
  <c r="C1060" i="8"/>
  <c r="D1060" i="8"/>
  <c r="A1061" i="8"/>
  <c r="B1061" i="8"/>
  <c r="C1061" i="8"/>
  <c r="D1061" i="8"/>
  <c r="A1062" i="8"/>
  <c r="B1062" i="8"/>
  <c r="C1062" i="8"/>
  <c r="D1062" i="8"/>
  <c r="A1063" i="8"/>
  <c r="B1063" i="8"/>
  <c r="C1063" i="8"/>
  <c r="D1063" i="8"/>
  <c r="A1064" i="8"/>
  <c r="B1064" i="8"/>
  <c r="C1064" i="8"/>
  <c r="D1064" i="8"/>
  <c r="A1065" i="8"/>
  <c r="B1065" i="8"/>
  <c r="C1065" i="8"/>
  <c r="D1065" i="8"/>
  <c r="A1066" i="8"/>
  <c r="B1066" i="8"/>
  <c r="C1066" i="8"/>
  <c r="D1066" i="8"/>
  <c r="A1067" i="8"/>
  <c r="B1067" i="8"/>
  <c r="C1067" i="8"/>
  <c r="D1067" i="8"/>
  <c r="A1068" i="8"/>
  <c r="B1068" i="8"/>
  <c r="C1068" i="8"/>
  <c r="D1068" i="8"/>
  <c r="A1069" i="8"/>
  <c r="B1069" i="8"/>
  <c r="C1069" i="8"/>
  <c r="D1069" i="8"/>
  <c r="A1070" i="8"/>
  <c r="B1070" i="8"/>
  <c r="C1070" i="8"/>
  <c r="D1070" i="8"/>
  <c r="A1071" i="8"/>
  <c r="B1071" i="8"/>
  <c r="C1071" i="8"/>
  <c r="D1071" i="8"/>
  <c r="A1072" i="8"/>
  <c r="B1072" i="8"/>
  <c r="C1072" i="8"/>
  <c r="D1072" i="8"/>
  <c r="A1073" i="8"/>
  <c r="B1073" i="8"/>
  <c r="C1073" i="8"/>
  <c r="D1073" i="8"/>
  <c r="A1074" i="8"/>
  <c r="B1074" i="8"/>
  <c r="C1074" i="8"/>
  <c r="D1074" i="8"/>
  <c r="A1075" i="8"/>
  <c r="B1075" i="8"/>
  <c r="C1075" i="8"/>
  <c r="D1075" i="8"/>
  <c r="A1076" i="8"/>
  <c r="B1076" i="8"/>
  <c r="C1076" i="8"/>
  <c r="D1076" i="8"/>
  <c r="A1077" i="8"/>
  <c r="B1077" i="8"/>
  <c r="C1077" i="8"/>
  <c r="D1077" i="8"/>
  <c r="A1078" i="8"/>
  <c r="B1078" i="8"/>
  <c r="C1078" i="8"/>
  <c r="D1078" i="8"/>
  <c r="A1079" i="8"/>
  <c r="B1079" i="8"/>
  <c r="C1079" i="8"/>
  <c r="D1079" i="8"/>
  <c r="A1080" i="8"/>
  <c r="B1080" i="8"/>
  <c r="C1080" i="8"/>
  <c r="D1080" i="8"/>
  <c r="A1081" i="8"/>
  <c r="B1081" i="8"/>
  <c r="C1081" i="8"/>
  <c r="D1081" i="8"/>
  <c r="A1082" i="8"/>
  <c r="B1082" i="8"/>
  <c r="C1082" i="8"/>
  <c r="D1082" i="8"/>
  <c r="A1083" i="8"/>
  <c r="B1083" i="8"/>
  <c r="C1083" i="8"/>
  <c r="D1083" i="8"/>
  <c r="A1084" i="8"/>
  <c r="B1084" i="8"/>
  <c r="C1084" i="8"/>
  <c r="D1084" i="8"/>
  <c r="A1085" i="8"/>
  <c r="B1085" i="8"/>
  <c r="C1085" i="8"/>
  <c r="D1085" i="8"/>
  <c r="A1086" i="8"/>
  <c r="B1086" i="8"/>
  <c r="C1086" i="8"/>
  <c r="D1086" i="8"/>
  <c r="A1087" i="8"/>
  <c r="B1087" i="8"/>
  <c r="C1087" i="8"/>
  <c r="D1087" i="8"/>
  <c r="A1088" i="8"/>
  <c r="B1088" i="8"/>
  <c r="C1088" i="8"/>
  <c r="D1088" i="8"/>
  <c r="A1089" i="8"/>
  <c r="B1089" i="8"/>
  <c r="C1089" i="8"/>
  <c r="D1089" i="8"/>
  <c r="A1090" i="8"/>
  <c r="B1090" i="8"/>
  <c r="C1090" i="8"/>
  <c r="D1090" i="8"/>
  <c r="A1091" i="8"/>
  <c r="B1091" i="8"/>
  <c r="C1091" i="8"/>
  <c r="D1091" i="8"/>
  <c r="A1092" i="8"/>
  <c r="B1092" i="8"/>
  <c r="C1092" i="8"/>
  <c r="D1092" i="8"/>
  <c r="A1093" i="8"/>
  <c r="B1093" i="8"/>
  <c r="C1093" i="8"/>
  <c r="D1093" i="8"/>
  <c r="A1094" i="8"/>
  <c r="B1094" i="8"/>
  <c r="C1094" i="8"/>
  <c r="D1094" i="8"/>
  <c r="A1095" i="8"/>
  <c r="B1095" i="8"/>
  <c r="C1095" i="8"/>
  <c r="D1095" i="8"/>
  <c r="A1096" i="8"/>
  <c r="B1096" i="8"/>
  <c r="C1096" i="8"/>
  <c r="D1096" i="8"/>
  <c r="A1097" i="8"/>
  <c r="B1097" i="8"/>
  <c r="C1097" i="8"/>
  <c r="D1097" i="8"/>
  <c r="A1098" i="8"/>
  <c r="B1098" i="8"/>
  <c r="C1098" i="8"/>
  <c r="D1098" i="8"/>
  <c r="A1099" i="8"/>
  <c r="B1099" i="8"/>
  <c r="C1099" i="8"/>
  <c r="D1099" i="8"/>
  <c r="A1100" i="8"/>
  <c r="B1100" i="8"/>
  <c r="C1100" i="8"/>
  <c r="D1100" i="8"/>
  <c r="A1101" i="8"/>
  <c r="B1101" i="8"/>
  <c r="C1101" i="8"/>
  <c r="D1101" i="8"/>
  <c r="A1102" i="8"/>
  <c r="B1102" i="8"/>
  <c r="C1102" i="8"/>
  <c r="D1102" i="8"/>
  <c r="A1103" i="8"/>
  <c r="B1103" i="8"/>
  <c r="C1103" i="8"/>
  <c r="D1103" i="8"/>
  <c r="A1104" i="8"/>
  <c r="B1104" i="8"/>
  <c r="C1104" i="8"/>
  <c r="D1104" i="8"/>
  <c r="A1105" i="8"/>
  <c r="B1105" i="8"/>
  <c r="C1105" i="8"/>
  <c r="D1105" i="8"/>
  <c r="A1106" i="8"/>
  <c r="B1106" i="8"/>
  <c r="C1106" i="8"/>
  <c r="D1106" i="8"/>
  <c r="A1107" i="8"/>
  <c r="B1107" i="8"/>
  <c r="C1107" i="8"/>
  <c r="D1107" i="8"/>
  <c r="A1108" i="8"/>
  <c r="B1108" i="8"/>
  <c r="C1108" i="8"/>
  <c r="D1108" i="8"/>
  <c r="A1109" i="8"/>
  <c r="B1109" i="8"/>
  <c r="C1109" i="8"/>
  <c r="D1109" i="8"/>
  <c r="A1110" i="8"/>
  <c r="B1110" i="8"/>
  <c r="C1110" i="8"/>
  <c r="D1110" i="8"/>
  <c r="A1111" i="8"/>
  <c r="B1111" i="8"/>
  <c r="C1111" i="8"/>
  <c r="D1111" i="8"/>
  <c r="A1112" i="8"/>
  <c r="B1112" i="8"/>
  <c r="C1112" i="8"/>
  <c r="D1112" i="8"/>
  <c r="A1113" i="8"/>
  <c r="B1113" i="8"/>
  <c r="C1113" i="8"/>
  <c r="D1113" i="8"/>
  <c r="A1114" i="8"/>
  <c r="B1114" i="8"/>
  <c r="C1114" i="8"/>
  <c r="D1114" i="8"/>
  <c r="A1115" i="8"/>
  <c r="B1115" i="8"/>
  <c r="C1115" i="8"/>
  <c r="D1115" i="8"/>
  <c r="A1116" i="8"/>
  <c r="B1116" i="8"/>
  <c r="C1116" i="8"/>
  <c r="D1116" i="8"/>
  <c r="A1117" i="8"/>
  <c r="B1117" i="8"/>
  <c r="C1117" i="8"/>
  <c r="D1117" i="8"/>
  <c r="A1118" i="8"/>
  <c r="B1118" i="8"/>
  <c r="C1118" i="8"/>
  <c r="D1118" i="8"/>
  <c r="A1119" i="8"/>
  <c r="B1119" i="8"/>
  <c r="C1119" i="8"/>
  <c r="D1119" i="8"/>
  <c r="A1120" i="8"/>
  <c r="B1120" i="8"/>
  <c r="C1120" i="8"/>
  <c r="D1120" i="8"/>
  <c r="A1121" i="8"/>
  <c r="B1121" i="8"/>
  <c r="C1121" i="8"/>
  <c r="D1121" i="8"/>
  <c r="A1122" i="8"/>
  <c r="B1122" i="8"/>
  <c r="C1122" i="8"/>
  <c r="D1122" i="8"/>
  <c r="A1123" i="8"/>
  <c r="B1123" i="8"/>
  <c r="C1123" i="8"/>
  <c r="D1123" i="8"/>
  <c r="A1124" i="8"/>
  <c r="B1124" i="8"/>
  <c r="C1124" i="8"/>
  <c r="D1124" i="8"/>
  <c r="A1125" i="8"/>
  <c r="B1125" i="8"/>
  <c r="C1125" i="8"/>
  <c r="D1125" i="8"/>
  <c r="A1126" i="8"/>
  <c r="B1126" i="8"/>
  <c r="C1126" i="8"/>
  <c r="D1126" i="8"/>
  <c r="A1127" i="8"/>
  <c r="B1127" i="8"/>
  <c r="C1127" i="8"/>
  <c r="D1127" i="8"/>
  <c r="A1128" i="8"/>
  <c r="B1128" i="8"/>
  <c r="C1128" i="8"/>
  <c r="D1128" i="8"/>
  <c r="A1129" i="8"/>
  <c r="B1129" i="8"/>
  <c r="C1129" i="8"/>
  <c r="D1129" i="8"/>
  <c r="A1130" i="8"/>
  <c r="B1130" i="8"/>
  <c r="C1130" i="8"/>
  <c r="D1130" i="8"/>
  <c r="A1131" i="8"/>
  <c r="B1131" i="8"/>
  <c r="C1131" i="8"/>
  <c r="D1131" i="8"/>
  <c r="A1132" i="8"/>
  <c r="B1132" i="8"/>
  <c r="C1132" i="8"/>
  <c r="D1132" i="8"/>
  <c r="A1133" i="8"/>
  <c r="B1133" i="8"/>
  <c r="C1133" i="8"/>
  <c r="D1133" i="8"/>
  <c r="A1134" i="8"/>
  <c r="B1134" i="8"/>
  <c r="C1134" i="8"/>
  <c r="D1134" i="8"/>
  <c r="A1135" i="8"/>
  <c r="B1135" i="8"/>
  <c r="C1135" i="8"/>
  <c r="D1135" i="8"/>
  <c r="A1136" i="8"/>
  <c r="B1136" i="8"/>
  <c r="C1136" i="8"/>
  <c r="D1136" i="8"/>
  <c r="A1137" i="8"/>
  <c r="B1137" i="8"/>
  <c r="C1137" i="8"/>
  <c r="D1137" i="8"/>
  <c r="A1138" i="8"/>
  <c r="B1138" i="8"/>
  <c r="C1138" i="8"/>
  <c r="D1138" i="8"/>
  <c r="A1139" i="8"/>
  <c r="B1139" i="8"/>
  <c r="C1139" i="8"/>
  <c r="D1139" i="8"/>
  <c r="A1140" i="8"/>
  <c r="B1140" i="8"/>
  <c r="C1140" i="8"/>
  <c r="D1140" i="8"/>
  <c r="A1141" i="8"/>
  <c r="B1141" i="8"/>
  <c r="C1141" i="8"/>
  <c r="D1141" i="8"/>
  <c r="A1142" i="8"/>
  <c r="B1142" i="8"/>
  <c r="C1142" i="8"/>
  <c r="D1142" i="8"/>
  <c r="A1143" i="8"/>
  <c r="B1143" i="8"/>
  <c r="C1143" i="8"/>
  <c r="D1143" i="8"/>
  <c r="A1144" i="8"/>
  <c r="B1144" i="8"/>
  <c r="C1144" i="8"/>
  <c r="D1144" i="8"/>
  <c r="A1145" i="8"/>
  <c r="B1145" i="8"/>
  <c r="C1145" i="8"/>
  <c r="D1145" i="8"/>
  <c r="A1146" i="8"/>
  <c r="B1146" i="8"/>
  <c r="C1146" i="8"/>
  <c r="D1146" i="8"/>
  <c r="A1147" i="8"/>
  <c r="B1147" i="8"/>
  <c r="C1147" i="8"/>
  <c r="D1147" i="8"/>
  <c r="A1148" i="8"/>
  <c r="B1148" i="8"/>
  <c r="C1148" i="8"/>
  <c r="D1148" i="8"/>
  <c r="A1149" i="8"/>
  <c r="B1149" i="8"/>
  <c r="C1149" i="8"/>
  <c r="D1149" i="8"/>
  <c r="A1150" i="8"/>
  <c r="B1150" i="8"/>
  <c r="C1150" i="8"/>
  <c r="D1150" i="8"/>
  <c r="A1151" i="8"/>
  <c r="B1151" i="8"/>
  <c r="C1151" i="8"/>
  <c r="D1151" i="8"/>
  <c r="A1152" i="8"/>
  <c r="B1152" i="8"/>
  <c r="C1152" i="8"/>
  <c r="D1152" i="8"/>
  <c r="A1153" i="8"/>
  <c r="B1153" i="8"/>
  <c r="C1153" i="8"/>
  <c r="D1153" i="8"/>
  <c r="A1154" i="8"/>
  <c r="B1154" i="8"/>
  <c r="C1154" i="8"/>
  <c r="D1154" i="8"/>
  <c r="A1155" i="8"/>
  <c r="B1155" i="8"/>
  <c r="C1155" i="8"/>
  <c r="D1155" i="8"/>
  <c r="A1156" i="8"/>
  <c r="B1156" i="8"/>
  <c r="C1156" i="8"/>
  <c r="D1156" i="8"/>
  <c r="A1157" i="8"/>
  <c r="B1157" i="8"/>
  <c r="C1157" i="8"/>
  <c r="D1157" i="8"/>
  <c r="A1158" i="8"/>
  <c r="B1158" i="8"/>
  <c r="C1158" i="8"/>
  <c r="D1158" i="8"/>
  <c r="A1159" i="8"/>
  <c r="B1159" i="8"/>
  <c r="C1159" i="8"/>
  <c r="D1159" i="8"/>
  <c r="A1160" i="8"/>
  <c r="B1160" i="8"/>
  <c r="C1160" i="8"/>
  <c r="D1160" i="8"/>
  <c r="A1161" i="8"/>
  <c r="B1161" i="8"/>
  <c r="C1161" i="8"/>
  <c r="D1161" i="8"/>
  <c r="A1162" i="8"/>
  <c r="B1162" i="8"/>
  <c r="C1162" i="8"/>
  <c r="D1162" i="8"/>
  <c r="A1163" i="8"/>
  <c r="B1163" i="8"/>
  <c r="C1163" i="8"/>
  <c r="D1163" i="8"/>
  <c r="A1164" i="8"/>
  <c r="B1164" i="8"/>
  <c r="C1164" i="8"/>
  <c r="D1164" i="8"/>
  <c r="A1165" i="8"/>
  <c r="B1165" i="8"/>
  <c r="C1165" i="8"/>
  <c r="D1165" i="8"/>
  <c r="A1166" i="8"/>
  <c r="B1166" i="8"/>
  <c r="C1166" i="8"/>
  <c r="D1166" i="8"/>
  <c r="A1167" i="8"/>
  <c r="B1167" i="8"/>
  <c r="C1167" i="8"/>
  <c r="D1167" i="8"/>
  <c r="A1168" i="8"/>
  <c r="B1168" i="8"/>
  <c r="C1168" i="8"/>
  <c r="D1168" i="8"/>
  <c r="A1169" i="8"/>
  <c r="B1169" i="8"/>
  <c r="C1169" i="8"/>
  <c r="D1169" i="8"/>
  <c r="A1170" i="8"/>
  <c r="B1170" i="8"/>
  <c r="C1170" i="8"/>
  <c r="D1170" i="8"/>
  <c r="A1171" i="8"/>
  <c r="B1171" i="8"/>
  <c r="C1171" i="8"/>
  <c r="D1171" i="8"/>
  <c r="A1172" i="8"/>
  <c r="B1172" i="8"/>
  <c r="C1172" i="8"/>
  <c r="D1172" i="8"/>
  <c r="A1173" i="8"/>
  <c r="B1173" i="8"/>
  <c r="C1173" i="8"/>
  <c r="D1173" i="8"/>
  <c r="A1174" i="8"/>
  <c r="B1174" i="8"/>
  <c r="C1174" i="8"/>
  <c r="D1174" i="8"/>
  <c r="A1175" i="8"/>
  <c r="B1175" i="8"/>
  <c r="C1175" i="8"/>
  <c r="D1175" i="8"/>
  <c r="A1176" i="8"/>
  <c r="B1176" i="8"/>
  <c r="C1176" i="8"/>
  <c r="D1176" i="8"/>
  <c r="A1177" i="8"/>
  <c r="B1177" i="8"/>
  <c r="C1177" i="8"/>
  <c r="D1177" i="8"/>
  <c r="A1178" i="8"/>
  <c r="B1178" i="8"/>
  <c r="C1178" i="8"/>
  <c r="D1178" i="8"/>
  <c r="A1179" i="8"/>
  <c r="B1179" i="8"/>
  <c r="C1179" i="8"/>
  <c r="D1179" i="8"/>
  <c r="A1180" i="8"/>
  <c r="B1180" i="8"/>
  <c r="C1180" i="8"/>
  <c r="D1180" i="8"/>
  <c r="A1181" i="8"/>
  <c r="B1181" i="8"/>
  <c r="C1181" i="8"/>
  <c r="D1181" i="8"/>
  <c r="A1182" i="8"/>
  <c r="B1182" i="8"/>
  <c r="C1182" i="8"/>
  <c r="D1182" i="8"/>
  <c r="A1183" i="8"/>
  <c r="B1183" i="8"/>
  <c r="C1183" i="8"/>
  <c r="D1183" i="8"/>
  <c r="A1184" i="8"/>
  <c r="B1184" i="8"/>
  <c r="C1184" i="8"/>
  <c r="D1184" i="8"/>
  <c r="A1185" i="8"/>
  <c r="B1185" i="8"/>
  <c r="C1185" i="8"/>
  <c r="D1185" i="8"/>
  <c r="A1186" i="8"/>
  <c r="B1186" i="8"/>
  <c r="C1186" i="8"/>
  <c r="D1186" i="8"/>
  <c r="A1187" i="8"/>
  <c r="B1187" i="8"/>
  <c r="C1187" i="8"/>
  <c r="D1187" i="8"/>
  <c r="A1188" i="8"/>
  <c r="B1188" i="8"/>
  <c r="C1188" i="8"/>
  <c r="D1188" i="8"/>
  <c r="A1189" i="8"/>
  <c r="B1189" i="8"/>
  <c r="C1189" i="8"/>
  <c r="D1189" i="8"/>
  <c r="A1190" i="8"/>
  <c r="B1190" i="8"/>
  <c r="C1190" i="8"/>
  <c r="D1190" i="8"/>
  <c r="A1191" i="8"/>
  <c r="B1191" i="8"/>
  <c r="C1191" i="8"/>
  <c r="D1191" i="8"/>
  <c r="A1192" i="8"/>
  <c r="B1192" i="8"/>
  <c r="C1192" i="8"/>
  <c r="D1192" i="8"/>
  <c r="A1193" i="8"/>
  <c r="B1193" i="8"/>
  <c r="C1193" i="8"/>
  <c r="D1193" i="8"/>
  <c r="A1194" i="8"/>
  <c r="B1194" i="8"/>
  <c r="C1194" i="8"/>
  <c r="D1194" i="8"/>
  <c r="A1195" i="8"/>
  <c r="B1195" i="8"/>
  <c r="C1195" i="8"/>
  <c r="D1195" i="8"/>
  <c r="A1196" i="8"/>
  <c r="B1196" i="8"/>
  <c r="C1196" i="8"/>
  <c r="D1196" i="8"/>
  <c r="A1197" i="8"/>
  <c r="B1197" i="8"/>
  <c r="C1197" i="8"/>
  <c r="D1197" i="8"/>
  <c r="A1198" i="8"/>
  <c r="B1198" i="8"/>
  <c r="C1198" i="8"/>
  <c r="D1198" i="8"/>
  <c r="A1199" i="8"/>
  <c r="B1199" i="8"/>
  <c r="C1199" i="8"/>
  <c r="D1199" i="8"/>
  <c r="A1200" i="8"/>
  <c r="B1200" i="8"/>
  <c r="C1200" i="8"/>
  <c r="D1200" i="8"/>
  <c r="A1201" i="8"/>
  <c r="B1201" i="8"/>
  <c r="C1201" i="8"/>
  <c r="D1201" i="8"/>
  <c r="A1202" i="8"/>
  <c r="B1202" i="8"/>
  <c r="C1202" i="8"/>
  <c r="D1202" i="8"/>
  <c r="A1203" i="8"/>
  <c r="B1203" i="8"/>
  <c r="C1203" i="8"/>
  <c r="D1203" i="8"/>
  <c r="A1204" i="8"/>
  <c r="B1204" i="8"/>
  <c r="C1204" i="8"/>
  <c r="D1204" i="8"/>
  <c r="A1205" i="8"/>
  <c r="B1205" i="8"/>
  <c r="C1205" i="8"/>
  <c r="D1205" i="8"/>
  <c r="A1206" i="8"/>
  <c r="B1206" i="8"/>
  <c r="C1206" i="8"/>
  <c r="D1206" i="8"/>
  <c r="A1207" i="8"/>
  <c r="B1207" i="8"/>
  <c r="C1207" i="8"/>
  <c r="D1207" i="8"/>
  <c r="A1208" i="8"/>
  <c r="B1208" i="8"/>
  <c r="C1208" i="8"/>
  <c r="D1208" i="8"/>
  <c r="A1209" i="8"/>
  <c r="B1209" i="8"/>
  <c r="C1209" i="8"/>
  <c r="D1209" i="8"/>
  <c r="A1210" i="8"/>
  <c r="B1210" i="8"/>
  <c r="C1210" i="8"/>
  <c r="D1210" i="8"/>
  <c r="A1211" i="8"/>
  <c r="B1211" i="8"/>
  <c r="C1211" i="8"/>
  <c r="D1211" i="8"/>
  <c r="A1212" i="8"/>
  <c r="B1212" i="8"/>
  <c r="C1212" i="8"/>
  <c r="D1212" i="8"/>
  <c r="A1213" i="8"/>
  <c r="B1213" i="8"/>
  <c r="C1213" i="8"/>
  <c r="D1213" i="8"/>
  <c r="A1214" i="8"/>
  <c r="B1214" i="8"/>
  <c r="C1214" i="8"/>
  <c r="D1214" i="8"/>
  <c r="A1215" i="8"/>
  <c r="B1215" i="8"/>
  <c r="C1215" i="8"/>
  <c r="D1215" i="8"/>
  <c r="A1216" i="8"/>
  <c r="B1216" i="8"/>
  <c r="C1216" i="8"/>
  <c r="D1216" i="8"/>
  <c r="A1217" i="8"/>
  <c r="B1217" i="8"/>
  <c r="C1217" i="8"/>
  <c r="D1217" i="8"/>
  <c r="A1218" i="8"/>
  <c r="B1218" i="8"/>
  <c r="C1218" i="8"/>
  <c r="D1218" i="8"/>
  <c r="A1219" i="8"/>
  <c r="B1219" i="8"/>
  <c r="C1219" i="8"/>
  <c r="D1219" i="8"/>
  <c r="A1220" i="8"/>
  <c r="B1220" i="8"/>
  <c r="C1220" i="8"/>
  <c r="D1220" i="8"/>
  <c r="A1221" i="8"/>
  <c r="B1221" i="8"/>
  <c r="C1221" i="8"/>
  <c r="D1221" i="8"/>
  <c r="A1222" i="8"/>
  <c r="B1222" i="8"/>
  <c r="C1222" i="8"/>
  <c r="D1222" i="8"/>
  <c r="A1223" i="8"/>
  <c r="B1223" i="8"/>
  <c r="C1223" i="8"/>
  <c r="D1223" i="8"/>
  <c r="A1224" i="8"/>
  <c r="B1224" i="8"/>
  <c r="C1224" i="8"/>
  <c r="D1224" i="8"/>
  <c r="A1225" i="8"/>
  <c r="B1225" i="8"/>
  <c r="C1225" i="8"/>
  <c r="D1225" i="8"/>
  <c r="A1226" i="8"/>
  <c r="B1226" i="8"/>
  <c r="C1226" i="8"/>
  <c r="D1226" i="8"/>
  <c r="A1227" i="8"/>
  <c r="B1227" i="8"/>
  <c r="C1227" i="8"/>
  <c r="D1227" i="8"/>
  <c r="A1228" i="8"/>
  <c r="B1228" i="8"/>
  <c r="C1228" i="8"/>
  <c r="D1228" i="8"/>
  <c r="A1229" i="8"/>
  <c r="B1229" i="8"/>
  <c r="C1229" i="8"/>
  <c r="D1229" i="8"/>
  <c r="A1230" i="8"/>
  <c r="B1230" i="8"/>
  <c r="C1230" i="8"/>
  <c r="D1230" i="8"/>
  <c r="A1231" i="8"/>
  <c r="B1231" i="8"/>
  <c r="C1231" i="8"/>
  <c r="D1231" i="8"/>
  <c r="A1232" i="8"/>
  <c r="B1232" i="8"/>
  <c r="C1232" i="8"/>
  <c r="D1232" i="8"/>
  <c r="A1233" i="8"/>
  <c r="B1233" i="8"/>
  <c r="C1233" i="8"/>
  <c r="D1233" i="8"/>
  <c r="A1234" i="8"/>
  <c r="B1234" i="8"/>
  <c r="C1234" i="8"/>
  <c r="D1234" i="8"/>
  <c r="A1235" i="8"/>
  <c r="B1235" i="8"/>
  <c r="C1235" i="8"/>
  <c r="D1235" i="8"/>
  <c r="A1236" i="8"/>
  <c r="B1236" i="8"/>
  <c r="C1236" i="8"/>
  <c r="D1236" i="8"/>
  <c r="A1237" i="8"/>
  <c r="B1237" i="8"/>
  <c r="C1237" i="8"/>
  <c r="D1237" i="8"/>
  <c r="A1238" i="8"/>
  <c r="B1238" i="8"/>
  <c r="C1238" i="8"/>
  <c r="D1238" i="8"/>
  <c r="A1239" i="8"/>
  <c r="B1239" i="8"/>
  <c r="C1239" i="8"/>
  <c r="D1239" i="8"/>
  <c r="A1240" i="8"/>
  <c r="B1240" i="8"/>
  <c r="C1240" i="8"/>
  <c r="D1240" i="8"/>
  <c r="A1241" i="8"/>
  <c r="B1241" i="8"/>
  <c r="C1241" i="8"/>
  <c r="D1241" i="8"/>
  <c r="A1242" i="8"/>
  <c r="B1242" i="8"/>
  <c r="C1242" i="8"/>
  <c r="D1242" i="8"/>
  <c r="A1243" i="8"/>
  <c r="B1243" i="8"/>
  <c r="C1243" i="8"/>
  <c r="D1243" i="8"/>
  <c r="A1244" i="8"/>
  <c r="B1244" i="8"/>
  <c r="C1244" i="8"/>
  <c r="D1244" i="8"/>
  <c r="A1245" i="8"/>
  <c r="B1245" i="8"/>
  <c r="C1245" i="8"/>
  <c r="D1245" i="8"/>
  <c r="A1246" i="8"/>
  <c r="B1246" i="8"/>
  <c r="C1246" i="8"/>
  <c r="D1246" i="8"/>
  <c r="A1247" i="8"/>
  <c r="B1247" i="8"/>
  <c r="C1247" i="8"/>
  <c r="D1247" i="8"/>
  <c r="A1248" i="8"/>
  <c r="B1248" i="8"/>
  <c r="C1248" i="8"/>
  <c r="D1248" i="8"/>
  <c r="A1249" i="8"/>
  <c r="B1249" i="8"/>
  <c r="C1249" i="8"/>
  <c r="D1249" i="8"/>
  <c r="A1250" i="8"/>
  <c r="B1250" i="8"/>
  <c r="C1250" i="8"/>
  <c r="D1250" i="8"/>
  <c r="A1251" i="8"/>
  <c r="B1251" i="8"/>
  <c r="C1251" i="8"/>
  <c r="D1251" i="8"/>
  <c r="A1252" i="8"/>
  <c r="B1252" i="8"/>
  <c r="C1252" i="8"/>
  <c r="D1252" i="8"/>
  <c r="A1253" i="8"/>
  <c r="B1253" i="8"/>
  <c r="C1253" i="8"/>
  <c r="D1253" i="8"/>
  <c r="A1254" i="8"/>
  <c r="B1254" i="8"/>
  <c r="C1254" i="8"/>
  <c r="D1254" i="8"/>
  <c r="A1255" i="8"/>
  <c r="B1255" i="8"/>
  <c r="C1255" i="8"/>
  <c r="D1255" i="8"/>
  <c r="A1256" i="8"/>
  <c r="B1256" i="8"/>
  <c r="C1256" i="8"/>
  <c r="D1256" i="8"/>
  <c r="A1257" i="8"/>
  <c r="B1257" i="8"/>
  <c r="C1257" i="8"/>
  <c r="D1257" i="8"/>
  <c r="A1258" i="8"/>
  <c r="B1258" i="8"/>
  <c r="C1258" i="8"/>
  <c r="D1258" i="8"/>
  <c r="A1259" i="8"/>
  <c r="B1259" i="8"/>
  <c r="C1259" i="8"/>
  <c r="D1259" i="8"/>
  <c r="A1260" i="8"/>
  <c r="B1260" i="8"/>
  <c r="C1260" i="8"/>
  <c r="D1260" i="8"/>
  <c r="A1261" i="8"/>
  <c r="B1261" i="8"/>
  <c r="C1261" i="8"/>
  <c r="D1261" i="8"/>
  <c r="A1262" i="8"/>
  <c r="B1262" i="8"/>
  <c r="C1262" i="8"/>
  <c r="D1262" i="8"/>
  <c r="A1263" i="8"/>
  <c r="B1263" i="8"/>
  <c r="C1263" i="8"/>
  <c r="D1263" i="8"/>
  <c r="A1264" i="8"/>
  <c r="B1264" i="8"/>
  <c r="C1264" i="8"/>
  <c r="D1264" i="8"/>
  <c r="A1265" i="8"/>
  <c r="B1265" i="8"/>
  <c r="C1265" i="8"/>
  <c r="D1265" i="8"/>
  <c r="A1266" i="8"/>
  <c r="B1266" i="8"/>
  <c r="C1266" i="8"/>
  <c r="D1266" i="8"/>
  <c r="A1267" i="8"/>
  <c r="B1267" i="8"/>
  <c r="C1267" i="8"/>
  <c r="D1267" i="8"/>
  <c r="A1268" i="8"/>
  <c r="B1268" i="8"/>
  <c r="C1268" i="8"/>
  <c r="D1268" i="8"/>
  <c r="A1269" i="8"/>
  <c r="B1269" i="8"/>
  <c r="C1269" i="8"/>
  <c r="D1269" i="8"/>
  <c r="A1270" i="8"/>
  <c r="B1270" i="8"/>
  <c r="C1270" i="8"/>
  <c r="D1270" i="8"/>
  <c r="A1271" i="8"/>
  <c r="B1271" i="8"/>
  <c r="C1271" i="8"/>
  <c r="D1271" i="8"/>
  <c r="A1272" i="8"/>
  <c r="B1272" i="8"/>
  <c r="C1272" i="8"/>
  <c r="D1272" i="8"/>
  <c r="A1273" i="8"/>
  <c r="B1273" i="8"/>
  <c r="C1273" i="8"/>
  <c r="D1273" i="8"/>
  <c r="A1274" i="8"/>
  <c r="B1274" i="8"/>
  <c r="C1274" i="8"/>
  <c r="D1274" i="8"/>
  <c r="A1275" i="8"/>
  <c r="B1275" i="8"/>
  <c r="C1275" i="8"/>
  <c r="D1275" i="8"/>
  <c r="A1276" i="8"/>
  <c r="B1276" i="8"/>
  <c r="C1276" i="8"/>
  <c r="D1276" i="8"/>
  <c r="A1277" i="8"/>
  <c r="B1277" i="8"/>
  <c r="C1277" i="8"/>
  <c r="D1277" i="8"/>
  <c r="A1278" i="8"/>
  <c r="B1278" i="8"/>
  <c r="C1278" i="8"/>
  <c r="D1278" i="8"/>
  <c r="A1279" i="8"/>
  <c r="B1279" i="8"/>
  <c r="C1279" i="8"/>
  <c r="D1279" i="8"/>
  <c r="A1280" i="8"/>
  <c r="B1280" i="8"/>
  <c r="C1280" i="8"/>
  <c r="D1280" i="8"/>
  <c r="A1281" i="8"/>
  <c r="B1281" i="8"/>
  <c r="C1281" i="8"/>
  <c r="D1281" i="8"/>
  <c r="A1282" i="8"/>
  <c r="B1282" i="8"/>
  <c r="C1282" i="8"/>
  <c r="D1282" i="8"/>
  <c r="A1283" i="8"/>
  <c r="B1283" i="8"/>
  <c r="C1283" i="8"/>
  <c r="D1283" i="8"/>
  <c r="A1284" i="8"/>
  <c r="B1284" i="8"/>
  <c r="C1284" i="8"/>
  <c r="D1284" i="8"/>
  <c r="A1285" i="8"/>
  <c r="B1285" i="8"/>
  <c r="C1285" i="8"/>
  <c r="D1285" i="8"/>
  <c r="A1286" i="8"/>
  <c r="B1286" i="8"/>
  <c r="C1286" i="8"/>
  <c r="D1286" i="8"/>
  <c r="A1287" i="8"/>
  <c r="B1287" i="8"/>
  <c r="C1287" i="8"/>
  <c r="D1287" i="8"/>
  <c r="A1288" i="8"/>
  <c r="B1288" i="8"/>
  <c r="C1288" i="8"/>
  <c r="D1288" i="8"/>
  <c r="A1289" i="8"/>
  <c r="B1289" i="8"/>
  <c r="C1289" i="8"/>
  <c r="D1289" i="8"/>
  <c r="A1290" i="8"/>
  <c r="B1290" i="8"/>
  <c r="C1290" i="8"/>
  <c r="D1290" i="8"/>
  <c r="A1291" i="8"/>
  <c r="B1291" i="8"/>
  <c r="C1291" i="8"/>
  <c r="D1291" i="8"/>
  <c r="A1292" i="8"/>
  <c r="B1292" i="8"/>
  <c r="C1292" i="8"/>
  <c r="D1292" i="8"/>
  <c r="A1293" i="8"/>
  <c r="B1293" i="8"/>
  <c r="C1293" i="8"/>
  <c r="D1293" i="8"/>
  <c r="A1294" i="8"/>
  <c r="B1294" i="8"/>
  <c r="C1294" i="8"/>
  <c r="D1294" i="8"/>
  <c r="A1295" i="8"/>
  <c r="B1295" i="8"/>
  <c r="C1295" i="8"/>
  <c r="D1295" i="8"/>
  <c r="A1296" i="8"/>
  <c r="B1296" i="8"/>
  <c r="C1296" i="8"/>
  <c r="D1296" i="8"/>
  <c r="A1297" i="8"/>
  <c r="B1297" i="8"/>
  <c r="C1297" i="8"/>
  <c r="D1297" i="8"/>
  <c r="A1298" i="8"/>
  <c r="B1298" i="8"/>
  <c r="C1298" i="8"/>
  <c r="D1298" i="8"/>
  <c r="A1299" i="8"/>
  <c r="B1299" i="8"/>
  <c r="C1299" i="8"/>
  <c r="D1299" i="8"/>
  <c r="A1300" i="8"/>
  <c r="B1300" i="8"/>
  <c r="C1300" i="8"/>
  <c r="D1300" i="8"/>
  <c r="A1301" i="8"/>
  <c r="B1301" i="8"/>
  <c r="C1301" i="8"/>
  <c r="D1301" i="8"/>
  <c r="A1302" i="8"/>
  <c r="B1302" i="8"/>
  <c r="C1302" i="8"/>
  <c r="D1302" i="8"/>
  <c r="A1303" i="8"/>
  <c r="B1303" i="8"/>
  <c r="C1303" i="8"/>
  <c r="D1303" i="8"/>
  <c r="A1304" i="8"/>
  <c r="B1304" i="8"/>
  <c r="C1304" i="8"/>
  <c r="D1304" i="8"/>
  <c r="A1305" i="8"/>
  <c r="B1305" i="8"/>
  <c r="C1305" i="8"/>
  <c r="D1305" i="8"/>
  <c r="A1306" i="8"/>
  <c r="B1306" i="8"/>
  <c r="C1306" i="8"/>
  <c r="D1306" i="8"/>
  <c r="A1307" i="8"/>
  <c r="B1307" i="8"/>
  <c r="C1307" i="8"/>
  <c r="D1307" i="8"/>
  <c r="A1308" i="8"/>
  <c r="B1308" i="8"/>
  <c r="C1308" i="8"/>
  <c r="D1308" i="8"/>
  <c r="A1309" i="8"/>
  <c r="B1309" i="8"/>
  <c r="C1309" i="8"/>
  <c r="D1309" i="8"/>
  <c r="A1310" i="8"/>
  <c r="B1310" i="8"/>
  <c r="C1310" i="8"/>
  <c r="D1310" i="8"/>
  <c r="A1311" i="8"/>
  <c r="B1311" i="8"/>
  <c r="C1311" i="8"/>
  <c r="D1311" i="8"/>
  <c r="A1312" i="8"/>
  <c r="B1312" i="8"/>
  <c r="C1312" i="8"/>
  <c r="D1312" i="8"/>
  <c r="A1313" i="8"/>
  <c r="B1313" i="8"/>
  <c r="C1313" i="8"/>
  <c r="D1313" i="8"/>
  <c r="A1314" i="8"/>
  <c r="B1314" i="8"/>
  <c r="C1314" i="8"/>
  <c r="D1314" i="8"/>
  <c r="A1315" i="8"/>
  <c r="B1315" i="8"/>
  <c r="C1315" i="8"/>
  <c r="D1315" i="8"/>
  <c r="A1316" i="8"/>
  <c r="B1316" i="8"/>
  <c r="C1316" i="8"/>
  <c r="D1316" i="8"/>
  <c r="A1317" i="8"/>
  <c r="B1317" i="8"/>
  <c r="C1317" i="8"/>
  <c r="D1317" i="8"/>
  <c r="A1318" i="8"/>
  <c r="B1318" i="8"/>
  <c r="C1318" i="8"/>
  <c r="D1318" i="8"/>
  <c r="A1319" i="8"/>
  <c r="B1319" i="8"/>
  <c r="C1319" i="8"/>
  <c r="D1319" i="8"/>
  <c r="A1320" i="8"/>
  <c r="B1320" i="8"/>
  <c r="C1320" i="8"/>
  <c r="D1320" i="8"/>
  <c r="A1321" i="8"/>
  <c r="B1321" i="8"/>
  <c r="C1321" i="8"/>
  <c r="D1321" i="8"/>
  <c r="A1322" i="8"/>
  <c r="B1322" i="8"/>
  <c r="C1322" i="8"/>
  <c r="D1322" i="8"/>
  <c r="A1323" i="8"/>
  <c r="B1323" i="8"/>
  <c r="C1323" i="8"/>
  <c r="D1323" i="8"/>
  <c r="A1324" i="8"/>
  <c r="B1324" i="8"/>
  <c r="C1324" i="8"/>
  <c r="D1324" i="8"/>
  <c r="A1325" i="8"/>
  <c r="B1325" i="8"/>
  <c r="C1325" i="8"/>
  <c r="D1325" i="8"/>
  <c r="A1326" i="8"/>
  <c r="B1326" i="8"/>
  <c r="C1326" i="8"/>
  <c r="D1326" i="8"/>
  <c r="A1327" i="8"/>
  <c r="B1327" i="8"/>
  <c r="C1327" i="8"/>
  <c r="D1327" i="8"/>
  <c r="A1328" i="8"/>
  <c r="B1328" i="8"/>
  <c r="C1328" i="8"/>
  <c r="D1328" i="8"/>
  <c r="A1329" i="8"/>
  <c r="B1329" i="8"/>
  <c r="C1329" i="8"/>
  <c r="D1329" i="8"/>
  <c r="A1330" i="8"/>
  <c r="B1330" i="8"/>
  <c r="C1330" i="8"/>
  <c r="D1330" i="8"/>
  <c r="A1331" i="8"/>
  <c r="B1331" i="8"/>
  <c r="C1331" i="8"/>
  <c r="D1331" i="8"/>
  <c r="A1332" i="8"/>
  <c r="B1332" i="8"/>
  <c r="C1332" i="8"/>
  <c r="D1332" i="8"/>
  <c r="A1333" i="8"/>
  <c r="B1333" i="8"/>
  <c r="C1333" i="8"/>
  <c r="D1333" i="8"/>
  <c r="A1334" i="8"/>
  <c r="B1334" i="8"/>
  <c r="C1334" i="8"/>
  <c r="D1334" i="8"/>
  <c r="A1335" i="8"/>
  <c r="B1335" i="8"/>
  <c r="C1335" i="8"/>
  <c r="D1335" i="8"/>
  <c r="A1336" i="8"/>
  <c r="B1336" i="8"/>
  <c r="C1336" i="8"/>
  <c r="D1336" i="8"/>
  <c r="A1337" i="8"/>
  <c r="B1337" i="8"/>
  <c r="C1337" i="8"/>
  <c r="D1337" i="8"/>
  <c r="A1338" i="8"/>
  <c r="B1338" i="8"/>
  <c r="C1338" i="8"/>
  <c r="D1338" i="8"/>
  <c r="A1339" i="8"/>
  <c r="B1339" i="8"/>
  <c r="C1339" i="8"/>
  <c r="D1339" i="8"/>
  <c r="A1340" i="8"/>
  <c r="B1340" i="8"/>
  <c r="C1340" i="8"/>
  <c r="D1340" i="8"/>
  <c r="A1341" i="8"/>
  <c r="B1341" i="8"/>
  <c r="C1341" i="8"/>
  <c r="D1341" i="8"/>
  <c r="A1342" i="8"/>
  <c r="B1342" i="8"/>
  <c r="C1342" i="8"/>
  <c r="D1342" i="8"/>
  <c r="A1343" i="8"/>
  <c r="B1343" i="8"/>
  <c r="C1343" i="8"/>
  <c r="D1343" i="8"/>
  <c r="A1344" i="8"/>
  <c r="B1344" i="8"/>
  <c r="C1344" i="8"/>
  <c r="D1344" i="8"/>
  <c r="A1345" i="8"/>
  <c r="B1345" i="8"/>
  <c r="C1345" i="8"/>
  <c r="D1345" i="8"/>
  <c r="A1346" i="8"/>
  <c r="B1346" i="8"/>
  <c r="C1346" i="8"/>
  <c r="D1346" i="8"/>
  <c r="A1347" i="8"/>
  <c r="B1347" i="8"/>
  <c r="C1347" i="8"/>
  <c r="D1347" i="8"/>
  <c r="A1348" i="8"/>
  <c r="B1348" i="8"/>
  <c r="C1348" i="8"/>
  <c r="D1348" i="8"/>
  <c r="A1349" i="8"/>
  <c r="B1349" i="8"/>
  <c r="C1349" i="8"/>
  <c r="D1349" i="8"/>
  <c r="A1350" i="8"/>
  <c r="B1350" i="8"/>
  <c r="C1350" i="8"/>
  <c r="D1350" i="8"/>
  <c r="A1351" i="8"/>
  <c r="B1351" i="8"/>
  <c r="C1351" i="8"/>
  <c r="D1351" i="8"/>
  <c r="A1352" i="8"/>
  <c r="B1352" i="8"/>
  <c r="C1352" i="8"/>
  <c r="D1352" i="8"/>
  <c r="A1353" i="8"/>
  <c r="B1353" i="8"/>
  <c r="C1353" i="8"/>
  <c r="D1353" i="8"/>
  <c r="A1354" i="8"/>
  <c r="B1354" i="8"/>
  <c r="C1354" i="8"/>
  <c r="D1354" i="8"/>
  <c r="A1355" i="8"/>
  <c r="B1355" i="8"/>
  <c r="C1355" i="8"/>
  <c r="D1355" i="8"/>
  <c r="A1356" i="8"/>
  <c r="B1356" i="8"/>
  <c r="C1356" i="8"/>
  <c r="D1356" i="8"/>
  <c r="A1357" i="8"/>
  <c r="B1357" i="8"/>
  <c r="C1357" i="8"/>
  <c r="D1357" i="8"/>
  <c r="A1358" i="8"/>
  <c r="B1358" i="8"/>
  <c r="C1358" i="8"/>
  <c r="D1358" i="8"/>
  <c r="A1359" i="8"/>
  <c r="B1359" i="8"/>
  <c r="C1359" i="8"/>
  <c r="D1359" i="8"/>
  <c r="A1360" i="8"/>
  <c r="B1360" i="8"/>
  <c r="C1360" i="8"/>
  <c r="D1360" i="8"/>
  <c r="A1361" i="8"/>
  <c r="B1361" i="8"/>
  <c r="C1361" i="8"/>
  <c r="D1361" i="8"/>
  <c r="A1362" i="8"/>
  <c r="B1362" i="8"/>
  <c r="C1362" i="8"/>
  <c r="D1362" i="8"/>
  <c r="A1363" i="8"/>
  <c r="B1363" i="8"/>
  <c r="C1363" i="8"/>
  <c r="D1363" i="8"/>
  <c r="A1364" i="8"/>
  <c r="B1364" i="8"/>
  <c r="C1364" i="8"/>
  <c r="D1364" i="8"/>
  <c r="A1365" i="8"/>
  <c r="B1365" i="8"/>
  <c r="C1365" i="8"/>
  <c r="D1365" i="8"/>
  <c r="A1366" i="8"/>
  <c r="B1366" i="8"/>
  <c r="C1366" i="8"/>
  <c r="D1366" i="8"/>
  <c r="A1367" i="8"/>
  <c r="B1367" i="8"/>
  <c r="C1367" i="8"/>
  <c r="D1367" i="8"/>
  <c r="A1368" i="8"/>
  <c r="B1368" i="8"/>
  <c r="C1368" i="8"/>
  <c r="D1368" i="8"/>
  <c r="A1369" i="8"/>
  <c r="B1369" i="8"/>
  <c r="C1369" i="8"/>
  <c r="D1369" i="8"/>
  <c r="A1370" i="8"/>
  <c r="B1370" i="8"/>
  <c r="C1370" i="8"/>
  <c r="D1370" i="8"/>
  <c r="A1371" i="8"/>
  <c r="B1371" i="8"/>
  <c r="C1371" i="8"/>
  <c r="D1371" i="8"/>
  <c r="A1372" i="8"/>
  <c r="B1372" i="8"/>
  <c r="C1372" i="8"/>
  <c r="D1372" i="8"/>
  <c r="A1373" i="8"/>
  <c r="B1373" i="8"/>
  <c r="C1373" i="8"/>
  <c r="D1373" i="8"/>
  <c r="A1374" i="8"/>
  <c r="B1374" i="8"/>
  <c r="C1374" i="8"/>
  <c r="D1374" i="8"/>
  <c r="A1375" i="8"/>
  <c r="B1375" i="8"/>
  <c r="C1375" i="8"/>
  <c r="D1375" i="8"/>
  <c r="A1376" i="8"/>
  <c r="B1376" i="8"/>
  <c r="C1376" i="8"/>
  <c r="D1376" i="8"/>
  <c r="A1377" i="8"/>
  <c r="B1377" i="8"/>
  <c r="C1377" i="8"/>
  <c r="D1377" i="8"/>
  <c r="A1378" i="8"/>
  <c r="B1378" i="8"/>
  <c r="C1378" i="8"/>
  <c r="D1378" i="8"/>
  <c r="A1379" i="8"/>
  <c r="B1379" i="8"/>
  <c r="C1379" i="8"/>
  <c r="D1379" i="8"/>
  <c r="A1380" i="8"/>
  <c r="B1380" i="8"/>
  <c r="C1380" i="8"/>
  <c r="D1380" i="8"/>
  <c r="A1381" i="8"/>
  <c r="B1381" i="8"/>
  <c r="C1381" i="8"/>
  <c r="D1381" i="8"/>
  <c r="A1382" i="8"/>
  <c r="B1382" i="8"/>
  <c r="C1382" i="8"/>
  <c r="D1382" i="8"/>
  <c r="A1383" i="8"/>
  <c r="B1383" i="8"/>
  <c r="C1383" i="8"/>
  <c r="D1383" i="8"/>
  <c r="A1384" i="8"/>
  <c r="B1384" i="8"/>
  <c r="C1384" i="8"/>
  <c r="D1384" i="8"/>
  <c r="A1385" i="8"/>
  <c r="B1385" i="8"/>
  <c r="C1385" i="8"/>
  <c r="D1385" i="8"/>
  <c r="A1386" i="8"/>
  <c r="B1386" i="8"/>
  <c r="C1386" i="8"/>
  <c r="D1386" i="8"/>
  <c r="A1387" i="8"/>
  <c r="B1387" i="8"/>
  <c r="C1387" i="8"/>
  <c r="D1387" i="8"/>
  <c r="A1388" i="8"/>
  <c r="B1388" i="8"/>
  <c r="C1388" i="8"/>
  <c r="D1388" i="8"/>
  <c r="A1389" i="8"/>
  <c r="B1389" i="8"/>
  <c r="C1389" i="8"/>
  <c r="D1389" i="8"/>
  <c r="A1390" i="8"/>
  <c r="B1390" i="8"/>
  <c r="C1390" i="8"/>
  <c r="D1390" i="8"/>
  <c r="A1391" i="8"/>
  <c r="B1391" i="8"/>
  <c r="C1391" i="8"/>
  <c r="D1391" i="8"/>
  <c r="A1392" i="8"/>
  <c r="B1392" i="8"/>
  <c r="C1392" i="8"/>
  <c r="D1392" i="8"/>
  <c r="A1393" i="8"/>
  <c r="B1393" i="8"/>
  <c r="C1393" i="8"/>
  <c r="D1393" i="8"/>
  <c r="A1394" i="8"/>
  <c r="B1394" i="8"/>
  <c r="C1394" i="8"/>
  <c r="D1394" i="8"/>
  <c r="A1395" i="8"/>
  <c r="B1395" i="8"/>
  <c r="C1395" i="8"/>
  <c r="D1395" i="8"/>
  <c r="A1396" i="8"/>
  <c r="B1396" i="8"/>
  <c r="C1396" i="8"/>
  <c r="D1396" i="8"/>
  <c r="A1397" i="8"/>
  <c r="B1397" i="8"/>
  <c r="C1397" i="8"/>
  <c r="D1397" i="8"/>
  <c r="A1398" i="8"/>
  <c r="B1398" i="8"/>
  <c r="C1398" i="8"/>
  <c r="D1398" i="8"/>
  <c r="A1399" i="8"/>
  <c r="B1399" i="8"/>
  <c r="C1399" i="8"/>
  <c r="D1399" i="8"/>
  <c r="A1400" i="8"/>
  <c r="B1400" i="8"/>
  <c r="C1400" i="8"/>
  <c r="D1400" i="8"/>
  <c r="A1401" i="8"/>
  <c r="B1401" i="8"/>
  <c r="C1401" i="8"/>
  <c r="D1401" i="8"/>
  <c r="A1402" i="8"/>
  <c r="B1402" i="8"/>
  <c r="C1402" i="8"/>
  <c r="D1402" i="8"/>
  <c r="A1403" i="8"/>
  <c r="B1403" i="8"/>
  <c r="C1403" i="8"/>
  <c r="D1403" i="8"/>
  <c r="A1404" i="8"/>
  <c r="B1404" i="8"/>
  <c r="C1404" i="8"/>
  <c r="D1404" i="8"/>
  <c r="A1405" i="8"/>
  <c r="B1405" i="8"/>
  <c r="C1405" i="8"/>
  <c r="D1405" i="8"/>
  <c r="A1406" i="8"/>
  <c r="B1406" i="8"/>
  <c r="C1406" i="8"/>
  <c r="D1406" i="8"/>
  <c r="A1407" i="8"/>
  <c r="B1407" i="8"/>
  <c r="C1407" i="8"/>
  <c r="D1407" i="8"/>
  <c r="A1408" i="8"/>
  <c r="B1408" i="8"/>
  <c r="C1408" i="8"/>
  <c r="D1408" i="8"/>
  <c r="A1409" i="8"/>
  <c r="B1409" i="8"/>
  <c r="C1409" i="8"/>
  <c r="D1409" i="8"/>
  <c r="A1410" i="8"/>
  <c r="B1410" i="8"/>
  <c r="C1410" i="8"/>
  <c r="D1410" i="8"/>
  <c r="A1411" i="8"/>
  <c r="B1411" i="8"/>
  <c r="C1411" i="8"/>
  <c r="D1411" i="8"/>
  <c r="A1412" i="8"/>
  <c r="B1412" i="8"/>
  <c r="C1412" i="8"/>
  <c r="D1412" i="8"/>
  <c r="A1413" i="8"/>
  <c r="B1413" i="8"/>
  <c r="C1413" i="8"/>
  <c r="D1413" i="8"/>
  <c r="A1414" i="8"/>
  <c r="B1414" i="8"/>
  <c r="C1414" i="8"/>
  <c r="D1414" i="8"/>
  <c r="A1415" i="8"/>
  <c r="B1415" i="8"/>
  <c r="C1415" i="8"/>
  <c r="D1415" i="8"/>
  <c r="A1416" i="8"/>
  <c r="B1416" i="8"/>
  <c r="C1416" i="8"/>
  <c r="D1416" i="8"/>
  <c r="A1417" i="8"/>
  <c r="B1417" i="8"/>
  <c r="C1417" i="8"/>
  <c r="D1417" i="8"/>
  <c r="A1418" i="8"/>
  <c r="B1418" i="8"/>
  <c r="C1418" i="8"/>
  <c r="D1418" i="8"/>
  <c r="A1419" i="8"/>
  <c r="B1419" i="8"/>
  <c r="C1419" i="8"/>
  <c r="D1419" i="8"/>
  <c r="A1420" i="8"/>
  <c r="B1420" i="8"/>
  <c r="C1420" i="8"/>
  <c r="D1420" i="8"/>
  <c r="A1421" i="8"/>
  <c r="B1421" i="8"/>
  <c r="C1421" i="8"/>
  <c r="D1421" i="8"/>
  <c r="A1422" i="8"/>
  <c r="B1422" i="8"/>
  <c r="C1422" i="8"/>
  <c r="D1422" i="8"/>
  <c r="A1423" i="8"/>
  <c r="B1423" i="8"/>
  <c r="C1423" i="8"/>
  <c r="D1423" i="8"/>
  <c r="A1424" i="8"/>
  <c r="B1424" i="8"/>
  <c r="C1424" i="8"/>
  <c r="D1424" i="8"/>
  <c r="A1425" i="8"/>
  <c r="B1425" i="8"/>
  <c r="C1425" i="8"/>
  <c r="D1425" i="8"/>
  <c r="A1426" i="8"/>
  <c r="B1426" i="8"/>
  <c r="C1426" i="8"/>
  <c r="D1426" i="8"/>
  <c r="A1427" i="8"/>
  <c r="B1427" i="8"/>
  <c r="C1427" i="8"/>
  <c r="D1427" i="8"/>
  <c r="A1428" i="8"/>
  <c r="B1428" i="8"/>
  <c r="C1428" i="8"/>
  <c r="D1428" i="8"/>
  <c r="A1429" i="8"/>
  <c r="B1429" i="8"/>
  <c r="C1429" i="8"/>
  <c r="D1429" i="8"/>
  <c r="A1430" i="8"/>
  <c r="B1430" i="8"/>
  <c r="C1430" i="8"/>
  <c r="D1430" i="8"/>
  <c r="A1431" i="8"/>
  <c r="B1431" i="8"/>
  <c r="C1431" i="8"/>
  <c r="D1431" i="8"/>
  <c r="A1432" i="8"/>
  <c r="B1432" i="8"/>
  <c r="C1432" i="8"/>
  <c r="D1432" i="8"/>
  <c r="A1433" i="8"/>
  <c r="B1433" i="8"/>
  <c r="C1433" i="8"/>
  <c r="D1433" i="8"/>
  <c r="A1434" i="8"/>
  <c r="B1434" i="8"/>
  <c r="C1434" i="8"/>
  <c r="D1434" i="8"/>
  <c r="A1435" i="8"/>
  <c r="B1435" i="8"/>
  <c r="C1435" i="8"/>
  <c r="D1435" i="8"/>
  <c r="A1436" i="8"/>
  <c r="B1436" i="8"/>
  <c r="C1436" i="8"/>
  <c r="D1436" i="8"/>
  <c r="A1437" i="8"/>
  <c r="B1437" i="8"/>
  <c r="C1437" i="8"/>
  <c r="D1437" i="8"/>
  <c r="A1438" i="8"/>
  <c r="B1438" i="8"/>
  <c r="C1438" i="8"/>
  <c r="D1438" i="8"/>
  <c r="A1439" i="8"/>
  <c r="B1439" i="8"/>
  <c r="C1439" i="8"/>
  <c r="D1439" i="8"/>
  <c r="A1440" i="8"/>
  <c r="B1440" i="8"/>
  <c r="C1440" i="8"/>
  <c r="D1440" i="8"/>
  <c r="A1441" i="8"/>
  <c r="B1441" i="8"/>
  <c r="C1441" i="8"/>
  <c r="D1441" i="8"/>
  <c r="A1442" i="8"/>
  <c r="B1442" i="8"/>
  <c r="C1442" i="8"/>
  <c r="D1442" i="8"/>
  <c r="A1443" i="8"/>
  <c r="B1443" i="8"/>
  <c r="C1443" i="8"/>
  <c r="D1443" i="8"/>
  <c r="A1444" i="8"/>
  <c r="B1444" i="8"/>
  <c r="C1444" i="8"/>
  <c r="D1444" i="8"/>
  <c r="A1445" i="8"/>
  <c r="B1445" i="8"/>
  <c r="C1445" i="8"/>
  <c r="D1445" i="8"/>
  <c r="A1446" i="8"/>
  <c r="B1446" i="8"/>
  <c r="C1446" i="8"/>
  <c r="D1446" i="8"/>
  <c r="A1447" i="8"/>
  <c r="B1447" i="8"/>
  <c r="C1447" i="8"/>
  <c r="D1447" i="8"/>
  <c r="A1448" i="8"/>
  <c r="B1448" i="8"/>
  <c r="C1448" i="8"/>
  <c r="D1448" i="8"/>
  <c r="A1449" i="8"/>
  <c r="B1449" i="8"/>
  <c r="C1449" i="8"/>
  <c r="D1449" i="8"/>
  <c r="A1450" i="8"/>
  <c r="B1450" i="8"/>
  <c r="C1450" i="8"/>
  <c r="D1450" i="8"/>
  <c r="A1451" i="8"/>
  <c r="B1451" i="8"/>
  <c r="C1451" i="8"/>
  <c r="D1451" i="8"/>
  <c r="A1452" i="8"/>
  <c r="B1452" i="8"/>
  <c r="C1452" i="8"/>
  <c r="D1452" i="8"/>
  <c r="A1453" i="8"/>
  <c r="B1453" i="8"/>
  <c r="C1453" i="8"/>
  <c r="D1453" i="8"/>
  <c r="A1454" i="8"/>
  <c r="B1454" i="8"/>
  <c r="C1454" i="8"/>
  <c r="D1454" i="8"/>
  <c r="A1455" i="8"/>
  <c r="B1455" i="8"/>
  <c r="C1455" i="8"/>
  <c r="D1455" i="8"/>
  <c r="A1456" i="8"/>
  <c r="B1456" i="8"/>
  <c r="C1456" i="8"/>
  <c r="D1456" i="8"/>
  <c r="A1457" i="8"/>
  <c r="B1457" i="8"/>
  <c r="C1457" i="8"/>
  <c r="D1457" i="8"/>
  <c r="A1458" i="8"/>
  <c r="B1458" i="8"/>
  <c r="C1458" i="8"/>
  <c r="D1458" i="8"/>
  <c r="A1459" i="8"/>
  <c r="B1459" i="8"/>
  <c r="C1459" i="8"/>
  <c r="D1459" i="8"/>
  <c r="A1460" i="8"/>
  <c r="B1460" i="8"/>
  <c r="C1460" i="8"/>
  <c r="D1460" i="8"/>
  <c r="A1461" i="8"/>
  <c r="B1461" i="8"/>
  <c r="C1461" i="8"/>
  <c r="D1461" i="8"/>
  <c r="A1462" i="8"/>
  <c r="B1462" i="8"/>
  <c r="C1462" i="8"/>
  <c r="D1462" i="8"/>
  <c r="A1463" i="8"/>
  <c r="B1463" i="8"/>
  <c r="C1463" i="8"/>
  <c r="D1463" i="8"/>
  <c r="A1464" i="8"/>
  <c r="B1464" i="8"/>
  <c r="C1464" i="8"/>
  <c r="D1464" i="8"/>
  <c r="A1465" i="8"/>
  <c r="B1465" i="8"/>
  <c r="C1465" i="8"/>
  <c r="D1465" i="8"/>
  <c r="A1466" i="8"/>
  <c r="B1466" i="8"/>
  <c r="C1466" i="8"/>
  <c r="D1466" i="8"/>
  <c r="A1467" i="8"/>
  <c r="B1467" i="8"/>
  <c r="C1467" i="8"/>
  <c r="D1467" i="8"/>
  <c r="A1468" i="8"/>
  <c r="B1468" i="8"/>
  <c r="C1468" i="8"/>
  <c r="D1468" i="8"/>
  <c r="A1469" i="8"/>
  <c r="B1469" i="8"/>
  <c r="C1469" i="8"/>
  <c r="D1469" i="8"/>
  <c r="A1470" i="8"/>
  <c r="B1470" i="8"/>
  <c r="C1470" i="8"/>
  <c r="D1470" i="8"/>
  <c r="A1471" i="8"/>
  <c r="B1471" i="8"/>
  <c r="C1471" i="8"/>
  <c r="D1471" i="8"/>
  <c r="A1472" i="8"/>
  <c r="B1472" i="8"/>
  <c r="C1472" i="8"/>
  <c r="D1472" i="8"/>
  <c r="A1473" i="8"/>
  <c r="B1473" i="8"/>
  <c r="C1473" i="8"/>
  <c r="D1473" i="8"/>
  <c r="A1474" i="8"/>
  <c r="B1474" i="8"/>
  <c r="C1474" i="8"/>
  <c r="D1474" i="8"/>
  <c r="A1475" i="8"/>
  <c r="B1475" i="8"/>
  <c r="C1475" i="8"/>
  <c r="D1475" i="8"/>
  <c r="A1476" i="8"/>
  <c r="B1476" i="8"/>
  <c r="C1476" i="8"/>
  <c r="D1476" i="8"/>
  <c r="A1477" i="8"/>
  <c r="B1477" i="8"/>
  <c r="C1477" i="8"/>
  <c r="D1477" i="8"/>
  <c r="A1478" i="8"/>
  <c r="B1478" i="8"/>
  <c r="C1478" i="8"/>
  <c r="D1478" i="8"/>
  <c r="A1479" i="8"/>
  <c r="B1479" i="8"/>
  <c r="C1479" i="8"/>
  <c r="D1479" i="8"/>
  <c r="A1480" i="8"/>
  <c r="B1480" i="8"/>
  <c r="C1480" i="8"/>
  <c r="D1480" i="8"/>
  <c r="A1481" i="8"/>
  <c r="B1481" i="8"/>
  <c r="C1481" i="8"/>
  <c r="D1481" i="8"/>
  <c r="A1482" i="8"/>
  <c r="B1482" i="8"/>
  <c r="C1482" i="8"/>
  <c r="D1482" i="8"/>
  <c r="A1483" i="8"/>
  <c r="B1483" i="8"/>
  <c r="C1483" i="8"/>
  <c r="D1483" i="8"/>
  <c r="A1484" i="8"/>
  <c r="B1484" i="8"/>
  <c r="C1484" i="8"/>
  <c r="D1484" i="8"/>
  <c r="A1485" i="8"/>
  <c r="B1485" i="8"/>
  <c r="C1485" i="8"/>
  <c r="D1485" i="8"/>
  <c r="A1486" i="8"/>
  <c r="B1486" i="8"/>
  <c r="C1486" i="8"/>
  <c r="D1486" i="8"/>
  <c r="A1487" i="8"/>
  <c r="B1487" i="8"/>
  <c r="C1487" i="8"/>
  <c r="D1487" i="8"/>
  <c r="A1488" i="8"/>
  <c r="B1488" i="8"/>
  <c r="C1488" i="8"/>
  <c r="D1488" i="8"/>
  <c r="A1489" i="8"/>
  <c r="B1489" i="8"/>
  <c r="C1489" i="8"/>
  <c r="D1489" i="8"/>
  <c r="A1490" i="8"/>
  <c r="B1490" i="8"/>
  <c r="C1490" i="8"/>
  <c r="D1490" i="8"/>
  <c r="A1491" i="8"/>
  <c r="B1491" i="8"/>
  <c r="C1491" i="8"/>
  <c r="D1491" i="8"/>
  <c r="A1492" i="8"/>
  <c r="B1492" i="8"/>
  <c r="C1492" i="8"/>
  <c r="D1492" i="8"/>
  <c r="A1493" i="8"/>
  <c r="B1493" i="8"/>
  <c r="C1493" i="8"/>
  <c r="D1493" i="8"/>
  <c r="A1494" i="8"/>
  <c r="B1494" i="8"/>
  <c r="C1494" i="8"/>
  <c r="D1494" i="8"/>
  <c r="A1495" i="8"/>
  <c r="B1495" i="8"/>
  <c r="C1495" i="8"/>
  <c r="D1495" i="8"/>
  <c r="A1496" i="8"/>
  <c r="B1496" i="8"/>
  <c r="C1496" i="8"/>
  <c r="D1496" i="8"/>
  <c r="A1497" i="8"/>
  <c r="B1497" i="8"/>
  <c r="C1497" i="8"/>
  <c r="D1497" i="8"/>
  <c r="A1498" i="8"/>
  <c r="B1498" i="8"/>
  <c r="C1498" i="8"/>
  <c r="D1498" i="8"/>
  <c r="A1499" i="8"/>
  <c r="B1499" i="8"/>
  <c r="C1499" i="8"/>
  <c r="D1499" i="8"/>
  <c r="A1500" i="8"/>
  <c r="B1500" i="8"/>
  <c r="C1500" i="8"/>
  <c r="D1500" i="8"/>
  <c r="A1501" i="8"/>
  <c r="B1501" i="8"/>
  <c r="C1501" i="8"/>
  <c r="D1501" i="8"/>
  <c r="A1502" i="8"/>
  <c r="B1502" i="8"/>
  <c r="C1502" i="8"/>
  <c r="D1502" i="8"/>
  <c r="A1503" i="8"/>
  <c r="B1503" i="8"/>
  <c r="C1503" i="8"/>
  <c r="D1503" i="8"/>
  <c r="A1504" i="8"/>
  <c r="B1504" i="8"/>
  <c r="C1504" i="8"/>
  <c r="D1504" i="8"/>
  <c r="A1505" i="8"/>
  <c r="B1505" i="8"/>
  <c r="C1505" i="8"/>
  <c r="D1505" i="8"/>
  <c r="A1506" i="8"/>
  <c r="B1506" i="8"/>
  <c r="C1506" i="8"/>
  <c r="D1506" i="8"/>
  <c r="A1507" i="8"/>
  <c r="B1507" i="8"/>
  <c r="C1507" i="8"/>
  <c r="D1507" i="8"/>
  <c r="A1508" i="8"/>
  <c r="B1508" i="8"/>
  <c r="C1508" i="8"/>
  <c r="D1508" i="8"/>
  <c r="A1509" i="8"/>
  <c r="B1509" i="8"/>
  <c r="C1509" i="8"/>
  <c r="D1509" i="8"/>
  <c r="A1510" i="8"/>
  <c r="B1510" i="8"/>
  <c r="C1510" i="8"/>
  <c r="D1510" i="8"/>
  <c r="A1511" i="8"/>
  <c r="B1511" i="8"/>
  <c r="C1511" i="8"/>
  <c r="D1511" i="8"/>
  <c r="A1512" i="8"/>
  <c r="B1512" i="8"/>
  <c r="C1512" i="8"/>
  <c r="D1512" i="8"/>
  <c r="A1513" i="8"/>
  <c r="B1513" i="8"/>
  <c r="C1513" i="8"/>
  <c r="D1513" i="8"/>
  <c r="A1514" i="8"/>
  <c r="B1514" i="8"/>
  <c r="C1514" i="8"/>
  <c r="D1514" i="8"/>
  <c r="A1515" i="8"/>
  <c r="B1515" i="8"/>
  <c r="C1515" i="8"/>
  <c r="D1515" i="8"/>
  <c r="A1516" i="8"/>
  <c r="B1516" i="8"/>
  <c r="C1516" i="8"/>
  <c r="D1516" i="8"/>
  <c r="A1517" i="8"/>
  <c r="B1517" i="8"/>
  <c r="C1517" i="8"/>
  <c r="D1517" i="8"/>
  <c r="A1518" i="8"/>
  <c r="B1518" i="8"/>
  <c r="C1518" i="8"/>
  <c r="D1518" i="8"/>
  <c r="A1519" i="8"/>
  <c r="B1519" i="8"/>
  <c r="C1519" i="8"/>
  <c r="D1519" i="8"/>
  <c r="A1520" i="8"/>
  <c r="B1520" i="8"/>
  <c r="C1520" i="8"/>
  <c r="D1520" i="8"/>
  <c r="A1521" i="8"/>
  <c r="B1521" i="8"/>
  <c r="C1521" i="8"/>
  <c r="D1521" i="8"/>
  <c r="A1522" i="8"/>
  <c r="B1522" i="8"/>
  <c r="C1522" i="8"/>
  <c r="D1522" i="8"/>
  <c r="A1523" i="8"/>
  <c r="B1523" i="8"/>
  <c r="C1523" i="8"/>
  <c r="D1523" i="8"/>
  <c r="A1524" i="8"/>
  <c r="B1524" i="8"/>
  <c r="C1524" i="8"/>
  <c r="D1524" i="8"/>
  <c r="A1525" i="8"/>
  <c r="B1525" i="8"/>
  <c r="C1525" i="8"/>
  <c r="D1525" i="8"/>
  <c r="A1526" i="8"/>
  <c r="B1526" i="8"/>
  <c r="C1526" i="8"/>
  <c r="D1526" i="8"/>
  <c r="A1527" i="8"/>
  <c r="B1527" i="8"/>
  <c r="C1527" i="8"/>
  <c r="D1527" i="8"/>
  <c r="A1528" i="8"/>
  <c r="B1528" i="8"/>
  <c r="C1528" i="8"/>
  <c r="D1528" i="8"/>
  <c r="A1529" i="8"/>
  <c r="B1529" i="8"/>
  <c r="C1529" i="8"/>
  <c r="D1529" i="8"/>
  <c r="A1530" i="8"/>
  <c r="B1530" i="8"/>
  <c r="C1530" i="8"/>
  <c r="D1530" i="8"/>
  <c r="A1531" i="8"/>
  <c r="B1531" i="8"/>
  <c r="C1531" i="8"/>
  <c r="D1531" i="8"/>
  <c r="A1532" i="8"/>
  <c r="B1532" i="8"/>
  <c r="C1532" i="8"/>
  <c r="D1532" i="8"/>
  <c r="A1533" i="8"/>
  <c r="B1533" i="8"/>
  <c r="C1533" i="8"/>
  <c r="D1533" i="8"/>
  <c r="A1534" i="8"/>
  <c r="B1534" i="8"/>
  <c r="C1534" i="8"/>
  <c r="D1534" i="8"/>
  <c r="A1535" i="8"/>
  <c r="B1535" i="8"/>
  <c r="C1535" i="8"/>
  <c r="D1535" i="8"/>
  <c r="A1536" i="8"/>
  <c r="B1536" i="8"/>
  <c r="C1536" i="8"/>
  <c r="D1536" i="8"/>
  <c r="A1537" i="8"/>
  <c r="B1537" i="8"/>
  <c r="C1537" i="8"/>
  <c r="D1537" i="8"/>
  <c r="A1538" i="8"/>
  <c r="B1538" i="8"/>
  <c r="C1538" i="8"/>
  <c r="D1538" i="8"/>
  <c r="A1539" i="8"/>
  <c r="B1539" i="8"/>
  <c r="C1539" i="8"/>
  <c r="D1539" i="8"/>
  <c r="A1540" i="8"/>
  <c r="B1540" i="8"/>
  <c r="C1540" i="8"/>
  <c r="D1540" i="8"/>
  <c r="A1541" i="8"/>
  <c r="B1541" i="8"/>
  <c r="C1541" i="8"/>
  <c r="D1541" i="8"/>
  <c r="A1542" i="8"/>
  <c r="B1542" i="8"/>
  <c r="C1542" i="8"/>
  <c r="D1542" i="8"/>
  <c r="A1543" i="8"/>
  <c r="B1543" i="8"/>
  <c r="C1543" i="8"/>
  <c r="D1543" i="8"/>
  <c r="A1544" i="8"/>
  <c r="B1544" i="8"/>
  <c r="C1544" i="8"/>
  <c r="D1544" i="8"/>
  <c r="A1545" i="8"/>
  <c r="B1545" i="8"/>
  <c r="C1545" i="8"/>
  <c r="D1545" i="8"/>
  <c r="A1546" i="8"/>
  <c r="B1546" i="8"/>
  <c r="C1546" i="8"/>
  <c r="D1546" i="8"/>
  <c r="A1547" i="8"/>
  <c r="B1547" i="8"/>
  <c r="C1547" i="8"/>
  <c r="D1547" i="8"/>
  <c r="A1548" i="8"/>
  <c r="B1548" i="8"/>
  <c r="C1548" i="8"/>
  <c r="D1548" i="8"/>
  <c r="A1549" i="8"/>
  <c r="B1549" i="8"/>
  <c r="C1549" i="8"/>
  <c r="D1549" i="8"/>
  <c r="A1550" i="8"/>
  <c r="B1550" i="8"/>
  <c r="C1550" i="8"/>
  <c r="D1550" i="8"/>
  <c r="A1551" i="8"/>
  <c r="B1551" i="8"/>
  <c r="C1551" i="8"/>
  <c r="D1551" i="8"/>
  <c r="A1552" i="8"/>
  <c r="B1552" i="8"/>
  <c r="C1552" i="8"/>
  <c r="D1552" i="8"/>
  <c r="A1553" i="8"/>
  <c r="B1553" i="8"/>
  <c r="C1553" i="8"/>
  <c r="D1553" i="8"/>
  <c r="A1554" i="8"/>
  <c r="B1554" i="8"/>
  <c r="C1554" i="8"/>
  <c r="D1554" i="8"/>
  <c r="A1555" i="8"/>
  <c r="B1555" i="8"/>
  <c r="C1555" i="8"/>
  <c r="D1555" i="8"/>
  <c r="A1556" i="8"/>
  <c r="B1556" i="8"/>
  <c r="C1556" i="8"/>
  <c r="D1556" i="8"/>
  <c r="A1557" i="8"/>
  <c r="B1557" i="8"/>
  <c r="C1557" i="8"/>
  <c r="D1557" i="8"/>
  <c r="A1558" i="8"/>
  <c r="B1558" i="8"/>
  <c r="C1558" i="8"/>
  <c r="D1558" i="8"/>
  <c r="A1559" i="8"/>
  <c r="B1559" i="8"/>
  <c r="C1559" i="8"/>
  <c r="D1559" i="8"/>
  <c r="A1560" i="8"/>
  <c r="B1560" i="8"/>
  <c r="C1560" i="8"/>
  <c r="D1560" i="8"/>
  <c r="A1561" i="8"/>
  <c r="B1561" i="8"/>
  <c r="C1561" i="8"/>
  <c r="D1561" i="8"/>
  <c r="A1562" i="8"/>
  <c r="B1562" i="8"/>
  <c r="C1562" i="8"/>
  <c r="D1562" i="8"/>
  <c r="A1563" i="8"/>
  <c r="B1563" i="8"/>
  <c r="C1563" i="8"/>
  <c r="D1563" i="8"/>
  <c r="A1564" i="8"/>
  <c r="B1564" i="8"/>
  <c r="C1564" i="8"/>
  <c r="D1564" i="8"/>
  <c r="A1565" i="8"/>
  <c r="B1565" i="8"/>
  <c r="C1565" i="8"/>
  <c r="D1565" i="8"/>
  <c r="A1566" i="8"/>
  <c r="B1566" i="8"/>
  <c r="C1566" i="8"/>
  <c r="D1566" i="8"/>
  <c r="A1567" i="8"/>
  <c r="B1567" i="8"/>
  <c r="C1567" i="8"/>
  <c r="D1567" i="8"/>
  <c r="A1568" i="8"/>
  <c r="B1568" i="8"/>
  <c r="C1568" i="8"/>
  <c r="D1568" i="8"/>
  <c r="A1569" i="8"/>
  <c r="B1569" i="8"/>
  <c r="C1569" i="8"/>
  <c r="D1569" i="8"/>
  <c r="A1570" i="8"/>
  <c r="B1570" i="8"/>
  <c r="C1570" i="8"/>
  <c r="D1570" i="8"/>
  <c r="A1571" i="8"/>
  <c r="B1571" i="8"/>
  <c r="C1571" i="8"/>
  <c r="D1571" i="8"/>
  <c r="A1572" i="8"/>
  <c r="B1572" i="8"/>
  <c r="C1572" i="8"/>
  <c r="D1572" i="8"/>
  <c r="A1573" i="8"/>
  <c r="B1573" i="8"/>
  <c r="C1573" i="8"/>
  <c r="D1573" i="8"/>
  <c r="A1574" i="8"/>
  <c r="B1574" i="8"/>
  <c r="C1574" i="8"/>
  <c r="D1574" i="8"/>
  <c r="A1575" i="8"/>
  <c r="B1575" i="8"/>
  <c r="C1575" i="8"/>
  <c r="D1575" i="8"/>
  <c r="A1576" i="8"/>
  <c r="B1576" i="8"/>
  <c r="C1576" i="8"/>
  <c r="D1576" i="8"/>
  <c r="A1577" i="8"/>
  <c r="B1577" i="8"/>
  <c r="C1577" i="8"/>
  <c r="D1577" i="8"/>
  <c r="A1578" i="8"/>
  <c r="B1578" i="8"/>
  <c r="C1578" i="8"/>
  <c r="D1578" i="8"/>
  <c r="A1579" i="8"/>
  <c r="B1579" i="8"/>
  <c r="C1579" i="8"/>
  <c r="D1579" i="8"/>
  <c r="A1580" i="8"/>
  <c r="B1580" i="8"/>
  <c r="C1580" i="8"/>
  <c r="D1580" i="8"/>
  <c r="A1581" i="8"/>
  <c r="B1581" i="8"/>
  <c r="C1581" i="8"/>
  <c r="D1581" i="8"/>
  <c r="A1582" i="8"/>
  <c r="B1582" i="8"/>
  <c r="C1582" i="8"/>
  <c r="D1582" i="8"/>
  <c r="A1583" i="8"/>
  <c r="B1583" i="8"/>
  <c r="C1583" i="8"/>
  <c r="D1583" i="8"/>
  <c r="A1584" i="8"/>
  <c r="B1584" i="8"/>
  <c r="C1584" i="8"/>
  <c r="D1584" i="8"/>
  <c r="A1585" i="8"/>
  <c r="B1585" i="8"/>
  <c r="C1585" i="8"/>
  <c r="D1585" i="8"/>
  <c r="A1586" i="8"/>
  <c r="B1586" i="8"/>
  <c r="C1586" i="8"/>
  <c r="D1586" i="8"/>
  <c r="A1587" i="8"/>
  <c r="B1587" i="8"/>
  <c r="C1587" i="8"/>
  <c r="D1587" i="8"/>
  <c r="A1588" i="8"/>
  <c r="B1588" i="8"/>
  <c r="C1588" i="8"/>
  <c r="D1588" i="8"/>
  <c r="A1589" i="8"/>
  <c r="B1589" i="8"/>
  <c r="C1589" i="8"/>
  <c r="D1589" i="8"/>
  <c r="A1590" i="8"/>
  <c r="B1590" i="8"/>
  <c r="C1590" i="8"/>
  <c r="D1590" i="8"/>
  <c r="A1591" i="8"/>
  <c r="B1591" i="8"/>
  <c r="C1591" i="8"/>
  <c r="D1591" i="8"/>
  <c r="A1592" i="8"/>
  <c r="B1592" i="8"/>
  <c r="C1592" i="8"/>
  <c r="D1592" i="8"/>
  <c r="A1593" i="8"/>
  <c r="B1593" i="8"/>
  <c r="C1593" i="8"/>
  <c r="D1593" i="8"/>
  <c r="A1594" i="8"/>
  <c r="B1594" i="8"/>
  <c r="C1594" i="8"/>
  <c r="D1594" i="8"/>
  <c r="A1595" i="8"/>
  <c r="B1595" i="8"/>
  <c r="C1595" i="8"/>
  <c r="D1595" i="8"/>
  <c r="A1596" i="8"/>
  <c r="B1596" i="8"/>
  <c r="C1596" i="8"/>
  <c r="D1596" i="8"/>
  <c r="A1597" i="8"/>
  <c r="B1597" i="8"/>
  <c r="C1597" i="8"/>
  <c r="D1597" i="8"/>
  <c r="A1598" i="8"/>
  <c r="B1598" i="8"/>
  <c r="C1598" i="8"/>
  <c r="D1598" i="8"/>
  <c r="A1599" i="8"/>
  <c r="B1599" i="8"/>
  <c r="C1599" i="8"/>
  <c r="D1599" i="8"/>
  <c r="A1600" i="8"/>
  <c r="B1600" i="8"/>
  <c r="C1600" i="8"/>
  <c r="D1600" i="8"/>
  <c r="A1601" i="8"/>
  <c r="B1601" i="8"/>
  <c r="C1601" i="8"/>
  <c r="D1601" i="8"/>
  <c r="A1602" i="8"/>
  <c r="B1602" i="8"/>
  <c r="C1602" i="8"/>
  <c r="D1602" i="8"/>
  <c r="A1603" i="8"/>
  <c r="B1603" i="8"/>
  <c r="C1603" i="8"/>
  <c r="D1603" i="8"/>
  <c r="A1604" i="8"/>
  <c r="B1604" i="8"/>
  <c r="C1604" i="8"/>
  <c r="D1604" i="8"/>
  <c r="A1605" i="8"/>
  <c r="B1605" i="8"/>
  <c r="C1605" i="8"/>
  <c r="D1605" i="8"/>
  <c r="A1606" i="8"/>
  <c r="B1606" i="8"/>
  <c r="C1606" i="8"/>
  <c r="D1606" i="8"/>
  <c r="A1607" i="8"/>
  <c r="B1607" i="8"/>
  <c r="C1607" i="8"/>
  <c r="D1607" i="8"/>
  <c r="A1608" i="8"/>
  <c r="B1608" i="8"/>
  <c r="C1608" i="8"/>
  <c r="D1608" i="8"/>
  <c r="A1609" i="8"/>
  <c r="B1609" i="8"/>
  <c r="C1609" i="8"/>
  <c r="D1609" i="8"/>
  <c r="A1610" i="8"/>
  <c r="B1610" i="8"/>
  <c r="C1610" i="8"/>
  <c r="D1610" i="8"/>
  <c r="A1611" i="8"/>
  <c r="B1611" i="8"/>
  <c r="C1611" i="8"/>
  <c r="D1611" i="8"/>
  <c r="A1612" i="8"/>
  <c r="B1612" i="8"/>
  <c r="C1612" i="8"/>
  <c r="D1612" i="8"/>
  <c r="A1613" i="8"/>
  <c r="B1613" i="8"/>
  <c r="C1613" i="8"/>
  <c r="D1613" i="8"/>
  <c r="A1614" i="8"/>
  <c r="B1614" i="8"/>
  <c r="C1614" i="8"/>
  <c r="D1614" i="8"/>
  <c r="A1615" i="8"/>
  <c r="B1615" i="8"/>
  <c r="C1615" i="8"/>
  <c r="D1615" i="8"/>
  <c r="A1616" i="8"/>
  <c r="B1616" i="8"/>
  <c r="C1616" i="8"/>
  <c r="D1616" i="8"/>
  <c r="A1617" i="8"/>
  <c r="B1617" i="8"/>
  <c r="C1617" i="8"/>
  <c r="D1617" i="8"/>
  <c r="A1618" i="8"/>
  <c r="B1618" i="8"/>
  <c r="C1618" i="8"/>
  <c r="D1618" i="8"/>
  <c r="A1619" i="8"/>
  <c r="B1619" i="8"/>
  <c r="C1619" i="8"/>
  <c r="D1619" i="8"/>
  <c r="A1620" i="8"/>
  <c r="B1620" i="8"/>
  <c r="C1620" i="8"/>
  <c r="D1620" i="8"/>
  <c r="A1621" i="8"/>
  <c r="B1621" i="8"/>
  <c r="C1621" i="8"/>
  <c r="D1621" i="8"/>
  <c r="A1622" i="8"/>
  <c r="B1622" i="8"/>
  <c r="C1622" i="8"/>
  <c r="D1622" i="8"/>
  <c r="A1623" i="8"/>
  <c r="B1623" i="8"/>
  <c r="C1623" i="8"/>
  <c r="D1623" i="8"/>
  <c r="A1624" i="8"/>
  <c r="B1624" i="8"/>
  <c r="C1624" i="8"/>
  <c r="D1624" i="8"/>
  <c r="A1625" i="8"/>
  <c r="B1625" i="8"/>
  <c r="C1625" i="8"/>
  <c r="D1625" i="8"/>
  <c r="A1626" i="8"/>
  <c r="B1626" i="8"/>
  <c r="C1626" i="8"/>
  <c r="D1626" i="8"/>
  <c r="A1627" i="8"/>
  <c r="B1627" i="8"/>
  <c r="C1627" i="8"/>
  <c r="D1627" i="8"/>
  <c r="A1628" i="8"/>
  <c r="B1628" i="8"/>
  <c r="C1628" i="8"/>
  <c r="D1628" i="8"/>
  <c r="A1629" i="8"/>
  <c r="B1629" i="8"/>
  <c r="C1629" i="8"/>
  <c r="D1629" i="8"/>
  <c r="A1630" i="8"/>
  <c r="B1630" i="8"/>
  <c r="C1630" i="8"/>
  <c r="D1630" i="8"/>
  <c r="A1631" i="8"/>
  <c r="B1631" i="8"/>
  <c r="C1631" i="8"/>
  <c r="D1631" i="8"/>
  <c r="A1632" i="8"/>
  <c r="B1632" i="8"/>
  <c r="C1632" i="8"/>
  <c r="D1632" i="8"/>
  <c r="A1633" i="8"/>
  <c r="B1633" i="8"/>
  <c r="C1633" i="8"/>
  <c r="D1633" i="8"/>
  <c r="A1634" i="8"/>
  <c r="B1634" i="8"/>
  <c r="C1634" i="8"/>
  <c r="D1634" i="8"/>
  <c r="A1635" i="8"/>
  <c r="B1635" i="8"/>
  <c r="C1635" i="8"/>
  <c r="D1635" i="8"/>
  <c r="A1636" i="8"/>
  <c r="B1636" i="8"/>
  <c r="C1636" i="8"/>
  <c r="D1636" i="8"/>
  <c r="A1637" i="8"/>
  <c r="B1637" i="8"/>
  <c r="C1637" i="8"/>
  <c r="D1637" i="8"/>
  <c r="A1638" i="8"/>
  <c r="B1638" i="8"/>
  <c r="C1638" i="8"/>
  <c r="D1638" i="8"/>
  <c r="A1639" i="8"/>
  <c r="B1639" i="8"/>
  <c r="C1639" i="8"/>
  <c r="D1639" i="8"/>
  <c r="A1640" i="8"/>
  <c r="B1640" i="8"/>
  <c r="C1640" i="8"/>
  <c r="D1640" i="8"/>
  <c r="A1641" i="8"/>
  <c r="B1641" i="8"/>
  <c r="C1641" i="8"/>
  <c r="D1641" i="8"/>
  <c r="A1642" i="8"/>
  <c r="B1642" i="8"/>
  <c r="C1642" i="8"/>
  <c r="D1642" i="8"/>
  <c r="A1643" i="8"/>
  <c r="B1643" i="8"/>
  <c r="C1643" i="8"/>
  <c r="D1643" i="8"/>
  <c r="A1644" i="8"/>
  <c r="B1644" i="8"/>
  <c r="C1644" i="8"/>
  <c r="D1644" i="8"/>
  <c r="A1645" i="8"/>
  <c r="B1645" i="8"/>
  <c r="C1645" i="8"/>
  <c r="D1645" i="8"/>
  <c r="A1646" i="8"/>
  <c r="B1646" i="8"/>
  <c r="C1646" i="8"/>
  <c r="D1646" i="8"/>
  <c r="A1647" i="8"/>
  <c r="B1647" i="8"/>
  <c r="C1647" i="8"/>
  <c r="D1647" i="8"/>
  <c r="A1648" i="8"/>
  <c r="B1648" i="8"/>
  <c r="C1648" i="8"/>
  <c r="D1648" i="8"/>
  <c r="A1649" i="8"/>
  <c r="B1649" i="8"/>
  <c r="C1649" i="8"/>
  <c r="D1649" i="8"/>
  <c r="A1650" i="8"/>
  <c r="B1650" i="8"/>
  <c r="C1650" i="8"/>
  <c r="D1650" i="8"/>
  <c r="A1651" i="8"/>
  <c r="B1651" i="8"/>
  <c r="C1651" i="8"/>
  <c r="D1651" i="8"/>
  <c r="A1652" i="8"/>
  <c r="B1652" i="8"/>
  <c r="C1652" i="8"/>
  <c r="D1652" i="8"/>
  <c r="A1653" i="8"/>
  <c r="B1653" i="8"/>
  <c r="C1653" i="8"/>
  <c r="D1653" i="8"/>
  <c r="A1654" i="8"/>
  <c r="B1654" i="8"/>
  <c r="C1654" i="8"/>
  <c r="D1654" i="8"/>
  <c r="A1655" i="8"/>
  <c r="B1655" i="8"/>
  <c r="C1655" i="8"/>
  <c r="D1655" i="8"/>
  <c r="A1656" i="8"/>
  <c r="B1656" i="8"/>
  <c r="C1656" i="8"/>
  <c r="D1656" i="8"/>
  <c r="A1657" i="8"/>
  <c r="B1657" i="8"/>
  <c r="C1657" i="8"/>
  <c r="D1657" i="8"/>
  <c r="A1658" i="8"/>
  <c r="B1658" i="8"/>
  <c r="C1658" i="8"/>
  <c r="D1658" i="8"/>
  <c r="A1659" i="8"/>
  <c r="B1659" i="8"/>
  <c r="C1659" i="8"/>
  <c r="D1659" i="8"/>
  <c r="A1660" i="8"/>
  <c r="B1660" i="8"/>
  <c r="C1660" i="8"/>
  <c r="D1660" i="8"/>
  <c r="A1661" i="8"/>
  <c r="B1661" i="8"/>
  <c r="C1661" i="8"/>
  <c r="D1661" i="8"/>
  <c r="A1662" i="8"/>
  <c r="B1662" i="8"/>
  <c r="C1662" i="8"/>
  <c r="D1662" i="8"/>
  <c r="A1663" i="8"/>
  <c r="B1663" i="8"/>
  <c r="C1663" i="8"/>
  <c r="D1663" i="8"/>
  <c r="A1664" i="8"/>
  <c r="B1664" i="8"/>
  <c r="C1664" i="8"/>
  <c r="D1664" i="8"/>
  <c r="A1665" i="8"/>
  <c r="B1665" i="8"/>
  <c r="C1665" i="8"/>
  <c r="D1665" i="8"/>
  <c r="A1666" i="8"/>
  <c r="B1666" i="8"/>
  <c r="C1666" i="8"/>
  <c r="D1666" i="8"/>
  <c r="A1667" i="8"/>
  <c r="B1667" i="8"/>
  <c r="C1667" i="8"/>
  <c r="D1667" i="8"/>
  <c r="A1668" i="8"/>
  <c r="B1668" i="8"/>
  <c r="C1668" i="8"/>
  <c r="D1668" i="8"/>
  <c r="A1669" i="8"/>
  <c r="B1669" i="8"/>
  <c r="C1669" i="8"/>
  <c r="D1669" i="8"/>
  <c r="A1670" i="8"/>
  <c r="B1670" i="8"/>
  <c r="C1670" i="8"/>
  <c r="D1670" i="8"/>
  <c r="A1671" i="8"/>
  <c r="B1671" i="8"/>
  <c r="C1671" i="8"/>
  <c r="D1671" i="8"/>
  <c r="A1672" i="8"/>
  <c r="B1672" i="8"/>
  <c r="C1672" i="8"/>
  <c r="D1672" i="8"/>
  <c r="A1673" i="8"/>
  <c r="B1673" i="8"/>
  <c r="C1673" i="8"/>
  <c r="D1673" i="8"/>
  <c r="A1674" i="8"/>
  <c r="B1674" i="8"/>
  <c r="C1674" i="8"/>
  <c r="D1674" i="8"/>
  <c r="A1675" i="8"/>
  <c r="B1675" i="8"/>
  <c r="C1675" i="8"/>
  <c r="D1675" i="8"/>
  <c r="A1676" i="8"/>
  <c r="B1676" i="8"/>
  <c r="C1676" i="8"/>
  <c r="D1676" i="8"/>
  <c r="A1677" i="8"/>
  <c r="B1677" i="8"/>
  <c r="C1677" i="8"/>
  <c r="D1677" i="8"/>
  <c r="A1678" i="8"/>
  <c r="B1678" i="8"/>
  <c r="C1678" i="8"/>
  <c r="D1678" i="8"/>
  <c r="A1679" i="8"/>
  <c r="B1679" i="8"/>
  <c r="C1679" i="8"/>
  <c r="D1679" i="8"/>
  <c r="A1680" i="8"/>
  <c r="B1680" i="8"/>
  <c r="C1680" i="8"/>
  <c r="D1680" i="8"/>
  <c r="A1681" i="8"/>
  <c r="B1681" i="8"/>
  <c r="C1681" i="8"/>
  <c r="D1681" i="8"/>
  <c r="A1682" i="8"/>
  <c r="B1682" i="8"/>
  <c r="C1682" i="8"/>
  <c r="D1682" i="8"/>
  <c r="A1683" i="8"/>
  <c r="B1683" i="8"/>
  <c r="C1683" i="8"/>
  <c r="D1683" i="8"/>
  <c r="A1684" i="8"/>
  <c r="B1684" i="8"/>
  <c r="C1684" i="8"/>
  <c r="D1684" i="8"/>
  <c r="A1685" i="8"/>
  <c r="B1685" i="8"/>
  <c r="C1685" i="8"/>
  <c r="D1685" i="8"/>
  <c r="A1686" i="8"/>
  <c r="B1686" i="8"/>
  <c r="C1686" i="8"/>
  <c r="D1686" i="8"/>
  <c r="A1687" i="8"/>
  <c r="B1687" i="8"/>
  <c r="C1687" i="8"/>
  <c r="D1687" i="8"/>
  <c r="A1688" i="8"/>
  <c r="B1688" i="8"/>
  <c r="C1688" i="8"/>
  <c r="D1688" i="8"/>
  <c r="A1689" i="8"/>
  <c r="B1689" i="8"/>
  <c r="C1689" i="8"/>
  <c r="D1689" i="8"/>
  <c r="A1690" i="8"/>
  <c r="B1690" i="8"/>
  <c r="C1690" i="8"/>
  <c r="D1690" i="8"/>
  <c r="A1691" i="8"/>
  <c r="B1691" i="8"/>
  <c r="C1691" i="8"/>
  <c r="D1691" i="8"/>
  <c r="A1692" i="8"/>
  <c r="B1692" i="8"/>
  <c r="C1692" i="8"/>
  <c r="D1692" i="8"/>
  <c r="A1693" i="8"/>
  <c r="B1693" i="8"/>
  <c r="C1693" i="8"/>
  <c r="D1693" i="8"/>
  <c r="A1694" i="8"/>
  <c r="B1694" i="8"/>
  <c r="C1694" i="8"/>
  <c r="D1694" i="8"/>
  <c r="A1695" i="8"/>
  <c r="B1695" i="8"/>
  <c r="C1695" i="8"/>
  <c r="D1695" i="8"/>
  <c r="A1696" i="8"/>
  <c r="B1696" i="8"/>
  <c r="C1696" i="8"/>
  <c r="D1696" i="8"/>
  <c r="A1697" i="8"/>
  <c r="B1697" i="8"/>
  <c r="C1697" i="8"/>
  <c r="D1697" i="8"/>
  <c r="A1698" i="8"/>
  <c r="B1698" i="8"/>
  <c r="C1698" i="8"/>
  <c r="D1698" i="8"/>
  <c r="A1699" i="8"/>
  <c r="B1699" i="8"/>
  <c r="C1699" i="8"/>
  <c r="D1699" i="8"/>
  <c r="A1700" i="8"/>
  <c r="B1700" i="8"/>
  <c r="C1700" i="8"/>
  <c r="D1700" i="8"/>
  <c r="A1701" i="8"/>
  <c r="B1701" i="8"/>
  <c r="C1701" i="8"/>
  <c r="D1701" i="8"/>
  <c r="A1702" i="8"/>
  <c r="B1702" i="8"/>
  <c r="C1702" i="8"/>
  <c r="D1702" i="8"/>
  <c r="A1703" i="8"/>
  <c r="B1703" i="8"/>
  <c r="C1703" i="8"/>
  <c r="D1703" i="8"/>
  <c r="A1704" i="8"/>
  <c r="B1704" i="8"/>
  <c r="C1704" i="8"/>
  <c r="D1704" i="8"/>
  <c r="A1705" i="8"/>
  <c r="B1705" i="8"/>
  <c r="C1705" i="8"/>
  <c r="D1705" i="8"/>
  <c r="A1706" i="8"/>
  <c r="B1706" i="8"/>
  <c r="C1706" i="8"/>
  <c r="D1706" i="8"/>
  <c r="A1707" i="8"/>
  <c r="B1707" i="8"/>
  <c r="C1707" i="8"/>
  <c r="D1707" i="8"/>
  <c r="A1708" i="8"/>
  <c r="B1708" i="8"/>
  <c r="C1708" i="8"/>
  <c r="D1708" i="8"/>
  <c r="A1709" i="8"/>
  <c r="B1709" i="8"/>
  <c r="C1709" i="8"/>
  <c r="D1709" i="8"/>
  <c r="A1710" i="8"/>
  <c r="B1710" i="8"/>
  <c r="C1710" i="8"/>
  <c r="D1710" i="8"/>
  <c r="A1711" i="8"/>
  <c r="B1711" i="8"/>
  <c r="C1711" i="8"/>
  <c r="D1711" i="8"/>
  <c r="A1712" i="8"/>
  <c r="B1712" i="8"/>
  <c r="C1712" i="8"/>
  <c r="D1712" i="8"/>
  <c r="A1713" i="8"/>
  <c r="B1713" i="8"/>
  <c r="C1713" i="8"/>
  <c r="D1713" i="8"/>
  <c r="A1714" i="8"/>
  <c r="B1714" i="8"/>
  <c r="C1714" i="8"/>
  <c r="D1714" i="8"/>
  <c r="A1715" i="8"/>
  <c r="B1715" i="8"/>
  <c r="C1715" i="8"/>
  <c r="D1715" i="8"/>
  <c r="A1716" i="8"/>
  <c r="B1716" i="8"/>
  <c r="C1716" i="8"/>
  <c r="D1716" i="8"/>
  <c r="A1717" i="8"/>
  <c r="B1717" i="8"/>
  <c r="C1717" i="8"/>
  <c r="D1717" i="8"/>
  <c r="A1718" i="8"/>
  <c r="B1718" i="8"/>
  <c r="C1718" i="8"/>
  <c r="D1718" i="8"/>
  <c r="A1719" i="8"/>
  <c r="B1719" i="8"/>
  <c r="C1719" i="8"/>
  <c r="D1719" i="8"/>
  <c r="A1720" i="8"/>
  <c r="B1720" i="8"/>
  <c r="C1720" i="8"/>
  <c r="D1720" i="8"/>
  <c r="A1721" i="8"/>
  <c r="B1721" i="8"/>
  <c r="C1721" i="8"/>
  <c r="D1721" i="8"/>
  <c r="A1722" i="8"/>
  <c r="B1722" i="8"/>
  <c r="C1722" i="8"/>
  <c r="D1722" i="8"/>
  <c r="A1723" i="8"/>
  <c r="B1723" i="8"/>
  <c r="C1723" i="8"/>
  <c r="D1723" i="8"/>
  <c r="A1724" i="8"/>
  <c r="B1724" i="8"/>
  <c r="C1724" i="8"/>
  <c r="D1724" i="8"/>
  <c r="A1725" i="8"/>
  <c r="B1725" i="8"/>
  <c r="C1725" i="8"/>
  <c r="D1725" i="8"/>
  <c r="A1726" i="8"/>
  <c r="B1726" i="8"/>
  <c r="C1726" i="8"/>
  <c r="D1726" i="8"/>
  <c r="A1727" i="8"/>
  <c r="B1727" i="8"/>
  <c r="C1727" i="8"/>
  <c r="D1727" i="8"/>
  <c r="A1728" i="8"/>
  <c r="B1728" i="8"/>
  <c r="C1728" i="8"/>
  <c r="D1728" i="8"/>
  <c r="A1729" i="8"/>
  <c r="B1729" i="8"/>
  <c r="C1729" i="8"/>
  <c r="D1729" i="8"/>
  <c r="A1730" i="8"/>
  <c r="B1730" i="8"/>
  <c r="C1730" i="8"/>
  <c r="D1730" i="8"/>
  <c r="A1731" i="8"/>
  <c r="B1731" i="8"/>
  <c r="C1731" i="8"/>
  <c r="D1731" i="8"/>
  <c r="A1732" i="8"/>
  <c r="B1732" i="8"/>
  <c r="C1732" i="8"/>
  <c r="D1732" i="8"/>
  <c r="A1733" i="8"/>
  <c r="B1733" i="8"/>
  <c r="C1733" i="8"/>
  <c r="D1733" i="8"/>
  <c r="A1734" i="8"/>
  <c r="B1734" i="8"/>
  <c r="C1734" i="8"/>
  <c r="D1734" i="8"/>
  <c r="A1735" i="8"/>
  <c r="B1735" i="8"/>
  <c r="C1735" i="8"/>
  <c r="D1735" i="8"/>
  <c r="A1736" i="8"/>
  <c r="B1736" i="8"/>
  <c r="C1736" i="8"/>
  <c r="D1736" i="8"/>
  <c r="A1737" i="8"/>
  <c r="B1737" i="8"/>
  <c r="C1737" i="8"/>
  <c r="D1737" i="8"/>
  <c r="A1738" i="8"/>
  <c r="B1738" i="8"/>
  <c r="C1738" i="8"/>
  <c r="D1738" i="8"/>
  <c r="A1739" i="8"/>
  <c r="B1739" i="8"/>
  <c r="C1739" i="8"/>
  <c r="D1739" i="8"/>
  <c r="A1740" i="8"/>
  <c r="B1740" i="8"/>
  <c r="C1740" i="8"/>
  <c r="D1740" i="8"/>
  <c r="A1741" i="8"/>
  <c r="B1741" i="8"/>
  <c r="C1741" i="8"/>
  <c r="D1741" i="8"/>
  <c r="A1742" i="8"/>
  <c r="B1742" i="8"/>
  <c r="C1742" i="8"/>
  <c r="D1742" i="8"/>
  <c r="A1743" i="8"/>
  <c r="B1743" i="8"/>
  <c r="C1743" i="8"/>
  <c r="D1743" i="8"/>
  <c r="A1744" i="8"/>
  <c r="B1744" i="8"/>
  <c r="C1744" i="8"/>
  <c r="D1744" i="8"/>
  <c r="A1745" i="8"/>
  <c r="B1745" i="8"/>
  <c r="C1745" i="8"/>
  <c r="D1745" i="8"/>
  <c r="A1746" i="8"/>
  <c r="B1746" i="8"/>
  <c r="C1746" i="8"/>
  <c r="D1746" i="8"/>
  <c r="A1747" i="8"/>
  <c r="B1747" i="8"/>
  <c r="C1747" i="8"/>
  <c r="D1747" i="8"/>
  <c r="A1748" i="8"/>
  <c r="B1748" i="8"/>
  <c r="C1748" i="8"/>
  <c r="D1748" i="8"/>
  <c r="A1749" i="8"/>
  <c r="B1749" i="8"/>
  <c r="C1749" i="8"/>
  <c r="D1749" i="8"/>
  <c r="A1750" i="8"/>
  <c r="B1750" i="8"/>
  <c r="C1750" i="8"/>
  <c r="D1750" i="8"/>
  <c r="A1751" i="8"/>
  <c r="B1751" i="8"/>
  <c r="C1751" i="8"/>
  <c r="D1751" i="8"/>
  <c r="A1752" i="8"/>
  <c r="B1752" i="8"/>
  <c r="C1752" i="8"/>
  <c r="D1752" i="8"/>
  <c r="A1753" i="8"/>
  <c r="B1753" i="8"/>
  <c r="C1753" i="8"/>
  <c r="D1753" i="8"/>
  <c r="A1754" i="8"/>
  <c r="B1754" i="8"/>
  <c r="C1754" i="8"/>
  <c r="D1754" i="8"/>
  <c r="A1755" i="8"/>
  <c r="B1755" i="8"/>
  <c r="C1755" i="8"/>
  <c r="D1755" i="8"/>
  <c r="A1756" i="8"/>
  <c r="B1756" i="8"/>
  <c r="C1756" i="8"/>
  <c r="D1756" i="8"/>
  <c r="A1757" i="8"/>
  <c r="B1757" i="8"/>
  <c r="C1757" i="8"/>
  <c r="D1757" i="8"/>
  <c r="A1758" i="8"/>
  <c r="B1758" i="8"/>
  <c r="C1758" i="8"/>
  <c r="D1758" i="8"/>
  <c r="A1759" i="8"/>
  <c r="B1759" i="8"/>
  <c r="C1759" i="8"/>
  <c r="D1759" i="8"/>
  <c r="A1760" i="8"/>
  <c r="B1760" i="8"/>
  <c r="C1760" i="8"/>
  <c r="D1760" i="8"/>
  <c r="A1761" i="8"/>
  <c r="B1761" i="8"/>
  <c r="C1761" i="8"/>
  <c r="D1761" i="8"/>
  <c r="A1762" i="8"/>
  <c r="B1762" i="8"/>
  <c r="C1762" i="8"/>
  <c r="D1762" i="8"/>
  <c r="A1763" i="8"/>
  <c r="B1763" i="8"/>
  <c r="C1763" i="8"/>
  <c r="D1763" i="8"/>
  <c r="A1764" i="8"/>
  <c r="B1764" i="8"/>
  <c r="C1764" i="8"/>
  <c r="D1764" i="8"/>
  <c r="A1765" i="8"/>
  <c r="B1765" i="8"/>
  <c r="C1765" i="8"/>
  <c r="D1765" i="8"/>
  <c r="A1766" i="8"/>
  <c r="B1766" i="8"/>
  <c r="C1766" i="8"/>
  <c r="D1766" i="8"/>
  <c r="A1767" i="8"/>
  <c r="B1767" i="8"/>
  <c r="C1767" i="8"/>
  <c r="D1767" i="8"/>
  <c r="A1768" i="8"/>
  <c r="B1768" i="8"/>
  <c r="C1768" i="8"/>
  <c r="D1768" i="8"/>
  <c r="A1769" i="8"/>
  <c r="B1769" i="8"/>
  <c r="C1769" i="8"/>
  <c r="D1769" i="8"/>
  <c r="A1770" i="8"/>
  <c r="B1770" i="8"/>
  <c r="C1770" i="8"/>
  <c r="D1770" i="8"/>
  <c r="A1771" i="8"/>
  <c r="B1771" i="8"/>
  <c r="C1771" i="8"/>
  <c r="D1771" i="8"/>
  <c r="A1772" i="8"/>
  <c r="B1772" i="8"/>
  <c r="C1772" i="8"/>
  <c r="D1772" i="8"/>
  <c r="A1773" i="8"/>
  <c r="B1773" i="8"/>
  <c r="C1773" i="8"/>
  <c r="D1773" i="8"/>
  <c r="A1774" i="8"/>
  <c r="B1774" i="8"/>
  <c r="C1774" i="8"/>
  <c r="D1774" i="8"/>
  <c r="A1775" i="8"/>
  <c r="B1775" i="8"/>
  <c r="C1775" i="8"/>
  <c r="D1775" i="8"/>
  <c r="A1776" i="8"/>
  <c r="B1776" i="8"/>
  <c r="C1776" i="8"/>
  <c r="D1776" i="8"/>
  <c r="A1777" i="8"/>
  <c r="B1777" i="8"/>
  <c r="C1777" i="8"/>
  <c r="D1777" i="8"/>
  <c r="A1778" i="8"/>
  <c r="B1778" i="8"/>
  <c r="C1778" i="8"/>
  <c r="D1778" i="8"/>
  <c r="A1779" i="8"/>
  <c r="B1779" i="8"/>
  <c r="C1779" i="8"/>
  <c r="D1779" i="8"/>
  <c r="A1780" i="8"/>
  <c r="B1780" i="8"/>
  <c r="C1780" i="8"/>
  <c r="D1780" i="8"/>
  <c r="A1781" i="8"/>
  <c r="B1781" i="8"/>
  <c r="C1781" i="8"/>
  <c r="D1781" i="8"/>
  <c r="A1782" i="8"/>
  <c r="B1782" i="8"/>
  <c r="C1782" i="8"/>
  <c r="D1782" i="8"/>
  <c r="A1783" i="8"/>
  <c r="B1783" i="8"/>
  <c r="C1783" i="8"/>
  <c r="D1783" i="8"/>
  <c r="A1784" i="8"/>
  <c r="B1784" i="8"/>
  <c r="C1784" i="8"/>
  <c r="D1784" i="8"/>
  <c r="A1785" i="8"/>
  <c r="B1785" i="8"/>
  <c r="C1785" i="8"/>
  <c r="D1785" i="8"/>
  <c r="A1786" i="8"/>
  <c r="B1786" i="8"/>
  <c r="C1786" i="8"/>
  <c r="D1786" i="8"/>
  <c r="A1787" i="8"/>
  <c r="B1787" i="8"/>
  <c r="C1787" i="8"/>
  <c r="D1787" i="8"/>
  <c r="A1788" i="8"/>
  <c r="B1788" i="8"/>
  <c r="C1788" i="8"/>
  <c r="D1788" i="8"/>
  <c r="A1789" i="8"/>
  <c r="B1789" i="8"/>
  <c r="C1789" i="8"/>
  <c r="D1789" i="8"/>
  <c r="A1790" i="8"/>
  <c r="B1790" i="8"/>
  <c r="C1790" i="8"/>
  <c r="D1790" i="8"/>
  <c r="A1791" i="8"/>
  <c r="B1791" i="8"/>
  <c r="C1791" i="8"/>
  <c r="D1791" i="8"/>
  <c r="A1792" i="8"/>
  <c r="B1792" i="8"/>
  <c r="C1792" i="8"/>
  <c r="D1792" i="8"/>
  <c r="A1793" i="8"/>
  <c r="B1793" i="8"/>
  <c r="C1793" i="8"/>
  <c r="D1793" i="8"/>
  <c r="A1794" i="8"/>
  <c r="B1794" i="8"/>
  <c r="C1794" i="8"/>
  <c r="D1794" i="8"/>
  <c r="A1795" i="8"/>
  <c r="B1795" i="8"/>
  <c r="C1795" i="8"/>
  <c r="D1795" i="8"/>
  <c r="A1796" i="8"/>
  <c r="B1796" i="8"/>
  <c r="C1796" i="8"/>
  <c r="D1796" i="8"/>
  <c r="A1797" i="8"/>
  <c r="B1797" i="8"/>
  <c r="C1797" i="8"/>
  <c r="D1797" i="8"/>
  <c r="A1798" i="8"/>
  <c r="B1798" i="8"/>
  <c r="C1798" i="8"/>
  <c r="D1798" i="8"/>
  <c r="A1799" i="8"/>
  <c r="B1799" i="8"/>
  <c r="C1799" i="8"/>
  <c r="D1799" i="8"/>
  <c r="A1800" i="8"/>
  <c r="B1800" i="8"/>
  <c r="C1800" i="8"/>
  <c r="D1800" i="8"/>
  <c r="A1801" i="8"/>
  <c r="B1801" i="8"/>
  <c r="C1801" i="8"/>
  <c r="D1801" i="8"/>
  <c r="A1802" i="8"/>
  <c r="B1802" i="8"/>
  <c r="C1802" i="8"/>
  <c r="D1802" i="8"/>
  <c r="A1803" i="8"/>
  <c r="B1803" i="8"/>
  <c r="C1803" i="8"/>
  <c r="D1803" i="8"/>
  <c r="A1804" i="8"/>
  <c r="B1804" i="8"/>
  <c r="C1804" i="8"/>
  <c r="D1804" i="8"/>
  <c r="A1805" i="8"/>
  <c r="B1805" i="8"/>
  <c r="C1805" i="8"/>
  <c r="D1805" i="8"/>
  <c r="A1806" i="8"/>
  <c r="B1806" i="8"/>
  <c r="C1806" i="8"/>
  <c r="D1806" i="8"/>
  <c r="A1807" i="8"/>
  <c r="B1807" i="8"/>
  <c r="C1807" i="8"/>
  <c r="D1807" i="8"/>
  <c r="A1808" i="8"/>
  <c r="B1808" i="8"/>
  <c r="C1808" i="8"/>
  <c r="D1808" i="8"/>
  <c r="A1809" i="8"/>
  <c r="B1809" i="8"/>
  <c r="C1809" i="8"/>
  <c r="D1809" i="8"/>
  <c r="A1810" i="8"/>
  <c r="B1810" i="8"/>
  <c r="C1810" i="8"/>
  <c r="D1810" i="8"/>
  <c r="A1811" i="8"/>
  <c r="B1811" i="8"/>
  <c r="C1811" i="8"/>
  <c r="D1811" i="8"/>
  <c r="A1812" i="8"/>
  <c r="B1812" i="8"/>
  <c r="C1812" i="8"/>
  <c r="D1812" i="8"/>
  <c r="A1813" i="8"/>
  <c r="B1813" i="8"/>
  <c r="C1813" i="8"/>
  <c r="D1813" i="8"/>
  <c r="A1814" i="8"/>
  <c r="B1814" i="8"/>
  <c r="C1814" i="8"/>
  <c r="D1814" i="8"/>
  <c r="A1815" i="8"/>
  <c r="B1815" i="8"/>
  <c r="C1815" i="8"/>
  <c r="D1815" i="8"/>
  <c r="A1816" i="8"/>
  <c r="B1816" i="8"/>
  <c r="C1816" i="8"/>
  <c r="D1816" i="8"/>
  <c r="A1817" i="8"/>
  <c r="B1817" i="8"/>
  <c r="C1817" i="8"/>
  <c r="D1817" i="8"/>
  <c r="A1818" i="8"/>
  <c r="B1818" i="8"/>
  <c r="C1818" i="8"/>
  <c r="D1818" i="8"/>
  <c r="A1819" i="8"/>
  <c r="B1819" i="8"/>
  <c r="C1819" i="8"/>
  <c r="D1819" i="8"/>
  <c r="A1820" i="8"/>
  <c r="B1820" i="8"/>
  <c r="C1820" i="8"/>
  <c r="D1820" i="8"/>
  <c r="A1821" i="8"/>
  <c r="B1821" i="8"/>
  <c r="C1821" i="8"/>
  <c r="D1821" i="8"/>
  <c r="A1822" i="8"/>
  <c r="B1822" i="8"/>
  <c r="C1822" i="8"/>
  <c r="D1822" i="8"/>
  <c r="A1823" i="8"/>
  <c r="B1823" i="8"/>
  <c r="C1823" i="8"/>
  <c r="D1823" i="8"/>
  <c r="A1824" i="8"/>
  <c r="B1824" i="8"/>
  <c r="C1824" i="8"/>
  <c r="D1824" i="8"/>
  <c r="A1825" i="8"/>
  <c r="B1825" i="8"/>
  <c r="C1825" i="8"/>
  <c r="D1825" i="8"/>
  <c r="A1826" i="8"/>
  <c r="B1826" i="8"/>
  <c r="C1826" i="8"/>
  <c r="D1826" i="8"/>
  <c r="A1827" i="8"/>
  <c r="B1827" i="8"/>
  <c r="C1827" i="8"/>
  <c r="D1827" i="8"/>
  <c r="A1828" i="8"/>
  <c r="B1828" i="8"/>
  <c r="C1828" i="8"/>
  <c r="D1828" i="8"/>
  <c r="A1829" i="8"/>
  <c r="B1829" i="8"/>
  <c r="C1829" i="8"/>
  <c r="D1829" i="8"/>
  <c r="A1830" i="8"/>
  <c r="B1830" i="8"/>
  <c r="C1830" i="8"/>
  <c r="D1830" i="8"/>
  <c r="A1831" i="8"/>
  <c r="B1831" i="8"/>
  <c r="C1831" i="8"/>
  <c r="D1831" i="8"/>
  <c r="A1832" i="8"/>
  <c r="B1832" i="8"/>
  <c r="C1832" i="8"/>
  <c r="D1832" i="8"/>
  <c r="A1833" i="8"/>
  <c r="B1833" i="8"/>
  <c r="C1833" i="8"/>
  <c r="D1833" i="8"/>
  <c r="A1834" i="8"/>
  <c r="B1834" i="8"/>
  <c r="C1834" i="8"/>
  <c r="D1834" i="8"/>
  <c r="A1835" i="8"/>
  <c r="B1835" i="8"/>
  <c r="C1835" i="8"/>
  <c r="D1835" i="8"/>
  <c r="A1836" i="8"/>
  <c r="B1836" i="8"/>
  <c r="C1836" i="8"/>
  <c r="D1836" i="8"/>
  <c r="A1837" i="8"/>
  <c r="B1837" i="8"/>
  <c r="C1837" i="8"/>
  <c r="D1837" i="8"/>
  <c r="A1838" i="8"/>
  <c r="B1838" i="8"/>
  <c r="C1838" i="8"/>
  <c r="D1838" i="8"/>
  <c r="A1839" i="8"/>
  <c r="B1839" i="8"/>
  <c r="C1839" i="8"/>
  <c r="D1839" i="8"/>
  <c r="A1840" i="8"/>
  <c r="B1840" i="8"/>
  <c r="C1840" i="8"/>
  <c r="D1840" i="8"/>
  <c r="A1841" i="8"/>
  <c r="B1841" i="8"/>
  <c r="C1841" i="8"/>
  <c r="D1841" i="8"/>
  <c r="A1842" i="8"/>
  <c r="B1842" i="8"/>
  <c r="C1842" i="8"/>
  <c r="D1842" i="8"/>
  <c r="A1843" i="8"/>
  <c r="B1843" i="8"/>
  <c r="C1843" i="8"/>
  <c r="D1843" i="8"/>
  <c r="A1844" i="8"/>
  <c r="B1844" i="8"/>
  <c r="C1844" i="8"/>
  <c r="D1844" i="8"/>
  <c r="A1845" i="8"/>
  <c r="B1845" i="8"/>
  <c r="C1845" i="8"/>
  <c r="D1845" i="8"/>
  <c r="A1846" i="8"/>
  <c r="B1846" i="8"/>
  <c r="C1846" i="8"/>
  <c r="D1846" i="8"/>
  <c r="A1847" i="8"/>
  <c r="B1847" i="8"/>
  <c r="C1847" i="8"/>
  <c r="D1847" i="8"/>
  <c r="A1848" i="8"/>
  <c r="B1848" i="8"/>
  <c r="C1848" i="8"/>
  <c r="D1848" i="8"/>
  <c r="A1849" i="8"/>
  <c r="B1849" i="8"/>
  <c r="C1849" i="8"/>
  <c r="D1849" i="8"/>
  <c r="A1850" i="8"/>
  <c r="B1850" i="8"/>
  <c r="C1850" i="8"/>
  <c r="D1850" i="8"/>
  <c r="A1851" i="8"/>
  <c r="B1851" i="8"/>
  <c r="C1851" i="8"/>
  <c r="D1851" i="8"/>
  <c r="A1852" i="8"/>
  <c r="B1852" i="8"/>
  <c r="C1852" i="8"/>
  <c r="D1852" i="8"/>
  <c r="A1853" i="8"/>
  <c r="B1853" i="8"/>
  <c r="C1853" i="8"/>
  <c r="D1853" i="8"/>
  <c r="A1854" i="8"/>
  <c r="B1854" i="8"/>
  <c r="C1854" i="8"/>
  <c r="D1854" i="8"/>
  <c r="A1855" i="8"/>
  <c r="B1855" i="8"/>
  <c r="C1855" i="8"/>
  <c r="D1855" i="8"/>
  <c r="A1856" i="8"/>
  <c r="B1856" i="8"/>
  <c r="C1856" i="8"/>
  <c r="D1856" i="8"/>
  <c r="A1857" i="8"/>
  <c r="B1857" i="8"/>
  <c r="C1857" i="8"/>
  <c r="D1857" i="8"/>
  <c r="A1858" i="8"/>
  <c r="B1858" i="8"/>
  <c r="C1858" i="8"/>
  <c r="D1858" i="8"/>
  <c r="A1859" i="8"/>
  <c r="B1859" i="8"/>
  <c r="C1859" i="8"/>
  <c r="D1859" i="8"/>
  <c r="A1860" i="8"/>
  <c r="B1860" i="8"/>
  <c r="C1860" i="8"/>
  <c r="D1860" i="8"/>
  <c r="A1861" i="8"/>
  <c r="B1861" i="8"/>
  <c r="C1861" i="8"/>
  <c r="D1861" i="8"/>
  <c r="A1862" i="8"/>
  <c r="B1862" i="8"/>
  <c r="C1862" i="8"/>
  <c r="D1862" i="8"/>
  <c r="A1863" i="8"/>
  <c r="B1863" i="8"/>
  <c r="C1863" i="8"/>
  <c r="D1863" i="8"/>
  <c r="A1864" i="8"/>
  <c r="B1864" i="8"/>
  <c r="C1864" i="8"/>
  <c r="D1864" i="8"/>
  <c r="A1865" i="8"/>
  <c r="B1865" i="8"/>
  <c r="C1865" i="8"/>
  <c r="D1865" i="8"/>
  <c r="A1866" i="8"/>
  <c r="B1866" i="8"/>
  <c r="C1866" i="8"/>
  <c r="D1866" i="8"/>
  <c r="A1867" i="8"/>
  <c r="B1867" i="8"/>
  <c r="C1867" i="8"/>
  <c r="D1867" i="8"/>
  <c r="A1868" i="8"/>
  <c r="B1868" i="8"/>
  <c r="C1868" i="8"/>
  <c r="D1868" i="8"/>
  <c r="A1869" i="8"/>
  <c r="B1869" i="8"/>
  <c r="C1869" i="8"/>
  <c r="D1869" i="8"/>
  <c r="A1870" i="8"/>
  <c r="B1870" i="8"/>
  <c r="C1870" i="8"/>
  <c r="D1870" i="8"/>
  <c r="A1871" i="8"/>
  <c r="B1871" i="8"/>
  <c r="C1871" i="8"/>
  <c r="D1871" i="8"/>
  <c r="A1872" i="8"/>
  <c r="B1872" i="8"/>
  <c r="C1872" i="8"/>
  <c r="D1872" i="8"/>
  <c r="A1873" i="8"/>
  <c r="B1873" i="8"/>
  <c r="C1873" i="8"/>
  <c r="D1873" i="8"/>
  <c r="A1874" i="8"/>
  <c r="B1874" i="8"/>
  <c r="C1874" i="8"/>
  <c r="D1874" i="8"/>
  <c r="A1875" i="8"/>
  <c r="B1875" i="8"/>
  <c r="C1875" i="8"/>
  <c r="D1875" i="8"/>
  <c r="A1876" i="8"/>
  <c r="B1876" i="8"/>
  <c r="C1876" i="8"/>
  <c r="D1876" i="8"/>
  <c r="A1877" i="8"/>
  <c r="B1877" i="8"/>
  <c r="C1877" i="8"/>
  <c r="D1877" i="8"/>
  <c r="A1878" i="8"/>
  <c r="B1878" i="8"/>
  <c r="C1878" i="8"/>
  <c r="D1878" i="8"/>
  <c r="A1879" i="8"/>
  <c r="B1879" i="8"/>
  <c r="C1879" i="8"/>
  <c r="D1879" i="8"/>
  <c r="A1880" i="8"/>
  <c r="B1880" i="8"/>
  <c r="C1880" i="8"/>
  <c r="D1880" i="8"/>
  <c r="A1881" i="8"/>
  <c r="B1881" i="8"/>
  <c r="C1881" i="8"/>
  <c r="D1881" i="8"/>
  <c r="A1882" i="8"/>
  <c r="B1882" i="8"/>
  <c r="C1882" i="8"/>
  <c r="D1882" i="8"/>
  <c r="A1883" i="8"/>
  <c r="B1883" i="8"/>
  <c r="C1883" i="8"/>
  <c r="D1883" i="8"/>
  <c r="A1884" i="8"/>
  <c r="B1884" i="8"/>
  <c r="C1884" i="8"/>
  <c r="D1884" i="8"/>
  <c r="A1885" i="8"/>
  <c r="B1885" i="8"/>
  <c r="C1885" i="8"/>
  <c r="D1885" i="8"/>
  <c r="A1886" i="8"/>
  <c r="B1886" i="8"/>
  <c r="C1886" i="8"/>
  <c r="D1886" i="8"/>
  <c r="A1887" i="8"/>
  <c r="B1887" i="8"/>
  <c r="C1887" i="8"/>
  <c r="D1887" i="8"/>
  <c r="A1888" i="8"/>
  <c r="B1888" i="8"/>
  <c r="C1888" i="8"/>
  <c r="D1888" i="8"/>
  <c r="A1889" i="8"/>
  <c r="B1889" i="8"/>
  <c r="C1889" i="8"/>
  <c r="D1889" i="8"/>
  <c r="A1890" i="8"/>
  <c r="B1890" i="8"/>
  <c r="C1890" i="8"/>
  <c r="D1890" i="8"/>
  <c r="A1891" i="8"/>
  <c r="B1891" i="8"/>
  <c r="C1891" i="8"/>
  <c r="D1891" i="8"/>
  <c r="A1892" i="8"/>
  <c r="B1892" i="8"/>
  <c r="C1892" i="8"/>
  <c r="D1892" i="8"/>
  <c r="A1893" i="8"/>
  <c r="B1893" i="8"/>
  <c r="C1893" i="8"/>
  <c r="D1893" i="8"/>
  <c r="A1894" i="8"/>
  <c r="B1894" i="8"/>
  <c r="C1894" i="8"/>
  <c r="D1894" i="8"/>
  <c r="A1895" i="8"/>
  <c r="B1895" i="8"/>
  <c r="C1895" i="8"/>
  <c r="D1895" i="8"/>
  <c r="A1896" i="8"/>
  <c r="B1896" i="8"/>
  <c r="C1896" i="8"/>
  <c r="D1896" i="8"/>
  <c r="A1897" i="8"/>
  <c r="B1897" i="8"/>
  <c r="C1897" i="8"/>
  <c r="D1897" i="8"/>
  <c r="A1898" i="8"/>
  <c r="B1898" i="8"/>
  <c r="C1898" i="8"/>
  <c r="D1898" i="8"/>
  <c r="A1899" i="8"/>
  <c r="B1899" i="8"/>
  <c r="C1899" i="8"/>
  <c r="D1899" i="8"/>
  <c r="A1900" i="8"/>
  <c r="B1900" i="8"/>
  <c r="C1900" i="8"/>
  <c r="D1900" i="8"/>
  <c r="A1901" i="8"/>
  <c r="B1901" i="8"/>
  <c r="C1901" i="8"/>
  <c r="D1901" i="8"/>
  <c r="A1902" i="8"/>
  <c r="B1902" i="8"/>
  <c r="C1902" i="8"/>
  <c r="D1902" i="8"/>
  <c r="A1903" i="8"/>
  <c r="B1903" i="8"/>
  <c r="C1903" i="8"/>
  <c r="D1903" i="8"/>
  <c r="A1904" i="8"/>
  <c r="B1904" i="8"/>
  <c r="C1904" i="8"/>
  <c r="D1904" i="8"/>
  <c r="A1905" i="8"/>
  <c r="B1905" i="8"/>
  <c r="C1905" i="8"/>
  <c r="D1905" i="8"/>
  <c r="A1906" i="8"/>
  <c r="B1906" i="8"/>
  <c r="C1906" i="8"/>
  <c r="D1906" i="8"/>
  <c r="A1907" i="8"/>
  <c r="B1907" i="8"/>
  <c r="C1907" i="8"/>
  <c r="D1907" i="8"/>
  <c r="A1908" i="8"/>
  <c r="B1908" i="8"/>
  <c r="C1908" i="8"/>
  <c r="D1908" i="8"/>
  <c r="A1909" i="8"/>
  <c r="B1909" i="8"/>
  <c r="C1909" i="8"/>
  <c r="D1909" i="8"/>
  <c r="A1910" i="8"/>
  <c r="B1910" i="8"/>
  <c r="C1910" i="8"/>
  <c r="D1910" i="8"/>
  <c r="A1911" i="8"/>
  <c r="B1911" i="8"/>
  <c r="C1911" i="8"/>
  <c r="D1911" i="8"/>
  <c r="A1912" i="8"/>
  <c r="B1912" i="8"/>
  <c r="C1912" i="8"/>
  <c r="D1912" i="8"/>
  <c r="A1913" i="8"/>
  <c r="B1913" i="8"/>
  <c r="C1913" i="8"/>
  <c r="D1913" i="8"/>
  <c r="A1914" i="8"/>
  <c r="B1914" i="8"/>
  <c r="C1914" i="8"/>
  <c r="D1914" i="8"/>
  <c r="A1915" i="8"/>
  <c r="B1915" i="8"/>
  <c r="C1915" i="8"/>
  <c r="D1915" i="8"/>
  <c r="A1916" i="8"/>
  <c r="B1916" i="8"/>
  <c r="C1916" i="8"/>
  <c r="D1916" i="8"/>
  <c r="A1917" i="8"/>
  <c r="B1917" i="8"/>
  <c r="C1917" i="8"/>
  <c r="D1917" i="8"/>
  <c r="A1918" i="8"/>
  <c r="B1918" i="8"/>
  <c r="C1918" i="8"/>
  <c r="D1918" i="8"/>
  <c r="A1919" i="8"/>
  <c r="B1919" i="8"/>
  <c r="C1919" i="8"/>
  <c r="D1919" i="8"/>
  <c r="A1920" i="8"/>
  <c r="B1920" i="8"/>
  <c r="C1920" i="8"/>
  <c r="D1920" i="8"/>
  <c r="A1921" i="8"/>
  <c r="B1921" i="8"/>
  <c r="C1921" i="8"/>
  <c r="D1921" i="8"/>
  <c r="A1922" i="8"/>
  <c r="B1922" i="8"/>
  <c r="C1922" i="8"/>
  <c r="D1922" i="8"/>
  <c r="A1923" i="8"/>
  <c r="B1923" i="8"/>
  <c r="C1923" i="8"/>
  <c r="D1923" i="8"/>
  <c r="A1924" i="8"/>
  <c r="B1924" i="8"/>
  <c r="C1924" i="8"/>
  <c r="D1924" i="8"/>
  <c r="A1925" i="8"/>
  <c r="B1925" i="8"/>
  <c r="C1925" i="8"/>
  <c r="D1925" i="8"/>
  <c r="A1926" i="8"/>
  <c r="B1926" i="8"/>
  <c r="C1926" i="8"/>
  <c r="D1926" i="8"/>
  <c r="A1927" i="8"/>
  <c r="B1927" i="8"/>
  <c r="C1927" i="8"/>
  <c r="D1927" i="8"/>
  <c r="A1928" i="8"/>
  <c r="B1928" i="8"/>
  <c r="C1928" i="8"/>
  <c r="D1928" i="8"/>
  <c r="A1929" i="8"/>
  <c r="B1929" i="8"/>
  <c r="C1929" i="8"/>
  <c r="D1929" i="8"/>
  <c r="A1930" i="8"/>
  <c r="B1930" i="8"/>
  <c r="C1930" i="8"/>
  <c r="D1930" i="8"/>
  <c r="A1931" i="8"/>
  <c r="B1931" i="8"/>
  <c r="C1931" i="8"/>
  <c r="D1931" i="8"/>
  <c r="A1932" i="8"/>
  <c r="B1932" i="8"/>
  <c r="C1932" i="8"/>
  <c r="D1932" i="8"/>
  <c r="A1933" i="8"/>
  <c r="B1933" i="8"/>
  <c r="C1933" i="8"/>
  <c r="D1933" i="8"/>
  <c r="A1934" i="8"/>
  <c r="B1934" i="8"/>
  <c r="C1934" i="8"/>
  <c r="D1934" i="8"/>
  <c r="A1935" i="8"/>
  <c r="B1935" i="8"/>
  <c r="C1935" i="8"/>
  <c r="D1935" i="8"/>
  <c r="A1936" i="8"/>
  <c r="B1936" i="8"/>
  <c r="C1936" i="8"/>
  <c r="D1936" i="8"/>
  <c r="A1937" i="8"/>
  <c r="B1937" i="8"/>
  <c r="C1937" i="8"/>
  <c r="D1937" i="8"/>
  <c r="A1938" i="8"/>
  <c r="B1938" i="8"/>
  <c r="C1938" i="8"/>
  <c r="D1938" i="8"/>
  <c r="A1939" i="8"/>
  <c r="B1939" i="8"/>
  <c r="C1939" i="8"/>
  <c r="D1939" i="8"/>
  <c r="A1940" i="8"/>
  <c r="B1940" i="8"/>
  <c r="C1940" i="8"/>
  <c r="D1940" i="8"/>
  <c r="A1941" i="8"/>
  <c r="B1941" i="8"/>
  <c r="C1941" i="8"/>
  <c r="D1941" i="8"/>
  <c r="A1942" i="8"/>
  <c r="B1942" i="8"/>
  <c r="C1942" i="8"/>
  <c r="D1942" i="8"/>
  <c r="A1943" i="8"/>
  <c r="B1943" i="8"/>
  <c r="C1943" i="8"/>
  <c r="D1943" i="8"/>
  <c r="A1944" i="8"/>
  <c r="B1944" i="8"/>
  <c r="C1944" i="8"/>
  <c r="D1944" i="8"/>
  <c r="A1945" i="8"/>
  <c r="B1945" i="8"/>
  <c r="C1945" i="8"/>
  <c r="D1945" i="8"/>
  <c r="A1946" i="8"/>
  <c r="B1946" i="8"/>
  <c r="C1946" i="8"/>
  <c r="D1946" i="8"/>
  <c r="A1947" i="8"/>
  <c r="B1947" i="8"/>
  <c r="C1947" i="8"/>
  <c r="D1947" i="8"/>
  <c r="A1948" i="8"/>
  <c r="B1948" i="8"/>
  <c r="C1948" i="8"/>
  <c r="D1948" i="8"/>
  <c r="A1949" i="8"/>
  <c r="B1949" i="8"/>
  <c r="C1949" i="8"/>
  <c r="D1949" i="8"/>
  <c r="A1950" i="8"/>
  <c r="B1950" i="8"/>
  <c r="C1950" i="8"/>
  <c r="D1950" i="8"/>
  <c r="A1951" i="8"/>
  <c r="B1951" i="8"/>
  <c r="C1951" i="8"/>
  <c r="D1951" i="8"/>
  <c r="A1952" i="8"/>
  <c r="B1952" i="8"/>
  <c r="C1952" i="8"/>
  <c r="D1952" i="8"/>
  <c r="A1953" i="8"/>
  <c r="B1953" i="8"/>
  <c r="C1953" i="8"/>
  <c r="D1953" i="8"/>
  <c r="A1954" i="8"/>
  <c r="B1954" i="8"/>
  <c r="C1954" i="8"/>
  <c r="D1954" i="8"/>
  <c r="A1955" i="8"/>
  <c r="B1955" i="8"/>
  <c r="C1955" i="8"/>
  <c r="D1955" i="8"/>
  <c r="A1956" i="8"/>
  <c r="B1956" i="8"/>
  <c r="C1956" i="8"/>
  <c r="D1956" i="8"/>
  <c r="A1957" i="8"/>
  <c r="B1957" i="8"/>
  <c r="C1957" i="8"/>
  <c r="D1957" i="8"/>
  <c r="A1958" i="8"/>
  <c r="B1958" i="8"/>
  <c r="C1958" i="8"/>
  <c r="D1958" i="8"/>
  <c r="A1959" i="8"/>
  <c r="B1959" i="8"/>
  <c r="C1959" i="8"/>
  <c r="D1959" i="8"/>
  <c r="A1960" i="8"/>
  <c r="B1960" i="8"/>
  <c r="C1960" i="8"/>
  <c r="D1960" i="8"/>
  <c r="A1961" i="8"/>
  <c r="B1961" i="8"/>
  <c r="C1961" i="8"/>
  <c r="D1961" i="8"/>
  <c r="A1962" i="8"/>
  <c r="B1962" i="8"/>
  <c r="C1962" i="8"/>
  <c r="D1962" i="8"/>
  <c r="A1963" i="8"/>
  <c r="B1963" i="8"/>
  <c r="C1963" i="8"/>
  <c r="D1963" i="8"/>
  <c r="A1964" i="8"/>
  <c r="B1964" i="8"/>
  <c r="C1964" i="8"/>
  <c r="D1964" i="8"/>
  <c r="A1965" i="8"/>
  <c r="B1965" i="8"/>
  <c r="C1965" i="8"/>
  <c r="D1965" i="8"/>
  <c r="A1966" i="8"/>
  <c r="B1966" i="8"/>
  <c r="C1966" i="8"/>
  <c r="D1966" i="8"/>
  <c r="A1967" i="8"/>
  <c r="B1967" i="8"/>
  <c r="C1967" i="8"/>
  <c r="D1967" i="8"/>
  <c r="A1968" i="8"/>
  <c r="B1968" i="8"/>
  <c r="C1968" i="8"/>
  <c r="D1968" i="8"/>
  <c r="A1969" i="8"/>
  <c r="B1969" i="8"/>
  <c r="C1969" i="8"/>
  <c r="D1969" i="8"/>
  <c r="A1970" i="8"/>
  <c r="B1970" i="8"/>
  <c r="C1970" i="8"/>
  <c r="D1970" i="8"/>
  <c r="A1971" i="8"/>
  <c r="B1971" i="8"/>
  <c r="C1971" i="8"/>
  <c r="D1971" i="8"/>
  <c r="A1972" i="8"/>
  <c r="B1972" i="8"/>
  <c r="C1972" i="8"/>
  <c r="D1972" i="8"/>
  <c r="A1973" i="8"/>
  <c r="B1973" i="8"/>
  <c r="C1973" i="8"/>
  <c r="D1973" i="8"/>
  <c r="A1974" i="8"/>
  <c r="B1974" i="8"/>
  <c r="C1974" i="8"/>
  <c r="D1974" i="8"/>
  <c r="A1975" i="8"/>
  <c r="B1975" i="8"/>
  <c r="C1975" i="8"/>
  <c r="D1975" i="8"/>
  <c r="A1976" i="8"/>
  <c r="B1976" i="8"/>
  <c r="C1976" i="8"/>
  <c r="D1976" i="8"/>
  <c r="A1977" i="8"/>
  <c r="B1977" i="8"/>
  <c r="C1977" i="8"/>
  <c r="D1977" i="8"/>
  <c r="A1978" i="8"/>
  <c r="B1978" i="8"/>
  <c r="C1978" i="8"/>
  <c r="D1978" i="8"/>
  <c r="A1979" i="8"/>
  <c r="B1979" i="8"/>
  <c r="C1979" i="8"/>
  <c r="D1979" i="8"/>
  <c r="A1980" i="8"/>
  <c r="B1980" i="8"/>
  <c r="C1980" i="8"/>
  <c r="D1980" i="8"/>
  <c r="A1981" i="8"/>
  <c r="B1981" i="8"/>
  <c r="C1981" i="8"/>
  <c r="D1981" i="8"/>
  <c r="A1982" i="8"/>
  <c r="B1982" i="8"/>
  <c r="C1982" i="8"/>
  <c r="D1982" i="8"/>
  <c r="A1983" i="8"/>
  <c r="B1983" i="8"/>
  <c r="C1983" i="8"/>
  <c r="D1983" i="8"/>
  <c r="A1984" i="8"/>
  <c r="B1984" i="8"/>
  <c r="C1984" i="8"/>
  <c r="D1984" i="8"/>
  <c r="A1985" i="8"/>
  <c r="B1985" i="8"/>
  <c r="C1985" i="8"/>
  <c r="D1985" i="8"/>
  <c r="A1986" i="8"/>
  <c r="B1986" i="8"/>
  <c r="C1986" i="8"/>
  <c r="D1986" i="8"/>
  <c r="A1987" i="8"/>
  <c r="B1987" i="8"/>
  <c r="C1987" i="8"/>
  <c r="D1987" i="8"/>
  <c r="A1988" i="8"/>
  <c r="B1988" i="8"/>
  <c r="C1988" i="8"/>
  <c r="D1988" i="8"/>
  <c r="A1989" i="8"/>
  <c r="B1989" i="8"/>
  <c r="C1989" i="8"/>
  <c r="D1989" i="8"/>
  <c r="A1990" i="8"/>
  <c r="B1990" i="8"/>
  <c r="C1990" i="8"/>
  <c r="D1990" i="8"/>
  <c r="A1991" i="8"/>
  <c r="B1991" i="8"/>
  <c r="C1991" i="8"/>
  <c r="D1991" i="8"/>
  <c r="A1992" i="8"/>
  <c r="B1992" i="8"/>
  <c r="C1992" i="8"/>
  <c r="D1992" i="8"/>
  <c r="A1993" i="8"/>
  <c r="B1993" i="8"/>
  <c r="C1993" i="8"/>
  <c r="D1993" i="8"/>
  <c r="A1994" i="8"/>
  <c r="B1994" i="8"/>
  <c r="C1994" i="8"/>
  <c r="D1994" i="8"/>
  <c r="A1995" i="8"/>
  <c r="B1995" i="8"/>
  <c r="C1995" i="8"/>
  <c r="D1995" i="8"/>
  <c r="A1996" i="8"/>
  <c r="B1996" i="8"/>
  <c r="C1996" i="8"/>
  <c r="D1996" i="8"/>
  <c r="A1997" i="8"/>
  <c r="B1997" i="8"/>
  <c r="C1997" i="8"/>
  <c r="D1997" i="8"/>
  <c r="A1998" i="8"/>
  <c r="B1998" i="8"/>
  <c r="C1998" i="8"/>
  <c r="D1998" i="8"/>
  <c r="A1999" i="8"/>
  <c r="B1999" i="8"/>
  <c r="C1999" i="8"/>
  <c r="D1999" i="8"/>
  <c r="A2000" i="8"/>
  <c r="B2000" i="8"/>
  <c r="C2000" i="8"/>
  <c r="D2000" i="8"/>
  <c r="A2001" i="8"/>
  <c r="B2001" i="8"/>
  <c r="C2001" i="8"/>
  <c r="D2001" i="8"/>
  <c r="A2002" i="8"/>
  <c r="B2002" i="8"/>
  <c r="C2002" i="8"/>
  <c r="D2002" i="8"/>
  <c r="B77" i="8"/>
  <c r="C77" i="8"/>
  <c r="D77" i="8"/>
  <c r="A77" i="8"/>
  <c r="B70" i="8" l="1"/>
  <c r="K16" i="14"/>
  <c r="A70" i="8"/>
  <c r="F78" i="8" l="1"/>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I154" i="8" s="1"/>
  <c r="F155" i="8"/>
  <c r="F156" i="8"/>
  <c r="I156" i="8" s="1"/>
  <c r="F157" i="8"/>
  <c r="F158" i="8"/>
  <c r="I158" i="8" s="1"/>
  <c r="F159" i="8"/>
  <c r="F160" i="8"/>
  <c r="I160" i="8" s="1"/>
  <c r="F161" i="8"/>
  <c r="F162" i="8"/>
  <c r="I162" i="8" s="1"/>
  <c r="F163" i="8"/>
  <c r="F164" i="8"/>
  <c r="I164" i="8" s="1"/>
  <c r="F165" i="8"/>
  <c r="I165" i="8" s="1"/>
  <c r="F166" i="8"/>
  <c r="I166" i="8" s="1"/>
  <c r="F167" i="8"/>
  <c r="I167" i="8" s="1"/>
  <c r="F168" i="8"/>
  <c r="I168" i="8" s="1"/>
  <c r="F169" i="8"/>
  <c r="I169" i="8" s="1"/>
  <c r="F170" i="8"/>
  <c r="I170" i="8" s="1"/>
  <c r="F171" i="8"/>
  <c r="I171" i="8" s="1"/>
  <c r="F172" i="8"/>
  <c r="I172" i="8" s="1"/>
  <c r="F173" i="8"/>
  <c r="I173" i="8" s="1"/>
  <c r="F174" i="8"/>
  <c r="I174" i="8" s="1"/>
  <c r="F175" i="8"/>
  <c r="I175" i="8" s="1"/>
  <c r="F176" i="8"/>
  <c r="I176" i="8" s="1"/>
  <c r="F177" i="8"/>
  <c r="I177" i="8" s="1"/>
  <c r="F178" i="8"/>
  <c r="I178" i="8" s="1"/>
  <c r="F179" i="8"/>
  <c r="I179" i="8" s="1"/>
  <c r="F180" i="8"/>
  <c r="I180" i="8" s="1"/>
  <c r="F181" i="8"/>
  <c r="I181" i="8" s="1"/>
  <c r="F182" i="8"/>
  <c r="I182" i="8" s="1"/>
  <c r="F183" i="8"/>
  <c r="I183" i="8" s="1"/>
  <c r="F184" i="8"/>
  <c r="I184" i="8" s="1"/>
  <c r="F185" i="8"/>
  <c r="I185" i="8" s="1"/>
  <c r="F186" i="8"/>
  <c r="I186" i="8" s="1"/>
  <c r="F187" i="8"/>
  <c r="I187" i="8" s="1"/>
  <c r="F188" i="8"/>
  <c r="I188" i="8" s="1"/>
  <c r="F189" i="8"/>
  <c r="I189" i="8" s="1"/>
  <c r="F190" i="8"/>
  <c r="I190" i="8" s="1"/>
  <c r="F191" i="8"/>
  <c r="I191" i="8" s="1"/>
  <c r="F192" i="8"/>
  <c r="I192" i="8" s="1"/>
  <c r="F193" i="8"/>
  <c r="I193" i="8" s="1"/>
  <c r="F194" i="8"/>
  <c r="I194" i="8" s="1"/>
  <c r="F195" i="8"/>
  <c r="I195" i="8" s="1"/>
  <c r="F196" i="8"/>
  <c r="I196" i="8" s="1"/>
  <c r="F197" i="8"/>
  <c r="I197" i="8" s="1"/>
  <c r="F198" i="8"/>
  <c r="I198" i="8" s="1"/>
  <c r="F199" i="8"/>
  <c r="I199" i="8" s="1"/>
  <c r="F200" i="8"/>
  <c r="I200" i="8" s="1"/>
  <c r="F201" i="8"/>
  <c r="I201" i="8" s="1"/>
  <c r="F202" i="8"/>
  <c r="I202" i="8" s="1"/>
  <c r="F203" i="8"/>
  <c r="I203" i="8" s="1"/>
  <c r="F204" i="8"/>
  <c r="I204" i="8" s="1"/>
  <c r="F205" i="8"/>
  <c r="I205" i="8" s="1"/>
  <c r="F206" i="8"/>
  <c r="I206" i="8" s="1"/>
  <c r="F207" i="8"/>
  <c r="I207" i="8" s="1"/>
  <c r="F208" i="8"/>
  <c r="I208" i="8" s="1"/>
  <c r="F209" i="8"/>
  <c r="I209" i="8" s="1"/>
  <c r="F210" i="8"/>
  <c r="I210" i="8" s="1"/>
  <c r="F211" i="8"/>
  <c r="I211" i="8" s="1"/>
  <c r="F212" i="8"/>
  <c r="I212" i="8" s="1"/>
  <c r="F213" i="8"/>
  <c r="I213" i="8" s="1"/>
  <c r="F214" i="8"/>
  <c r="I214" i="8" s="1"/>
  <c r="F215" i="8"/>
  <c r="I215" i="8" s="1"/>
  <c r="F216" i="8"/>
  <c r="I216" i="8" s="1"/>
  <c r="F217" i="8"/>
  <c r="I217" i="8" s="1"/>
  <c r="F218" i="8"/>
  <c r="I218" i="8" s="1"/>
  <c r="F219" i="8"/>
  <c r="I219" i="8" s="1"/>
  <c r="F220" i="8"/>
  <c r="I220" i="8" s="1"/>
  <c r="F221" i="8"/>
  <c r="I221" i="8" s="1"/>
  <c r="F222" i="8"/>
  <c r="I222" i="8" s="1"/>
  <c r="F223" i="8"/>
  <c r="I223" i="8" s="1"/>
  <c r="F224" i="8"/>
  <c r="I224" i="8" s="1"/>
  <c r="F225" i="8"/>
  <c r="I225" i="8" s="1"/>
  <c r="F226" i="8"/>
  <c r="I226" i="8" s="1"/>
  <c r="F227" i="8"/>
  <c r="I227" i="8" s="1"/>
  <c r="F228" i="8"/>
  <c r="I228" i="8" s="1"/>
  <c r="F229" i="8"/>
  <c r="I229" i="8" s="1"/>
  <c r="F230" i="8"/>
  <c r="I230" i="8" s="1"/>
  <c r="F231" i="8"/>
  <c r="I231" i="8" s="1"/>
  <c r="F232" i="8"/>
  <c r="I232" i="8" s="1"/>
  <c r="F233" i="8"/>
  <c r="I233" i="8" s="1"/>
  <c r="F234" i="8"/>
  <c r="I234" i="8" s="1"/>
  <c r="F235" i="8"/>
  <c r="I235" i="8" s="1"/>
  <c r="F236" i="8"/>
  <c r="I236" i="8" s="1"/>
  <c r="F237" i="8"/>
  <c r="I237" i="8" s="1"/>
  <c r="F238" i="8"/>
  <c r="I238" i="8" s="1"/>
  <c r="F239" i="8"/>
  <c r="I239" i="8" s="1"/>
  <c r="F240" i="8"/>
  <c r="I240" i="8" s="1"/>
  <c r="F241" i="8"/>
  <c r="I241" i="8" s="1"/>
  <c r="F242" i="8"/>
  <c r="I242" i="8" s="1"/>
  <c r="F243" i="8"/>
  <c r="I243" i="8" s="1"/>
  <c r="F244" i="8"/>
  <c r="I244" i="8" s="1"/>
  <c r="F245" i="8"/>
  <c r="I245" i="8" s="1"/>
  <c r="F246" i="8"/>
  <c r="I246" i="8" s="1"/>
  <c r="F247" i="8"/>
  <c r="I247" i="8" s="1"/>
  <c r="F248" i="8"/>
  <c r="I248" i="8" s="1"/>
  <c r="F249" i="8"/>
  <c r="I249" i="8" s="1"/>
  <c r="F250" i="8"/>
  <c r="I250" i="8" s="1"/>
  <c r="F251" i="8"/>
  <c r="I251" i="8" s="1"/>
  <c r="F252" i="8"/>
  <c r="I252" i="8" s="1"/>
  <c r="F253" i="8"/>
  <c r="I253" i="8" s="1"/>
  <c r="F254" i="8"/>
  <c r="I254" i="8" s="1"/>
  <c r="F255" i="8"/>
  <c r="I255" i="8" s="1"/>
  <c r="F256" i="8"/>
  <c r="I256" i="8" s="1"/>
  <c r="F257" i="8"/>
  <c r="I257" i="8" s="1"/>
  <c r="F258" i="8"/>
  <c r="I258" i="8" s="1"/>
  <c r="F259" i="8"/>
  <c r="I259" i="8" s="1"/>
  <c r="F260" i="8"/>
  <c r="I260" i="8" s="1"/>
  <c r="F261" i="8"/>
  <c r="I261" i="8" s="1"/>
  <c r="F262" i="8"/>
  <c r="I262" i="8" s="1"/>
  <c r="F263" i="8"/>
  <c r="I263" i="8" s="1"/>
  <c r="F264" i="8"/>
  <c r="I264" i="8" s="1"/>
  <c r="F265" i="8"/>
  <c r="I265" i="8" s="1"/>
  <c r="F266" i="8"/>
  <c r="I266" i="8" s="1"/>
  <c r="F267" i="8"/>
  <c r="I267" i="8" s="1"/>
  <c r="F268" i="8"/>
  <c r="I268" i="8" s="1"/>
  <c r="F269" i="8"/>
  <c r="I269" i="8" s="1"/>
  <c r="F270" i="8"/>
  <c r="I270" i="8" s="1"/>
  <c r="F271" i="8"/>
  <c r="I271" i="8" s="1"/>
  <c r="F272" i="8"/>
  <c r="I272" i="8" s="1"/>
  <c r="F273" i="8"/>
  <c r="I273" i="8" s="1"/>
  <c r="F274" i="8"/>
  <c r="I274" i="8" s="1"/>
  <c r="F275" i="8"/>
  <c r="I275" i="8" s="1"/>
  <c r="F276" i="8"/>
  <c r="I276" i="8" s="1"/>
  <c r="F277" i="8"/>
  <c r="I277" i="8" s="1"/>
  <c r="F278" i="8"/>
  <c r="I278" i="8" s="1"/>
  <c r="F279" i="8"/>
  <c r="I279" i="8" s="1"/>
  <c r="F280" i="8"/>
  <c r="I280" i="8" s="1"/>
  <c r="F281" i="8"/>
  <c r="I281" i="8" s="1"/>
  <c r="F282" i="8"/>
  <c r="I282" i="8" s="1"/>
  <c r="F283" i="8"/>
  <c r="I283" i="8" s="1"/>
  <c r="F284" i="8"/>
  <c r="I284" i="8" s="1"/>
  <c r="F285" i="8"/>
  <c r="I285" i="8" s="1"/>
  <c r="F286" i="8"/>
  <c r="I286" i="8" s="1"/>
  <c r="F287" i="8"/>
  <c r="I287" i="8" s="1"/>
  <c r="F288" i="8"/>
  <c r="I288" i="8" s="1"/>
  <c r="F289" i="8"/>
  <c r="I289" i="8" s="1"/>
  <c r="F290" i="8"/>
  <c r="I290" i="8" s="1"/>
  <c r="F291" i="8"/>
  <c r="I291" i="8" s="1"/>
  <c r="F292" i="8"/>
  <c r="I292" i="8" s="1"/>
  <c r="F293" i="8"/>
  <c r="I293" i="8" s="1"/>
  <c r="F294" i="8"/>
  <c r="I294" i="8" s="1"/>
  <c r="F295" i="8"/>
  <c r="I295" i="8" s="1"/>
  <c r="F296" i="8"/>
  <c r="I296" i="8" s="1"/>
  <c r="F297" i="8"/>
  <c r="I297" i="8" s="1"/>
  <c r="F298" i="8"/>
  <c r="I298" i="8" s="1"/>
  <c r="F299" i="8"/>
  <c r="I299" i="8" s="1"/>
  <c r="F300" i="8"/>
  <c r="I300" i="8" s="1"/>
  <c r="F301" i="8"/>
  <c r="I301" i="8" s="1"/>
  <c r="F302" i="8"/>
  <c r="I302" i="8" s="1"/>
  <c r="F303" i="8"/>
  <c r="I303" i="8" s="1"/>
  <c r="F304" i="8"/>
  <c r="I304" i="8" s="1"/>
  <c r="F305" i="8"/>
  <c r="I305" i="8" s="1"/>
  <c r="F306" i="8"/>
  <c r="I306" i="8" s="1"/>
  <c r="F307" i="8"/>
  <c r="I307" i="8" s="1"/>
  <c r="F308" i="8"/>
  <c r="I308" i="8" s="1"/>
  <c r="F309" i="8"/>
  <c r="I309" i="8" s="1"/>
  <c r="F310" i="8"/>
  <c r="I310" i="8" s="1"/>
  <c r="F311" i="8"/>
  <c r="I311" i="8" s="1"/>
  <c r="F312" i="8"/>
  <c r="I312" i="8" s="1"/>
  <c r="F313" i="8"/>
  <c r="I313" i="8" s="1"/>
  <c r="F314" i="8"/>
  <c r="I314" i="8" s="1"/>
  <c r="F315" i="8"/>
  <c r="I315" i="8" s="1"/>
  <c r="F316" i="8"/>
  <c r="I316" i="8" s="1"/>
  <c r="F317" i="8"/>
  <c r="I317" i="8" s="1"/>
  <c r="F318" i="8"/>
  <c r="I318" i="8" s="1"/>
  <c r="F319" i="8"/>
  <c r="I319" i="8" s="1"/>
  <c r="F320" i="8"/>
  <c r="I320" i="8" s="1"/>
  <c r="F321" i="8"/>
  <c r="I321" i="8" s="1"/>
  <c r="F322" i="8"/>
  <c r="I322" i="8" s="1"/>
  <c r="F323" i="8"/>
  <c r="I323" i="8" s="1"/>
  <c r="F324" i="8"/>
  <c r="I324" i="8" s="1"/>
  <c r="F325" i="8"/>
  <c r="I325" i="8" s="1"/>
  <c r="F326" i="8"/>
  <c r="I326" i="8" s="1"/>
  <c r="F327" i="8"/>
  <c r="I327" i="8" s="1"/>
  <c r="F328" i="8"/>
  <c r="I328" i="8" s="1"/>
  <c r="F329" i="8"/>
  <c r="I329" i="8" s="1"/>
  <c r="F330" i="8"/>
  <c r="I330" i="8" s="1"/>
  <c r="F331" i="8"/>
  <c r="I331" i="8" s="1"/>
  <c r="F332" i="8"/>
  <c r="I332" i="8" s="1"/>
  <c r="F333" i="8"/>
  <c r="I333" i="8" s="1"/>
  <c r="F334" i="8"/>
  <c r="I334" i="8" s="1"/>
  <c r="F335" i="8"/>
  <c r="I335" i="8" s="1"/>
  <c r="F336" i="8"/>
  <c r="I336" i="8" s="1"/>
  <c r="F337" i="8"/>
  <c r="I337" i="8" s="1"/>
  <c r="F338" i="8"/>
  <c r="I338" i="8" s="1"/>
  <c r="F339" i="8"/>
  <c r="I339" i="8" s="1"/>
  <c r="F340" i="8"/>
  <c r="I340" i="8" s="1"/>
  <c r="F341" i="8"/>
  <c r="I341" i="8" s="1"/>
  <c r="F342" i="8"/>
  <c r="I342" i="8" s="1"/>
  <c r="F343" i="8"/>
  <c r="I343" i="8" s="1"/>
  <c r="F344" i="8"/>
  <c r="I344" i="8" s="1"/>
  <c r="F345" i="8"/>
  <c r="I345" i="8" s="1"/>
  <c r="F346" i="8"/>
  <c r="I346" i="8" s="1"/>
  <c r="F347" i="8"/>
  <c r="I347" i="8" s="1"/>
  <c r="F348" i="8"/>
  <c r="I348" i="8" s="1"/>
  <c r="F349" i="8"/>
  <c r="I349" i="8" s="1"/>
  <c r="F350" i="8"/>
  <c r="I350" i="8" s="1"/>
  <c r="F351" i="8"/>
  <c r="I351" i="8" s="1"/>
  <c r="F352" i="8"/>
  <c r="I352" i="8" s="1"/>
  <c r="F353" i="8"/>
  <c r="I353" i="8" s="1"/>
  <c r="F354" i="8"/>
  <c r="I354" i="8" s="1"/>
  <c r="F355" i="8"/>
  <c r="I355" i="8" s="1"/>
  <c r="F356" i="8"/>
  <c r="I356" i="8" s="1"/>
  <c r="F357" i="8"/>
  <c r="I357" i="8" s="1"/>
  <c r="F358" i="8"/>
  <c r="I358" i="8" s="1"/>
  <c r="F359" i="8"/>
  <c r="I359" i="8" s="1"/>
  <c r="F360" i="8"/>
  <c r="I360" i="8" s="1"/>
  <c r="F361" i="8"/>
  <c r="I361" i="8" s="1"/>
  <c r="F362" i="8"/>
  <c r="I362" i="8" s="1"/>
  <c r="F363" i="8"/>
  <c r="I363" i="8" s="1"/>
  <c r="F364" i="8"/>
  <c r="I364" i="8" s="1"/>
  <c r="F365" i="8"/>
  <c r="I365" i="8" s="1"/>
  <c r="F366" i="8"/>
  <c r="I366" i="8" s="1"/>
  <c r="F367" i="8"/>
  <c r="I367" i="8" s="1"/>
  <c r="F368" i="8"/>
  <c r="I368" i="8" s="1"/>
  <c r="F369" i="8"/>
  <c r="I369" i="8" s="1"/>
  <c r="F370" i="8"/>
  <c r="I370" i="8" s="1"/>
  <c r="F371" i="8"/>
  <c r="I371" i="8" s="1"/>
  <c r="F372" i="8"/>
  <c r="I372" i="8" s="1"/>
  <c r="F373" i="8"/>
  <c r="I373" i="8" s="1"/>
  <c r="F374" i="8"/>
  <c r="I374" i="8" s="1"/>
  <c r="F375" i="8"/>
  <c r="I375" i="8" s="1"/>
  <c r="F376" i="8"/>
  <c r="I376" i="8" s="1"/>
  <c r="F377" i="8"/>
  <c r="I377" i="8" s="1"/>
  <c r="F378" i="8"/>
  <c r="I378" i="8" s="1"/>
  <c r="F379" i="8"/>
  <c r="I379" i="8" s="1"/>
  <c r="F380" i="8"/>
  <c r="I380" i="8" s="1"/>
  <c r="F381" i="8"/>
  <c r="I381" i="8" s="1"/>
  <c r="F382" i="8"/>
  <c r="I382" i="8" s="1"/>
  <c r="F383" i="8"/>
  <c r="I383" i="8" s="1"/>
  <c r="F384" i="8"/>
  <c r="I384" i="8" s="1"/>
  <c r="F385" i="8"/>
  <c r="I385" i="8" s="1"/>
  <c r="F386" i="8"/>
  <c r="I386" i="8" s="1"/>
  <c r="F387" i="8"/>
  <c r="I387" i="8" s="1"/>
  <c r="F388" i="8"/>
  <c r="I388" i="8" s="1"/>
  <c r="F389" i="8"/>
  <c r="I389" i="8" s="1"/>
  <c r="F390" i="8"/>
  <c r="I390" i="8" s="1"/>
  <c r="F391" i="8"/>
  <c r="I391" i="8" s="1"/>
  <c r="F392" i="8"/>
  <c r="I392" i="8" s="1"/>
  <c r="F393" i="8"/>
  <c r="I393" i="8" s="1"/>
  <c r="F394" i="8"/>
  <c r="I394" i="8" s="1"/>
  <c r="F395" i="8"/>
  <c r="I395" i="8" s="1"/>
  <c r="F396" i="8"/>
  <c r="I396" i="8" s="1"/>
  <c r="F397" i="8"/>
  <c r="I397" i="8" s="1"/>
  <c r="F398" i="8"/>
  <c r="I398" i="8" s="1"/>
  <c r="F399" i="8"/>
  <c r="I399" i="8" s="1"/>
  <c r="F400" i="8"/>
  <c r="I400" i="8" s="1"/>
  <c r="F401" i="8"/>
  <c r="I401" i="8" s="1"/>
  <c r="F402" i="8"/>
  <c r="I402" i="8" s="1"/>
  <c r="F403" i="8"/>
  <c r="I403" i="8" s="1"/>
  <c r="F404" i="8"/>
  <c r="I404" i="8" s="1"/>
  <c r="F405" i="8"/>
  <c r="I405" i="8" s="1"/>
  <c r="F406" i="8"/>
  <c r="I406" i="8" s="1"/>
  <c r="F407" i="8"/>
  <c r="I407" i="8" s="1"/>
  <c r="F408" i="8"/>
  <c r="I408" i="8" s="1"/>
  <c r="F409" i="8"/>
  <c r="I409" i="8" s="1"/>
  <c r="F410" i="8"/>
  <c r="I410" i="8" s="1"/>
  <c r="F411" i="8"/>
  <c r="I411" i="8" s="1"/>
  <c r="F412" i="8"/>
  <c r="I412" i="8" s="1"/>
  <c r="F413" i="8"/>
  <c r="I413" i="8" s="1"/>
  <c r="F414" i="8"/>
  <c r="I414" i="8" s="1"/>
  <c r="F415" i="8"/>
  <c r="I415" i="8" s="1"/>
  <c r="F416" i="8"/>
  <c r="I416" i="8" s="1"/>
  <c r="F417" i="8"/>
  <c r="I417" i="8" s="1"/>
  <c r="F418" i="8"/>
  <c r="I418" i="8" s="1"/>
  <c r="F419" i="8"/>
  <c r="I419" i="8" s="1"/>
  <c r="F420" i="8"/>
  <c r="I420" i="8" s="1"/>
  <c r="F421" i="8"/>
  <c r="I421" i="8" s="1"/>
  <c r="F422" i="8"/>
  <c r="I422" i="8" s="1"/>
  <c r="F423" i="8"/>
  <c r="I423" i="8" s="1"/>
  <c r="F424" i="8"/>
  <c r="I424" i="8" s="1"/>
  <c r="F425" i="8"/>
  <c r="I425" i="8" s="1"/>
  <c r="F426" i="8"/>
  <c r="I426" i="8" s="1"/>
  <c r="F427" i="8"/>
  <c r="I427" i="8" s="1"/>
  <c r="F428" i="8"/>
  <c r="I428" i="8" s="1"/>
  <c r="F429" i="8"/>
  <c r="I429" i="8" s="1"/>
  <c r="F430" i="8"/>
  <c r="I430" i="8" s="1"/>
  <c r="F431" i="8"/>
  <c r="I431" i="8" s="1"/>
  <c r="F432" i="8"/>
  <c r="I432" i="8" s="1"/>
  <c r="F433" i="8"/>
  <c r="I433" i="8" s="1"/>
  <c r="F434" i="8"/>
  <c r="I434" i="8" s="1"/>
  <c r="F435" i="8"/>
  <c r="I435" i="8" s="1"/>
  <c r="F436" i="8"/>
  <c r="I436" i="8" s="1"/>
  <c r="F437" i="8"/>
  <c r="I437" i="8" s="1"/>
  <c r="F438" i="8"/>
  <c r="I438" i="8" s="1"/>
  <c r="F439" i="8"/>
  <c r="I439" i="8" s="1"/>
  <c r="F440" i="8"/>
  <c r="I440" i="8" s="1"/>
  <c r="F441" i="8"/>
  <c r="I441" i="8" s="1"/>
  <c r="F442" i="8"/>
  <c r="I442" i="8" s="1"/>
  <c r="F443" i="8"/>
  <c r="I443" i="8" s="1"/>
  <c r="F444" i="8"/>
  <c r="I444" i="8" s="1"/>
  <c r="F445" i="8"/>
  <c r="I445" i="8" s="1"/>
  <c r="F446" i="8"/>
  <c r="I446" i="8" s="1"/>
  <c r="F447" i="8"/>
  <c r="I447" i="8" s="1"/>
  <c r="F448" i="8"/>
  <c r="I448" i="8" s="1"/>
  <c r="F449" i="8"/>
  <c r="I449" i="8" s="1"/>
  <c r="F450" i="8"/>
  <c r="I450" i="8" s="1"/>
  <c r="F451" i="8"/>
  <c r="I451" i="8" s="1"/>
  <c r="F452" i="8"/>
  <c r="I452" i="8" s="1"/>
  <c r="F453" i="8"/>
  <c r="I453" i="8" s="1"/>
  <c r="F454" i="8"/>
  <c r="I454" i="8" s="1"/>
  <c r="F455" i="8"/>
  <c r="I455" i="8" s="1"/>
  <c r="F456" i="8"/>
  <c r="I456" i="8" s="1"/>
  <c r="F457" i="8"/>
  <c r="I457" i="8" s="1"/>
  <c r="F458" i="8"/>
  <c r="I458" i="8" s="1"/>
  <c r="F459" i="8"/>
  <c r="I459" i="8" s="1"/>
  <c r="F460" i="8"/>
  <c r="I460" i="8" s="1"/>
  <c r="F461" i="8"/>
  <c r="I461" i="8" s="1"/>
  <c r="F462" i="8"/>
  <c r="I462" i="8" s="1"/>
  <c r="F463" i="8"/>
  <c r="I463" i="8" s="1"/>
  <c r="F464" i="8"/>
  <c r="I464" i="8" s="1"/>
  <c r="F465" i="8"/>
  <c r="I465" i="8" s="1"/>
  <c r="F466" i="8"/>
  <c r="I466" i="8" s="1"/>
  <c r="F467" i="8"/>
  <c r="I467" i="8" s="1"/>
  <c r="F468" i="8"/>
  <c r="I468" i="8" s="1"/>
  <c r="F469" i="8"/>
  <c r="I469" i="8" s="1"/>
  <c r="F470" i="8"/>
  <c r="I470" i="8" s="1"/>
  <c r="F471" i="8"/>
  <c r="I471" i="8" s="1"/>
  <c r="F472" i="8"/>
  <c r="I472" i="8" s="1"/>
  <c r="F473" i="8"/>
  <c r="I473" i="8" s="1"/>
  <c r="F474" i="8"/>
  <c r="I474" i="8" s="1"/>
  <c r="F475" i="8"/>
  <c r="I475" i="8" s="1"/>
  <c r="F476" i="8"/>
  <c r="I476" i="8" s="1"/>
  <c r="F477" i="8"/>
  <c r="I477" i="8" s="1"/>
  <c r="F478" i="8"/>
  <c r="I478" i="8" s="1"/>
  <c r="F479" i="8"/>
  <c r="I479" i="8" s="1"/>
  <c r="F480" i="8"/>
  <c r="I480" i="8" s="1"/>
  <c r="F481" i="8"/>
  <c r="I481" i="8" s="1"/>
  <c r="F482" i="8"/>
  <c r="I482" i="8" s="1"/>
  <c r="F483" i="8"/>
  <c r="I483" i="8" s="1"/>
  <c r="F484" i="8"/>
  <c r="I484" i="8" s="1"/>
  <c r="F485" i="8"/>
  <c r="I485" i="8" s="1"/>
  <c r="F486" i="8"/>
  <c r="I486" i="8" s="1"/>
  <c r="F487" i="8"/>
  <c r="I487" i="8" s="1"/>
  <c r="F488" i="8"/>
  <c r="I488" i="8" s="1"/>
  <c r="F489" i="8"/>
  <c r="I489" i="8" s="1"/>
  <c r="F490" i="8"/>
  <c r="I490" i="8" s="1"/>
  <c r="F491" i="8"/>
  <c r="I491" i="8" s="1"/>
  <c r="F492" i="8"/>
  <c r="I492" i="8" s="1"/>
  <c r="F493" i="8"/>
  <c r="I493" i="8" s="1"/>
  <c r="F494" i="8"/>
  <c r="I494" i="8" s="1"/>
  <c r="F495" i="8"/>
  <c r="I495" i="8" s="1"/>
  <c r="F496" i="8"/>
  <c r="I496" i="8" s="1"/>
  <c r="F497" i="8"/>
  <c r="I497" i="8" s="1"/>
  <c r="F498" i="8"/>
  <c r="I498" i="8" s="1"/>
  <c r="F499" i="8"/>
  <c r="I499" i="8" s="1"/>
  <c r="F500" i="8"/>
  <c r="I500" i="8" s="1"/>
  <c r="F501" i="8"/>
  <c r="I501" i="8" s="1"/>
  <c r="F502" i="8"/>
  <c r="I502" i="8" s="1"/>
  <c r="F503" i="8"/>
  <c r="I503" i="8" s="1"/>
  <c r="F504" i="8"/>
  <c r="I504" i="8" s="1"/>
  <c r="F505" i="8"/>
  <c r="I505" i="8" s="1"/>
  <c r="F506" i="8"/>
  <c r="I506" i="8" s="1"/>
  <c r="F507" i="8"/>
  <c r="I507" i="8" s="1"/>
  <c r="F508" i="8"/>
  <c r="I508" i="8" s="1"/>
  <c r="F509" i="8"/>
  <c r="I509" i="8" s="1"/>
  <c r="F510" i="8"/>
  <c r="I510" i="8" s="1"/>
  <c r="F511" i="8"/>
  <c r="I511" i="8" s="1"/>
  <c r="F512" i="8"/>
  <c r="I512" i="8" s="1"/>
  <c r="F513" i="8"/>
  <c r="I513" i="8" s="1"/>
  <c r="F514" i="8"/>
  <c r="I514" i="8" s="1"/>
  <c r="F515" i="8"/>
  <c r="I515" i="8" s="1"/>
  <c r="F516" i="8"/>
  <c r="I516" i="8" s="1"/>
  <c r="F517" i="8"/>
  <c r="I517" i="8" s="1"/>
  <c r="F518" i="8"/>
  <c r="I518" i="8" s="1"/>
  <c r="F519" i="8"/>
  <c r="I519" i="8" s="1"/>
  <c r="F520" i="8"/>
  <c r="I520" i="8" s="1"/>
  <c r="F521" i="8"/>
  <c r="I521" i="8" s="1"/>
  <c r="F522" i="8"/>
  <c r="I522" i="8" s="1"/>
  <c r="F523" i="8"/>
  <c r="I523" i="8" s="1"/>
  <c r="F524" i="8"/>
  <c r="I524" i="8" s="1"/>
  <c r="F525" i="8"/>
  <c r="I525" i="8" s="1"/>
  <c r="F526" i="8"/>
  <c r="I526" i="8" s="1"/>
  <c r="F527" i="8"/>
  <c r="I527" i="8" s="1"/>
  <c r="F528" i="8"/>
  <c r="I528" i="8" s="1"/>
  <c r="F529" i="8"/>
  <c r="I529" i="8" s="1"/>
  <c r="F530" i="8"/>
  <c r="I530" i="8" s="1"/>
  <c r="F531" i="8"/>
  <c r="I531" i="8" s="1"/>
  <c r="F532" i="8"/>
  <c r="I532" i="8" s="1"/>
  <c r="F533" i="8"/>
  <c r="I533" i="8" s="1"/>
  <c r="F534" i="8"/>
  <c r="I534" i="8" s="1"/>
  <c r="F535" i="8"/>
  <c r="I535" i="8" s="1"/>
  <c r="F536" i="8"/>
  <c r="I536" i="8" s="1"/>
  <c r="F537" i="8"/>
  <c r="I537" i="8" s="1"/>
  <c r="F538" i="8"/>
  <c r="I538" i="8" s="1"/>
  <c r="F539" i="8"/>
  <c r="I539" i="8" s="1"/>
  <c r="F540" i="8"/>
  <c r="I540" i="8" s="1"/>
  <c r="F541" i="8"/>
  <c r="I541" i="8" s="1"/>
  <c r="F542" i="8"/>
  <c r="I542" i="8" s="1"/>
  <c r="F543" i="8"/>
  <c r="I543" i="8" s="1"/>
  <c r="F544" i="8"/>
  <c r="I544" i="8" s="1"/>
  <c r="F545" i="8"/>
  <c r="I545" i="8" s="1"/>
  <c r="F546" i="8"/>
  <c r="I546" i="8" s="1"/>
  <c r="F547" i="8"/>
  <c r="I547" i="8" s="1"/>
  <c r="F548" i="8"/>
  <c r="I548" i="8" s="1"/>
  <c r="F549" i="8"/>
  <c r="I549" i="8" s="1"/>
  <c r="F550" i="8"/>
  <c r="I550" i="8" s="1"/>
  <c r="F551" i="8"/>
  <c r="I551" i="8" s="1"/>
  <c r="F552" i="8"/>
  <c r="I552" i="8" s="1"/>
  <c r="F553" i="8"/>
  <c r="I553" i="8" s="1"/>
  <c r="F554" i="8"/>
  <c r="I554" i="8" s="1"/>
  <c r="F555" i="8"/>
  <c r="I555" i="8" s="1"/>
  <c r="F556" i="8"/>
  <c r="I556" i="8" s="1"/>
  <c r="F557" i="8"/>
  <c r="I557" i="8" s="1"/>
  <c r="F558" i="8"/>
  <c r="I558" i="8" s="1"/>
  <c r="F559" i="8"/>
  <c r="I559" i="8" s="1"/>
  <c r="F560" i="8"/>
  <c r="I560" i="8" s="1"/>
  <c r="F561" i="8"/>
  <c r="I561" i="8" s="1"/>
  <c r="F562" i="8"/>
  <c r="I562" i="8" s="1"/>
  <c r="F563" i="8"/>
  <c r="I563" i="8" s="1"/>
  <c r="F564" i="8"/>
  <c r="I564" i="8" s="1"/>
  <c r="F565" i="8"/>
  <c r="I565" i="8" s="1"/>
  <c r="F566" i="8"/>
  <c r="I566" i="8" s="1"/>
  <c r="F567" i="8"/>
  <c r="I567" i="8" s="1"/>
  <c r="F568" i="8"/>
  <c r="I568" i="8" s="1"/>
  <c r="F569" i="8"/>
  <c r="I569" i="8" s="1"/>
  <c r="F570" i="8"/>
  <c r="I570" i="8" s="1"/>
  <c r="F571" i="8"/>
  <c r="I571" i="8" s="1"/>
  <c r="F572" i="8"/>
  <c r="I572" i="8" s="1"/>
  <c r="F573" i="8"/>
  <c r="I573" i="8" s="1"/>
  <c r="F574" i="8"/>
  <c r="I574" i="8" s="1"/>
  <c r="F575" i="8"/>
  <c r="I575" i="8" s="1"/>
  <c r="F576" i="8"/>
  <c r="I576" i="8" s="1"/>
  <c r="F577" i="8"/>
  <c r="I577" i="8" s="1"/>
  <c r="F578" i="8"/>
  <c r="I578" i="8" s="1"/>
  <c r="F579" i="8"/>
  <c r="I579" i="8" s="1"/>
  <c r="F580" i="8"/>
  <c r="I580" i="8" s="1"/>
  <c r="F581" i="8"/>
  <c r="I581" i="8" s="1"/>
  <c r="F582" i="8"/>
  <c r="I582" i="8" s="1"/>
  <c r="F583" i="8"/>
  <c r="I583" i="8" s="1"/>
  <c r="F584" i="8"/>
  <c r="I584" i="8" s="1"/>
  <c r="F585" i="8"/>
  <c r="I585" i="8" s="1"/>
  <c r="F586" i="8"/>
  <c r="I586" i="8" s="1"/>
  <c r="F587" i="8"/>
  <c r="I587" i="8" s="1"/>
  <c r="F588" i="8"/>
  <c r="I588" i="8" s="1"/>
  <c r="F589" i="8"/>
  <c r="I589" i="8" s="1"/>
  <c r="F590" i="8"/>
  <c r="I590" i="8" s="1"/>
  <c r="F591" i="8"/>
  <c r="I591" i="8" s="1"/>
  <c r="F592" i="8"/>
  <c r="I592" i="8" s="1"/>
  <c r="F593" i="8"/>
  <c r="I593" i="8" s="1"/>
  <c r="F594" i="8"/>
  <c r="I594" i="8" s="1"/>
  <c r="F595" i="8"/>
  <c r="I595" i="8" s="1"/>
  <c r="F596" i="8"/>
  <c r="I596" i="8" s="1"/>
  <c r="F597" i="8"/>
  <c r="I597" i="8" s="1"/>
  <c r="F598" i="8"/>
  <c r="I598" i="8" s="1"/>
  <c r="F599" i="8"/>
  <c r="I599" i="8" s="1"/>
  <c r="F600" i="8"/>
  <c r="I600" i="8" s="1"/>
  <c r="F601" i="8"/>
  <c r="I601" i="8" s="1"/>
  <c r="F602" i="8"/>
  <c r="I602" i="8" s="1"/>
  <c r="F603" i="8"/>
  <c r="I603" i="8" s="1"/>
  <c r="F604" i="8"/>
  <c r="I604" i="8" s="1"/>
  <c r="F605" i="8"/>
  <c r="I605" i="8" s="1"/>
  <c r="F606" i="8"/>
  <c r="I606" i="8" s="1"/>
  <c r="F607" i="8"/>
  <c r="I607" i="8" s="1"/>
  <c r="F608" i="8"/>
  <c r="I608" i="8" s="1"/>
  <c r="F609" i="8"/>
  <c r="I609" i="8" s="1"/>
  <c r="F610" i="8"/>
  <c r="I610" i="8" s="1"/>
  <c r="F611" i="8"/>
  <c r="I611" i="8" s="1"/>
  <c r="F612" i="8"/>
  <c r="I612" i="8" s="1"/>
  <c r="F613" i="8"/>
  <c r="I613" i="8" s="1"/>
  <c r="F614" i="8"/>
  <c r="I614" i="8" s="1"/>
  <c r="F615" i="8"/>
  <c r="I615" i="8" s="1"/>
  <c r="F616" i="8"/>
  <c r="I616" i="8" s="1"/>
  <c r="F617" i="8"/>
  <c r="I617" i="8" s="1"/>
  <c r="F618" i="8"/>
  <c r="I618" i="8" s="1"/>
  <c r="F619" i="8"/>
  <c r="I619" i="8" s="1"/>
  <c r="F620" i="8"/>
  <c r="I620" i="8" s="1"/>
  <c r="F621" i="8"/>
  <c r="I621" i="8" s="1"/>
  <c r="F622" i="8"/>
  <c r="I622" i="8" s="1"/>
  <c r="F623" i="8"/>
  <c r="I623" i="8" s="1"/>
  <c r="F624" i="8"/>
  <c r="I624" i="8" s="1"/>
  <c r="F625" i="8"/>
  <c r="I625" i="8" s="1"/>
  <c r="F626" i="8"/>
  <c r="I626" i="8" s="1"/>
  <c r="F627" i="8"/>
  <c r="I627" i="8" s="1"/>
  <c r="F628" i="8"/>
  <c r="I628" i="8" s="1"/>
  <c r="F629" i="8"/>
  <c r="I629" i="8" s="1"/>
  <c r="F630" i="8"/>
  <c r="I630" i="8" s="1"/>
  <c r="F631" i="8"/>
  <c r="I631" i="8" s="1"/>
  <c r="F632" i="8"/>
  <c r="I632" i="8" s="1"/>
  <c r="F633" i="8"/>
  <c r="I633" i="8" s="1"/>
  <c r="F634" i="8"/>
  <c r="I634" i="8" s="1"/>
  <c r="F635" i="8"/>
  <c r="I635" i="8" s="1"/>
  <c r="F636" i="8"/>
  <c r="I636" i="8" s="1"/>
  <c r="F637" i="8"/>
  <c r="I637" i="8" s="1"/>
  <c r="F638" i="8"/>
  <c r="I638" i="8" s="1"/>
  <c r="F639" i="8"/>
  <c r="I639" i="8" s="1"/>
  <c r="F640" i="8"/>
  <c r="I640" i="8" s="1"/>
  <c r="F641" i="8"/>
  <c r="I641" i="8" s="1"/>
  <c r="F642" i="8"/>
  <c r="I642" i="8" s="1"/>
  <c r="F643" i="8"/>
  <c r="I643" i="8" s="1"/>
  <c r="F644" i="8"/>
  <c r="I644" i="8" s="1"/>
  <c r="F645" i="8"/>
  <c r="I645" i="8" s="1"/>
  <c r="F646" i="8"/>
  <c r="I646" i="8" s="1"/>
  <c r="F647" i="8"/>
  <c r="I647" i="8" s="1"/>
  <c r="F648" i="8"/>
  <c r="I648" i="8" s="1"/>
  <c r="F649" i="8"/>
  <c r="I649" i="8" s="1"/>
  <c r="F650" i="8"/>
  <c r="I650" i="8" s="1"/>
  <c r="F651" i="8"/>
  <c r="I651" i="8" s="1"/>
  <c r="F652" i="8"/>
  <c r="I652" i="8" s="1"/>
  <c r="F653" i="8"/>
  <c r="I653" i="8" s="1"/>
  <c r="F654" i="8"/>
  <c r="I654" i="8" s="1"/>
  <c r="F655" i="8"/>
  <c r="I655" i="8" s="1"/>
  <c r="F656" i="8"/>
  <c r="I656" i="8" s="1"/>
  <c r="F657" i="8"/>
  <c r="I657" i="8" s="1"/>
  <c r="F658" i="8"/>
  <c r="I658" i="8" s="1"/>
  <c r="F659" i="8"/>
  <c r="I659" i="8" s="1"/>
  <c r="F660" i="8"/>
  <c r="I660" i="8" s="1"/>
  <c r="F661" i="8"/>
  <c r="I661" i="8" s="1"/>
  <c r="F662" i="8"/>
  <c r="I662" i="8" s="1"/>
  <c r="F663" i="8"/>
  <c r="I663" i="8" s="1"/>
  <c r="F664" i="8"/>
  <c r="I664" i="8" s="1"/>
  <c r="F665" i="8"/>
  <c r="I665" i="8" s="1"/>
  <c r="F666" i="8"/>
  <c r="I666" i="8" s="1"/>
  <c r="F667" i="8"/>
  <c r="I667" i="8" s="1"/>
  <c r="F668" i="8"/>
  <c r="I668" i="8" s="1"/>
  <c r="F669" i="8"/>
  <c r="I669" i="8" s="1"/>
  <c r="F670" i="8"/>
  <c r="I670" i="8" s="1"/>
  <c r="F671" i="8"/>
  <c r="I671" i="8" s="1"/>
  <c r="F672" i="8"/>
  <c r="I672" i="8" s="1"/>
  <c r="F673" i="8"/>
  <c r="I673" i="8" s="1"/>
  <c r="F674" i="8"/>
  <c r="I674" i="8" s="1"/>
  <c r="F675" i="8"/>
  <c r="I675" i="8" s="1"/>
  <c r="F676" i="8"/>
  <c r="I676" i="8" s="1"/>
  <c r="F677" i="8"/>
  <c r="I677" i="8" s="1"/>
  <c r="F678" i="8"/>
  <c r="I678" i="8" s="1"/>
  <c r="F679" i="8"/>
  <c r="I679" i="8" s="1"/>
  <c r="F680" i="8"/>
  <c r="I680" i="8" s="1"/>
  <c r="F681" i="8"/>
  <c r="I681" i="8" s="1"/>
  <c r="F682" i="8"/>
  <c r="I682" i="8" s="1"/>
  <c r="F683" i="8"/>
  <c r="I683" i="8" s="1"/>
  <c r="F684" i="8"/>
  <c r="I684" i="8" s="1"/>
  <c r="F685" i="8"/>
  <c r="I685" i="8" s="1"/>
  <c r="F686" i="8"/>
  <c r="I686" i="8" s="1"/>
  <c r="F687" i="8"/>
  <c r="I687" i="8" s="1"/>
  <c r="F688" i="8"/>
  <c r="I688" i="8" s="1"/>
  <c r="F689" i="8"/>
  <c r="I689" i="8" s="1"/>
  <c r="F690" i="8"/>
  <c r="I690" i="8" s="1"/>
  <c r="F691" i="8"/>
  <c r="I691" i="8" s="1"/>
  <c r="F692" i="8"/>
  <c r="I692" i="8" s="1"/>
  <c r="F693" i="8"/>
  <c r="I693" i="8" s="1"/>
  <c r="F694" i="8"/>
  <c r="I694" i="8" s="1"/>
  <c r="F695" i="8"/>
  <c r="I695" i="8" s="1"/>
  <c r="F696" i="8"/>
  <c r="I696" i="8" s="1"/>
  <c r="F697" i="8"/>
  <c r="I697" i="8" s="1"/>
  <c r="F698" i="8"/>
  <c r="I698" i="8" s="1"/>
  <c r="F699" i="8"/>
  <c r="I699" i="8" s="1"/>
  <c r="F700" i="8"/>
  <c r="I700" i="8" s="1"/>
  <c r="F701" i="8"/>
  <c r="I701" i="8" s="1"/>
  <c r="F702" i="8"/>
  <c r="I702" i="8" s="1"/>
  <c r="F703" i="8"/>
  <c r="I703" i="8" s="1"/>
  <c r="F704" i="8"/>
  <c r="I704" i="8" s="1"/>
  <c r="F705" i="8"/>
  <c r="I705" i="8" s="1"/>
  <c r="F706" i="8"/>
  <c r="I706" i="8" s="1"/>
  <c r="F707" i="8"/>
  <c r="I707" i="8" s="1"/>
  <c r="F708" i="8"/>
  <c r="I708" i="8" s="1"/>
  <c r="F709" i="8"/>
  <c r="I709" i="8" s="1"/>
  <c r="F710" i="8"/>
  <c r="I710" i="8" s="1"/>
  <c r="F711" i="8"/>
  <c r="I711" i="8" s="1"/>
  <c r="F712" i="8"/>
  <c r="I712" i="8" s="1"/>
  <c r="F713" i="8"/>
  <c r="I713" i="8" s="1"/>
  <c r="F714" i="8"/>
  <c r="I714" i="8" s="1"/>
  <c r="F715" i="8"/>
  <c r="I715" i="8" s="1"/>
  <c r="F716" i="8"/>
  <c r="I716" i="8" s="1"/>
  <c r="F717" i="8"/>
  <c r="I717" i="8" s="1"/>
  <c r="F718" i="8"/>
  <c r="I718" i="8" s="1"/>
  <c r="F719" i="8"/>
  <c r="I719" i="8" s="1"/>
  <c r="F720" i="8"/>
  <c r="I720" i="8" s="1"/>
  <c r="F721" i="8"/>
  <c r="I721" i="8" s="1"/>
  <c r="F722" i="8"/>
  <c r="I722" i="8" s="1"/>
  <c r="F723" i="8"/>
  <c r="I723" i="8" s="1"/>
  <c r="F724" i="8"/>
  <c r="I724" i="8" s="1"/>
  <c r="F725" i="8"/>
  <c r="I725" i="8" s="1"/>
  <c r="F726" i="8"/>
  <c r="I726" i="8" s="1"/>
  <c r="F727" i="8"/>
  <c r="I727" i="8" s="1"/>
  <c r="F728" i="8"/>
  <c r="I728" i="8" s="1"/>
  <c r="F729" i="8"/>
  <c r="I729" i="8" s="1"/>
  <c r="F730" i="8"/>
  <c r="I730" i="8" s="1"/>
  <c r="F731" i="8"/>
  <c r="I731" i="8" s="1"/>
  <c r="F732" i="8"/>
  <c r="I732" i="8" s="1"/>
  <c r="F733" i="8"/>
  <c r="I733" i="8" s="1"/>
  <c r="F734" i="8"/>
  <c r="I734" i="8" s="1"/>
  <c r="F735" i="8"/>
  <c r="I735" i="8" s="1"/>
  <c r="F736" i="8"/>
  <c r="I736" i="8" s="1"/>
  <c r="F737" i="8"/>
  <c r="I737" i="8" s="1"/>
  <c r="F738" i="8"/>
  <c r="I738" i="8" s="1"/>
  <c r="F739" i="8"/>
  <c r="I739" i="8" s="1"/>
  <c r="F740" i="8"/>
  <c r="I740" i="8" s="1"/>
  <c r="F741" i="8"/>
  <c r="I741" i="8" s="1"/>
  <c r="F742" i="8"/>
  <c r="I742" i="8" s="1"/>
  <c r="F743" i="8"/>
  <c r="I743" i="8" s="1"/>
  <c r="F744" i="8"/>
  <c r="I744" i="8" s="1"/>
  <c r="F745" i="8"/>
  <c r="I745" i="8" s="1"/>
  <c r="F746" i="8"/>
  <c r="I746" i="8" s="1"/>
  <c r="F747" i="8"/>
  <c r="I747" i="8" s="1"/>
  <c r="F748" i="8"/>
  <c r="I748" i="8" s="1"/>
  <c r="F749" i="8"/>
  <c r="I749" i="8" s="1"/>
  <c r="F750" i="8"/>
  <c r="I750" i="8" s="1"/>
  <c r="F751" i="8"/>
  <c r="I751" i="8" s="1"/>
  <c r="F752" i="8"/>
  <c r="I752" i="8" s="1"/>
  <c r="F753" i="8"/>
  <c r="I753" i="8" s="1"/>
  <c r="F754" i="8"/>
  <c r="I754" i="8" s="1"/>
  <c r="F755" i="8"/>
  <c r="I755" i="8" s="1"/>
  <c r="F756" i="8"/>
  <c r="I756" i="8" s="1"/>
  <c r="F757" i="8"/>
  <c r="I757" i="8" s="1"/>
  <c r="F758" i="8"/>
  <c r="I758" i="8" s="1"/>
  <c r="F759" i="8"/>
  <c r="I759" i="8" s="1"/>
  <c r="F760" i="8"/>
  <c r="I760" i="8" s="1"/>
  <c r="F761" i="8"/>
  <c r="I761" i="8" s="1"/>
  <c r="F762" i="8"/>
  <c r="I762" i="8" s="1"/>
  <c r="F763" i="8"/>
  <c r="I763" i="8" s="1"/>
  <c r="F764" i="8"/>
  <c r="I764" i="8" s="1"/>
  <c r="F765" i="8"/>
  <c r="I765" i="8" s="1"/>
  <c r="F766" i="8"/>
  <c r="I766" i="8" s="1"/>
  <c r="F767" i="8"/>
  <c r="I767" i="8" s="1"/>
  <c r="F768" i="8"/>
  <c r="I768" i="8" s="1"/>
  <c r="F769" i="8"/>
  <c r="I769" i="8" s="1"/>
  <c r="F770" i="8"/>
  <c r="I770" i="8" s="1"/>
  <c r="F771" i="8"/>
  <c r="I771" i="8" s="1"/>
  <c r="F772" i="8"/>
  <c r="I772" i="8" s="1"/>
  <c r="F773" i="8"/>
  <c r="I773" i="8" s="1"/>
  <c r="F774" i="8"/>
  <c r="I774" i="8" s="1"/>
  <c r="F775" i="8"/>
  <c r="I775" i="8" s="1"/>
  <c r="F776" i="8"/>
  <c r="I776" i="8" s="1"/>
  <c r="F777" i="8"/>
  <c r="I777" i="8" s="1"/>
  <c r="F778" i="8"/>
  <c r="I778" i="8" s="1"/>
  <c r="F779" i="8"/>
  <c r="I779" i="8" s="1"/>
  <c r="F780" i="8"/>
  <c r="I780" i="8" s="1"/>
  <c r="F781" i="8"/>
  <c r="I781" i="8" s="1"/>
  <c r="F782" i="8"/>
  <c r="I782" i="8" s="1"/>
  <c r="F783" i="8"/>
  <c r="I783" i="8" s="1"/>
  <c r="F784" i="8"/>
  <c r="I784" i="8" s="1"/>
  <c r="F785" i="8"/>
  <c r="I785" i="8" s="1"/>
  <c r="F786" i="8"/>
  <c r="I786" i="8" s="1"/>
  <c r="F787" i="8"/>
  <c r="I787" i="8" s="1"/>
  <c r="F788" i="8"/>
  <c r="I788" i="8" s="1"/>
  <c r="F789" i="8"/>
  <c r="I789" i="8" s="1"/>
  <c r="F790" i="8"/>
  <c r="I790" i="8" s="1"/>
  <c r="F791" i="8"/>
  <c r="I791" i="8" s="1"/>
  <c r="F792" i="8"/>
  <c r="I792" i="8" s="1"/>
  <c r="F793" i="8"/>
  <c r="I793" i="8" s="1"/>
  <c r="F794" i="8"/>
  <c r="I794" i="8" s="1"/>
  <c r="F795" i="8"/>
  <c r="I795" i="8" s="1"/>
  <c r="F796" i="8"/>
  <c r="I796" i="8" s="1"/>
  <c r="F797" i="8"/>
  <c r="I797" i="8" s="1"/>
  <c r="F798" i="8"/>
  <c r="I798" i="8" s="1"/>
  <c r="F799" i="8"/>
  <c r="I799" i="8" s="1"/>
  <c r="F800" i="8"/>
  <c r="I800" i="8" s="1"/>
  <c r="F801" i="8"/>
  <c r="I801" i="8" s="1"/>
  <c r="F802" i="8"/>
  <c r="I802" i="8" s="1"/>
  <c r="F803" i="8"/>
  <c r="I803" i="8" s="1"/>
  <c r="F804" i="8"/>
  <c r="I804" i="8" s="1"/>
  <c r="F805" i="8"/>
  <c r="I805" i="8" s="1"/>
  <c r="F806" i="8"/>
  <c r="I806" i="8" s="1"/>
  <c r="F807" i="8"/>
  <c r="I807" i="8" s="1"/>
  <c r="F808" i="8"/>
  <c r="I808" i="8" s="1"/>
  <c r="F809" i="8"/>
  <c r="I809" i="8" s="1"/>
  <c r="F810" i="8"/>
  <c r="I810" i="8" s="1"/>
  <c r="F811" i="8"/>
  <c r="I811" i="8" s="1"/>
  <c r="F812" i="8"/>
  <c r="I812" i="8" s="1"/>
  <c r="F813" i="8"/>
  <c r="I813" i="8" s="1"/>
  <c r="F814" i="8"/>
  <c r="I814" i="8" s="1"/>
  <c r="F815" i="8"/>
  <c r="I815" i="8" s="1"/>
  <c r="F816" i="8"/>
  <c r="I816" i="8" s="1"/>
  <c r="F817" i="8"/>
  <c r="I817" i="8" s="1"/>
  <c r="F818" i="8"/>
  <c r="I818" i="8" s="1"/>
  <c r="F819" i="8"/>
  <c r="I819" i="8" s="1"/>
  <c r="F820" i="8"/>
  <c r="I820" i="8" s="1"/>
  <c r="F821" i="8"/>
  <c r="I821" i="8" s="1"/>
  <c r="F822" i="8"/>
  <c r="I822" i="8" s="1"/>
  <c r="F823" i="8"/>
  <c r="I823" i="8" s="1"/>
  <c r="F824" i="8"/>
  <c r="I824" i="8" s="1"/>
  <c r="F825" i="8"/>
  <c r="I825" i="8" s="1"/>
  <c r="F826" i="8"/>
  <c r="I826" i="8" s="1"/>
  <c r="F827" i="8"/>
  <c r="I827" i="8" s="1"/>
  <c r="F828" i="8"/>
  <c r="I828" i="8" s="1"/>
  <c r="F829" i="8"/>
  <c r="I829" i="8" s="1"/>
  <c r="F830" i="8"/>
  <c r="I830" i="8" s="1"/>
  <c r="F831" i="8"/>
  <c r="I831" i="8" s="1"/>
  <c r="F832" i="8"/>
  <c r="I832" i="8" s="1"/>
  <c r="F833" i="8"/>
  <c r="I833" i="8" s="1"/>
  <c r="F834" i="8"/>
  <c r="I834" i="8" s="1"/>
  <c r="F835" i="8"/>
  <c r="I835" i="8" s="1"/>
  <c r="F836" i="8"/>
  <c r="I836" i="8" s="1"/>
  <c r="F837" i="8"/>
  <c r="I837" i="8" s="1"/>
  <c r="F838" i="8"/>
  <c r="I838" i="8" s="1"/>
  <c r="F839" i="8"/>
  <c r="I839" i="8" s="1"/>
  <c r="F840" i="8"/>
  <c r="I840" i="8" s="1"/>
  <c r="F841" i="8"/>
  <c r="I841" i="8" s="1"/>
  <c r="F842" i="8"/>
  <c r="I842" i="8" s="1"/>
  <c r="F843" i="8"/>
  <c r="I843" i="8" s="1"/>
  <c r="F844" i="8"/>
  <c r="I844" i="8" s="1"/>
  <c r="F845" i="8"/>
  <c r="I845" i="8" s="1"/>
  <c r="F846" i="8"/>
  <c r="I846" i="8" s="1"/>
  <c r="F847" i="8"/>
  <c r="I847" i="8" s="1"/>
  <c r="F848" i="8"/>
  <c r="I848" i="8" s="1"/>
  <c r="F849" i="8"/>
  <c r="I849" i="8" s="1"/>
  <c r="F850" i="8"/>
  <c r="I850" i="8" s="1"/>
  <c r="F851" i="8"/>
  <c r="I851" i="8" s="1"/>
  <c r="F852" i="8"/>
  <c r="I852" i="8" s="1"/>
  <c r="F853" i="8"/>
  <c r="I853" i="8" s="1"/>
  <c r="F854" i="8"/>
  <c r="I854" i="8" s="1"/>
  <c r="F855" i="8"/>
  <c r="I855" i="8" s="1"/>
  <c r="F856" i="8"/>
  <c r="I856" i="8" s="1"/>
  <c r="F857" i="8"/>
  <c r="I857" i="8" s="1"/>
  <c r="F858" i="8"/>
  <c r="I858" i="8" s="1"/>
  <c r="F859" i="8"/>
  <c r="I859" i="8" s="1"/>
  <c r="F860" i="8"/>
  <c r="I860" i="8" s="1"/>
  <c r="F861" i="8"/>
  <c r="I861" i="8" s="1"/>
  <c r="F862" i="8"/>
  <c r="I862" i="8" s="1"/>
  <c r="F863" i="8"/>
  <c r="I863" i="8" s="1"/>
  <c r="F864" i="8"/>
  <c r="I864" i="8" s="1"/>
  <c r="F865" i="8"/>
  <c r="I865" i="8" s="1"/>
  <c r="F866" i="8"/>
  <c r="I866" i="8" s="1"/>
  <c r="F867" i="8"/>
  <c r="I867" i="8" s="1"/>
  <c r="F868" i="8"/>
  <c r="I868" i="8" s="1"/>
  <c r="F869" i="8"/>
  <c r="I869" i="8" s="1"/>
  <c r="F870" i="8"/>
  <c r="I870" i="8" s="1"/>
  <c r="F871" i="8"/>
  <c r="I871" i="8" s="1"/>
  <c r="F872" i="8"/>
  <c r="I872" i="8" s="1"/>
  <c r="F873" i="8"/>
  <c r="I873" i="8" s="1"/>
  <c r="F874" i="8"/>
  <c r="I874" i="8" s="1"/>
  <c r="F875" i="8"/>
  <c r="I875" i="8" s="1"/>
  <c r="F876" i="8"/>
  <c r="I876" i="8" s="1"/>
  <c r="F877" i="8"/>
  <c r="I877" i="8" s="1"/>
  <c r="F878" i="8"/>
  <c r="I878" i="8" s="1"/>
  <c r="F879" i="8"/>
  <c r="I879" i="8" s="1"/>
  <c r="F880" i="8"/>
  <c r="I880" i="8" s="1"/>
  <c r="F881" i="8"/>
  <c r="I881" i="8" s="1"/>
  <c r="F882" i="8"/>
  <c r="I882" i="8" s="1"/>
  <c r="F883" i="8"/>
  <c r="I883" i="8" s="1"/>
  <c r="F884" i="8"/>
  <c r="I884" i="8" s="1"/>
  <c r="F885" i="8"/>
  <c r="I885" i="8" s="1"/>
  <c r="F886" i="8"/>
  <c r="I886" i="8" s="1"/>
  <c r="F887" i="8"/>
  <c r="I887" i="8" s="1"/>
  <c r="F888" i="8"/>
  <c r="I888" i="8" s="1"/>
  <c r="F889" i="8"/>
  <c r="I889" i="8" s="1"/>
  <c r="F890" i="8"/>
  <c r="I890" i="8" s="1"/>
  <c r="F891" i="8"/>
  <c r="I891" i="8" s="1"/>
  <c r="F892" i="8"/>
  <c r="I892" i="8" s="1"/>
  <c r="F893" i="8"/>
  <c r="I893" i="8" s="1"/>
  <c r="F894" i="8"/>
  <c r="I894" i="8" s="1"/>
  <c r="F895" i="8"/>
  <c r="I895" i="8" s="1"/>
  <c r="F896" i="8"/>
  <c r="I896" i="8" s="1"/>
  <c r="F897" i="8"/>
  <c r="I897" i="8" s="1"/>
  <c r="F898" i="8"/>
  <c r="I898" i="8" s="1"/>
  <c r="F899" i="8"/>
  <c r="I899" i="8" s="1"/>
  <c r="F900" i="8"/>
  <c r="I900" i="8" s="1"/>
  <c r="F901" i="8"/>
  <c r="I901" i="8" s="1"/>
  <c r="F902" i="8"/>
  <c r="I902" i="8" s="1"/>
  <c r="F903" i="8"/>
  <c r="I903" i="8" s="1"/>
  <c r="F904" i="8"/>
  <c r="I904" i="8" s="1"/>
  <c r="F905" i="8"/>
  <c r="I905" i="8" s="1"/>
  <c r="F906" i="8"/>
  <c r="I906" i="8" s="1"/>
  <c r="F907" i="8"/>
  <c r="I907" i="8" s="1"/>
  <c r="F908" i="8"/>
  <c r="I908" i="8" s="1"/>
  <c r="F909" i="8"/>
  <c r="I909" i="8" s="1"/>
  <c r="F910" i="8"/>
  <c r="I910" i="8" s="1"/>
  <c r="F911" i="8"/>
  <c r="I911" i="8" s="1"/>
  <c r="F912" i="8"/>
  <c r="I912" i="8" s="1"/>
  <c r="F913" i="8"/>
  <c r="I913" i="8" s="1"/>
  <c r="F914" i="8"/>
  <c r="I914" i="8" s="1"/>
  <c r="F915" i="8"/>
  <c r="I915" i="8" s="1"/>
  <c r="F916" i="8"/>
  <c r="I916" i="8" s="1"/>
  <c r="F917" i="8"/>
  <c r="I917" i="8" s="1"/>
  <c r="F918" i="8"/>
  <c r="I918" i="8" s="1"/>
  <c r="F919" i="8"/>
  <c r="I919" i="8" s="1"/>
  <c r="F920" i="8"/>
  <c r="I920" i="8" s="1"/>
  <c r="F921" i="8"/>
  <c r="I921" i="8" s="1"/>
  <c r="F922" i="8"/>
  <c r="I922" i="8" s="1"/>
  <c r="F923" i="8"/>
  <c r="I923" i="8" s="1"/>
  <c r="F924" i="8"/>
  <c r="I924" i="8" s="1"/>
  <c r="F925" i="8"/>
  <c r="I925" i="8" s="1"/>
  <c r="F926" i="8"/>
  <c r="I926" i="8" s="1"/>
  <c r="F927" i="8"/>
  <c r="I927" i="8" s="1"/>
  <c r="F928" i="8"/>
  <c r="I928" i="8" s="1"/>
  <c r="F929" i="8"/>
  <c r="I929" i="8" s="1"/>
  <c r="F930" i="8"/>
  <c r="I930" i="8" s="1"/>
  <c r="F931" i="8"/>
  <c r="I931" i="8" s="1"/>
  <c r="F932" i="8"/>
  <c r="I932" i="8" s="1"/>
  <c r="F933" i="8"/>
  <c r="I933" i="8" s="1"/>
  <c r="F934" i="8"/>
  <c r="I934" i="8" s="1"/>
  <c r="F935" i="8"/>
  <c r="I935" i="8" s="1"/>
  <c r="F936" i="8"/>
  <c r="I936" i="8" s="1"/>
  <c r="F937" i="8"/>
  <c r="I937" i="8" s="1"/>
  <c r="F938" i="8"/>
  <c r="I938" i="8" s="1"/>
  <c r="F939" i="8"/>
  <c r="I939" i="8" s="1"/>
  <c r="F940" i="8"/>
  <c r="I940" i="8" s="1"/>
  <c r="F941" i="8"/>
  <c r="I941" i="8" s="1"/>
  <c r="F942" i="8"/>
  <c r="I942" i="8" s="1"/>
  <c r="F943" i="8"/>
  <c r="I943" i="8" s="1"/>
  <c r="F944" i="8"/>
  <c r="I944" i="8" s="1"/>
  <c r="F945" i="8"/>
  <c r="I945" i="8" s="1"/>
  <c r="F946" i="8"/>
  <c r="I946" i="8" s="1"/>
  <c r="F947" i="8"/>
  <c r="I947" i="8" s="1"/>
  <c r="F948" i="8"/>
  <c r="I948" i="8" s="1"/>
  <c r="F949" i="8"/>
  <c r="I949" i="8" s="1"/>
  <c r="F950" i="8"/>
  <c r="I950" i="8" s="1"/>
  <c r="F951" i="8"/>
  <c r="I951" i="8" s="1"/>
  <c r="F952" i="8"/>
  <c r="I952" i="8" s="1"/>
  <c r="F953" i="8"/>
  <c r="I953" i="8" s="1"/>
  <c r="F954" i="8"/>
  <c r="I954" i="8" s="1"/>
  <c r="F955" i="8"/>
  <c r="I955" i="8" s="1"/>
  <c r="F956" i="8"/>
  <c r="I956" i="8" s="1"/>
  <c r="F957" i="8"/>
  <c r="I957" i="8" s="1"/>
  <c r="F958" i="8"/>
  <c r="I958" i="8" s="1"/>
  <c r="F959" i="8"/>
  <c r="I959" i="8" s="1"/>
  <c r="F960" i="8"/>
  <c r="I960" i="8" s="1"/>
  <c r="F961" i="8"/>
  <c r="I961" i="8" s="1"/>
  <c r="F962" i="8"/>
  <c r="I962" i="8" s="1"/>
  <c r="F963" i="8"/>
  <c r="I963" i="8" s="1"/>
  <c r="F964" i="8"/>
  <c r="I964" i="8" s="1"/>
  <c r="F965" i="8"/>
  <c r="I965" i="8" s="1"/>
  <c r="F966" i="8"/>
  <c r="I966" i="8" s="1"/>
  <c r="F967" i="8"/>
  <c r="I967" i="8" s="1"/>
  <c r="F968" i="8"/>
  <c r="I968" i="8" s="1"/>
  <c r="F969" i="8"/>
  <c r="I969" i="8" s="1"/>
  <c r="F970" i="8"/>
  <c r="I970" i="8" s="1"/>
  <c r="F971" i="8"/>
  <c r="I971" i="8" s="1"/>
  <c r="F972" i="8"/>
  <c r="I972" i="8" s="1"/>
  <c r="F973" i="8"/>
  <c r="I973" i="8" s="1"/>
  <c r="F974" i="8"/>
  <c r="I974" i="8" s="1"/>
  <c r="F975" i="8"/>
  <c r="I975" i="8" s="1"/>
  <c r="F976" i="8"/>
  <c r="I976" i="8" s="1"/>
  <c r="F977" i="8"/>
  <c r="I977" i="8" s="1"/>
  <c r="F978" i="8"/>
  <c r="I978" i="8" s="1"/>
  <c r="F979" i="8"/>
  <c r="I979" i="8" s="1"/>
  <c r="F980" i="8"/>
  <c r="I980" i="8" s="1"/>
  <c r="F981" i="8"/>
  <c r="I981" i="8" s="1"/>
  <c r="F982" i="8"/>
  <c r="I982" i="8" s="1"/>
  <c r="F983" i="8"/>
  <c r="I983" i="8" s="1"/>
  <c r="F984" i="8"/>
  <c r="I984" i="8" s="1"/>
  <c r="F985" i="8"/>
  <c r="I985" i="8" s="1"/>
  <c r="F986" i="8"/>
  <c r="I986" i="8" s="1"/>
  <c r="F987" i="8"/>
  <c r="I987" i="8" s="1"/>
  <c r="F988" i="8"/>
  <c r="I988" i="8" s="1"/>
  <c r="F989" i="8"/>
  <c r="I989" i="8" s="1"/>
  <c r="F990" i="8"/>
  <c r="I990" i="8" s="1"/>
  <c r="F991" i="8"/>
  <c r="I991" i="8" s="1"/>
  <c r="F992" i="8"/>
  <c r="I992" i="8" s="1"/>
  <c r="F993" i="8"/>
  <c r="I993" i="8" s="1"/>
  <c r="F994" i="8"/>
  <c r="I994" i="8" s="1"/>
  <c r="F995" i="8"/>
  <c r="I995" i="8" s="1"/>
  <c r="F996" i="8"/>
  <c r="I996" i="8" s="1"/>
  <c r="F997" i="8"/>
  <c r="I997" i="8" s="1"/>
  <c r="F998" i="8"/>
  <c r="I998" i="8" s="1"/>
  <c r="F999" i="8"/>
  <c r="I999" i="8" s="1"/>
  <c r="F1000" i="8"/>
  <c r="I1000" i="8" s="1"/>
  <c r="F1001" i="8"/>
  <c r="I1001" i="8" s="1"/>
  <c r="F1002" i="8"/>
  <c r="I1002" i="8" s="1"/>
  <c r="F1003" i="8"/>
  <c r="I1003" i="8" s="1"/>
  <c r="F1004" i="8"/>
  <c r="I1004" i="8" s="1"/>
  <c r="F1005" i="8"/>
  <c r="I1005" i="8" s="1"/>
  <c r="F1006" i="8"/>
  <c r="I1006" i="8" s="1"/>
  <c r="F1007" i="8"/>
  <c r="I1007" i="8" s="1"/>
  <c r="F1008" i="8"/>
  <c r="I1008" i="8" s="1"/>
  <c r="F1009" i="8"/>
  <c r="I1009" i="8" s="1"/>
  <c r="F1010" i="8"/>
  <c r="I1010" i="8" s="1"/>
  <c r="F1011" i="8"/>
  <c r="I1011" i="8" s="1"/>
  <c r="F1012" i="8"/>
  <c r="I1012" i="8" s="1"/>
  <c r="F1013" i="8"/>
  <c r="I1013" i="8" s="1"/>
  <c r="F1014" i="8"/>
  <c r="I1014" i="8" s="1"/>
  <c r="F1015" i="8"/>
  <c r="I1015" i="8" s="1"/>
  <c r="F1016" i="8"/>
  <c r="I1016" i="8" s="1"/>
  <c r="F1017" i="8"/>
  <c r="I1017" i="8" s="1"/>
  <c r="F1018" i="8"/>
  <c r="I1018" i="8" s="1"/>
  <c r="F1019" i="8"/>
  <c r="I1019" i="8" s="1"/>
  <c r="F1020" i="8"/>
  <c r="I1020" i="8" s="1"/>
  <c r="F1021" i="8"/>
  <c r="I1021" i="8" s="1"/>
  <c r="F1022" i="8"/>
  <c r="I1022" i="8" s="1"/>
  <c r="F1023" i="8"/>
  <c r="I1023" i="8" s="1"/>
  <c r="F1024" i="8"/>
  <c r="I1024" i="8" s="1"/>
  <c r="F1025" i="8"/>
  <c r="I1025" i="8" s="1"/>
  <c r="F1026" i="8"/>
  <c r="I1026" i="8" s="1"/>
  <c r="F1027" i="8"/>
  <c r="I1027" i="8" s="1"/>
  <c r="F1028" i="8"/>
  <c r="I1028" i="8" s="1"/>
  <c r="F1029" i="8"/>
  <c r="I1029" i="8" s="1"/>
  <c r="F1030" i="8"/>
  <c r="I1030" i="8" s="1"/>
  <c r="F1031" i="8"/>
  <c r="I1031" i="8" s="1"/>
  <c r="F1032" i="8"/>
  <c r="I1032" i="8" s="1"/>
  <c r="F1033" i="8"/>
  <c r="I1033" i="8" s="1"/>
  <c r="F1034" i="8"/>
  <c r="I1034" i="8" s="1"/>
  <c r="F1035" i="8"/>
  <c r="I1035" i="8" s="1"/>
  <c r="F1036" i="8"/>
  <c r="I1036" i="8" s="1"/>
  <c r="F1037" i="8"/>
  <c r="I1037" i="8" s="1"/>
  <c r="F1038" i="8"/>
  <c r="I1038" i="8" s="1"/>
  <c r="F1039" i="8"/>
  <c r="I1039" i="8" s="1"/>
  <c r="F1040" i="8"/>
  <c r="I1040" i="8" s="1"/>
  <c r="F1041" i="8"/>
  <c r="I1041" i="8" s="1"/>
  <c r="F1042" i="8"/>
  <c r="I1042" i="8" s="1"/>
  <c r="F1043" i="8"/>
  <c r="I1043" i="8" s="1"/>
  <c r="F1044" i="8"/>
  <c r="I1044" i="8" s="1"/>
  <c r="F1045" i="8"/>
  <c r="I1045" i="8" s="1"/>
  <c r="F1046" i="8"/>
  <c r="I1046" i="8" s="1"/>
  <c r="F1047" i="8"/>
  <c r="I1047" i="8" s="1"/>
  <c r="F1048" i="8"/>
  <c r="I1048" i="8" s="1"/>
  <c r="F1049" i="8"/>
  <c r="I1049" i="8" s="1"/>
  <c r="F1050" i="8"/>
  <c r="I1050" i="8" s="1"/>
  <c r="F1051" i="8"/>
  <c r="I1051" i="8" s="1"/>
  <c r="F1052" i="8"/>
  <c r="I1052" i="8" s="1"/>
  <c r="F1053" i="8"/>
  <c r="I1053" i="8" s="1"/>
  <c r="F1054" i="8"/>
  <c r="I1054" i="8" s="1"/>
  <c r="F1055" i="8"/>
  <c r="I1055" i="8" s="1"/>
  <c r="F1056" i="8"/>
  <c r="I1056" i="8" s="1"/>
  <c r="F1057" i="8"/>
  <c r="I1057" i="8" s="1"/>
  <c r="F1058" i="8"/>
  <c r="I1058" i="8" s="1"/>
  <c r="F1059" i="8"/>
  <c r="I1059" i="8" s="1"/>
  <c r="F1060" i="8"/>
  <c r="I1060" i="8" s="1"/>
  <c r="F1061" i="8"/>
  <c r="I1061" i="8" s="1"/>
  <c r="F1062" i="8"/>
  <c r="I1062" i="8" s="1"/>
  <c r="F1063" i="8"/>
  <c r="I1063" i="8" s="1"/>
  <c r="F1064" i="8"/>
  <c r="I1064" i="8" s="1"/>
  <c r="F1065" i="8"/>
  <c r="I1065" i="8" s="1"/>
  <c r="F1066" i="8"/>
  <c r="I1066" i="8" s="1"/>
  <c r="F1067" i="8"/>
  <c r="I1067" i="8" s="1"/>
  <c r="F1068" i="8"/>
  <c r="I1068" i="8" s="1"/>
  <c r="F1069" i="8"/>
  <c r="I1069" i="8" s="1"/>
  <c r="F1070" i="8"/>
  <c r="I1070" i="8" s="1"/>
  <c r="F1071" i="8"/>
  <c r="I1071" i="8" s="1"/>
  <c r="F1072" i="8"/>
  <c r="I1072" i="8" s="1"/>
  <c r="F1073" i="8"/>
  <c r="I1073" i="8" s="1"/>
  <c r="F1074" i="8"/>
  <c r="I1074" i="8" s="1"/>
  <c r="F1075" i="8"/>
  <c r="I1075" i="8" s="1"/>
  <c r="F1076" i="8"/>
  <c r="I1076" i="8" s="1"/>
  <c r="F1077" i="8"/>
  <c r="I1077" i="8" s="1"/>
  <c r="F1078" i="8"/>
  <c r="I1078" i="8" s="1"/>
  <c r="F1079" i="8"/>
  <c r="I1079" i="8" s="1"/>
  <c r="F1080" i="8"/>
  <c r="I1080" i="8" s="1"/>
  <c r="F1081" i="8"/>
  <c r="I1081" i="8" s="1"/>
  <c r="F1082" i="8"/>
  <c r="I1082" i="8" s="1"/>
  <c r="F1083" i="8"/>
  <c r="I1083" i="8" s="1"/>
  <c r="F1084" i="8"/>
  <c r="I1084" i="8" s="1"/>
  <c r="F1085" i="8"/>
  <c r="I1085" i="8" s="1"/>
  <c r="F1086" i="8"/>
  <c r="I1086" i="8" s="1"/>
  <c r="F1087" i="8"/>
  <c r="I1087" i="8" s="1"/>
  <c r="F1088" i="8"/>
  <c r="I1088" i="8" s="1"/>
  <c r="F1089" i="8"/>
  <c r="I1089" i="8" s="1"/>
  <c r="F1090" i="8"/>
  <c r="I1090" i="8" s="1"/>
  <c r="F1091" i="8"/>
  <c r="I1091" i="8" s="1"/>
  <c r="F1092" i="8"/>
  <c r="I1092" i="8" s="1"/>
  <c r="F1093" i="8"/>
  <c r="I1093" i="8" s="1"/>
  <c r="F1094" i="8"/>
  <c r="I1094" i="8" s="1"/>
  <c r="F1095" i="8"/>
  <c r="I1095" i="8" s="1"/>
  <c r="F1096" i="8"/>
  <c r="I1096" i="8" s="1"/>
  <c r="F1097" i="8"/>
  <c r="I1097" i="8" s="1"/>
  <c r="F1098" i="8"/>
  <c r="I1098" i="8" s="1"/>
  <c r="F1099" i="8"/>
  <c r="I1099" i="8" s="1"/>
  <c r="F1100" i="8"/>
  <c r="I1100" i="8" s="1"/>
  <c r="F1101" i="8"/>
  <c r="I1101" i="8" s="1"/>
  <c r="F1102" i="8"/>
  <c r="I1102" i="8" s="1"/>
  <c r="F1103" i="8"/>
  <c r="I1103" i="8" s="1"/>
  <c r="F1104" i="8"/>
  <c r="I1104" i="8" s="1"/>
  <c r="F1105" i="8"/>
  <c r="I1105" i="8" s="1"/>
  <c r="F1106" i="8"/>
  <c r="I1106" i="8" s="1"/>
  <c r="F1107" i="8"/>
  <c r="I1107" i="8" s="1"/>
  <c r="F1108" i="8"/>
  <c r="I1108" i="8" s="1"/>
  <c r="F1109" i="8"/>
  <c r="I1109" i="8" s="1"/>
  <c r="F1110" i="8"/>
  <c r="I1110" i="8" s="1"/>
  <c r="F1111" i="8"/>
  <c r="I1111" i="8" s="1"/>
  <c r="F1112" i="8"/>
  <c r="I1112" i="8" s="1"/>
  <c r="F1113" i="8"/>
  <c r="I1113" i="8" s="1"/>
  <c r="F1114" i="8"/>
  <c r="I1114" i="8" s="1"/>
  <c r="F1115" i="8"/>
  <c r="I1115" i="8" s="1"/>
  <c r="F1116" i="8"/>
  <c r="I1116" i="8" s="1"/>
  <c r="F1117" i="8"/>
  <c r="I1117" i="8" s="1"/>
  <c r="F1118" i="8"/>
  <c r="I1118" i="8" s="1"/>
  <c r="F1119" i="8"/>
  <c r="I1119" i="8" s="1"/>
  <c r="F1120" i="8"/>
  <c r="I1120" i="8" s="1"/>
  <c r="F1121" i="8"/>
  <c r="I1121" i="8" s="1"/>
  <c r="F1122" i="8"/>
  <c r="I1122" i="8" s="1"/>
  <c r="F1123" i="8"/>
  <c r="I1123" i="8" s="1"/>
  <c r="F1124" i="8"/>
  <c r="I1124" i="8" s="1"/>
  <c r="F1125" i="8"/>
  <c r="I1125" i="8" s="1"/>
  <c r="F1126" i="8"/>
  <c r="I1126" i="8" s="1"/>
  <c r="F1127" i="8"/>
  <c r="I1127" i="8" s="1"/>
  <c r="F1128" i="8"/>
  <c r="I1128" i="8" s="1"/>
  <c r="F1129" i="8"/>
  <c r="I1129" i="8" s="1"/>
  <c r="F1130" i="8"/>
  <c r="I1130" i="8" s="1"/>
  <c r="F1131" i="8"/>
  <c r="I1131" i="8" s="1"/>
  <c r="F1132" i="8"/>
  <c r="I1132" i="8" s="1"/>
  <c r="F1133" i="8"/>
  <c r="I1133" i="8" s="1"/>
  <c r="F1134" i="8"/>
  <c r="I1134" i="8" s="1"/>
  <c r="F1135" i="8"/>
  <c r="I1135" i="8" s="1"/>
  <c r="F1136" i="8"/>
  <c r="I1136" i="8" s="1"/>
  <c r="F1137" i="8"/>
  <c r="I1137" i="8" s="1"/>
  <c r="F1138" i="8"/>
  <c r="I1138" i="8" s="1"/>
  <c r="F1139" i="8"/>
  <c r="I1139" i="8" s="1"/>
  <c r="F1140" i="8"/>
  <c r="I1140" i="8" s="1"/>
  <c r="F1141" i="8"/>
  <c r="I1141" i="8" s="1"/>
  <c r="F1142" i="8"/>
  <c r="I1142" i="8" s="1"/>
  <c r="F1143" i="8"/>
  <c r="I1143" i="8" s="1"/>
  <c r="F1144" i="8"/>
  <c r="I1144" i="8" s="1"/>
  <c r="F1145" i="8"/>
  <c r="I1145" i="8" s="1"/>
  <c r="F1146" i="8"/>
  <c r="I1146" i="8" s="1"/>
  <c r="F1147" i="8"/>
  <c r="I1147" i="8" s="1"/>
  <c r="F1148" i="8"/>
  <c r="I1148" i="8" s="1"/>
  <c r="F1149" i="8"/>
  <c r="I1149" i="8" s="1"/>
  <c r="F1150" i="8"/>
  <c r="I1150" i="8" s="1"/>
  <c r="F1151" i="8"/>
  <c r="I1151" i="8" s="1"/>
  <c r="F1152" i="8"/>
  <c r="I1152" i="8" s="1"/>
  <c r="F1153" i="8"/>
  <c r="I1153" i="8" s="1"/>
  <c r="F1154" i="8"/>
  <c r="I1154" i="8" s="1"/>
  <c r="F1155" i="8"/>
  <c r="I1155" i="8" s="1"/>
  <c r="F1156" i="8"/>
  <c r="I1156" i="8" s="1"/>
  <c r="F1157" i="8"/>
  <c r="I1157" i="8" s="1"/>
  <c r="F1158" i="8"/>
  <c r="I1158" i="8" s="1"/>
  <c r="F1159" i="8"/>
  <c r="I1159" i="8" s="1"/>
  <c r="F1160" i="8"/>
  <c r="I1160" i="8" s="1"/>
  <c r="F1161" i="8"/>
  <c r="I1161" i="8" s="1"/>
  <c r="F1162" i="8"/>
  <c r="I1162" i="8" s="1"/>
  <c r="F1163" i="8"/>
  <c r="I1163" i="8" s="1"/>
  <c r="F1164" i="8"/>
  <c r="I1164" i="8" s="1"/>
  <c r="F1165" i="8"/>
  <c r="I1165" i="8" s="1"/>
  <c r="F1166" i="8"/>
  <c r="I1166" i="8" s="1"/>
  <c r="F1167" i="8"/>
  <c r="I1167" i="8" s="1"/>
  <c r="F1168" i="8"/>
  <c r="I1168" i="8" s="1"/>
  <c r="F1169" i="8"/>
  <c r="I1169" i="8" s="1"/>
  <c r="F1170" i="8"/>
  <c r="I1170" i="8" s="1"/>
  <c r="F1171" i="8"/>
  <c r="I1171" i="8" s="1"/>
  <c r="F1172" i="8"/>
  <c r="I1172" i="8" s="1"/>
  <c r="F1173" i="8"/>
  <c r="I1173" i="8" s="1"/>
  <c r="F1174" i="8"/>
  <c r="I1174" i="8" s="1"/>
  <c r="F1175" i="8"/>
  <c r="I1175" i="8" s="1"/>
  <c r="F1176" i="8"/>
  <c r="I1176" i="8" s="1"/>
  <c r="F1177" i="8"/>
  <c r="I1177" i="8" s="1"/>
  <c r="F1178" i="8"/>
  <c r="I1178" i="8" s="1"/>
  <c r="F1179" i="8"/>
  <c r="I1179" i="8" s="1"/>
  <c r="F1180" i="8"/>
  <c r="I1180" i="8" s="1"/>
  <c r="F1181" i="8"/>
  <c r="I1181" i="8" s="1"/>
  <c r="F1182" i="8"/>
  <c r="I1182" i="8" s="1"/>
  <c r="F1183" i="8"/>
  <c r="I1183" i="8" s="1"/>
  <c r="F1184" i="8"/>
  <c r="I1184" i="8" s="1"/>
  <c r="F1185" i="8"/>
  <c r="I1185" i="8" s="1"/>
  <c r="F1186" i="8"/>
  <c r="I1186" i="8" s="1"/>
  <c r="F1187" i="8"/>
  <c r="I1187" i="8" s="1"/>
  <c r="F1188" i="8"/>
  <c r="I1188" i="8" s="1"/>
  <c r="F1189" i="8"/>
  <c r="I1189" i="8" s="1"/>
  <c r="F1190" i="8"/>
  <c r="I1190" i="8" s="1"/>
  <c r="F1191" i="8"/>
  <c r="I1191" i="8" s="1"/>
  <c r="F1192" i="8"/>
  <c r="I1192" i="8" s="1"/>
  <c r="F1193" i="8"/>
  <c r="I1193" i="8" s="1"/>
  <c r="F1194" i="8"/>
  <c r="I1194" i="8" s="1"/>
  <c r="F1195" i="8"/>
  <c r="I1195" i="8" s="1"/>
  <c r="F1196" i="8"/>
  <c r="I1196" i="8" s="1"/>
  <c r="F1197" i="8"/>
  <c r="I1197" i="8" s="1"/>
  <c r="F1198" i="8"/>
  <c r="I1198" i="8" s="1"/>
  <c r="F1199" i="8"/>
  <c r="I1199" i="8" s="1"/>
  <c r="F1200" i="8"/>
  <c r="I1200" i="8" s="1"/>
  <c r="F1201" i="8"/>
  <c r="I1201" i="8" s="1"/>
  <c r="F1202" i="8"/>
  <c r="I1202" i="8" s="1"/>
  <c r="F1203" i="8"/>
  <c r="I1203" i="8" s="1"/>
  <c r="F1204" i="8"/>
  <c r="I1204" i="8" s="1"/>
  <c r="F1205" i="8"/>
  <c r="I1205" i="8" s="1"/>
  <c r="F1206" i="8"/>
  <c r="I1206" i="8" s="1"/>
  <c r="F1207" i="8"/>
  <c r="I1207" i="8" s="1"/>
  <c r="F1208" i="8"/>
  <c r="I1208" i="8" s="1"/>
  <c r="F1209" i="8"/>
  <c r="I1209" i="8" s="1"/>
  <c r="F1210" i="8"/>
  <c r="I1210" i="8" s="1"/>
  <c r="F1211" i="8"/>
  <c r="I1211" i="8" s="1"/>
  <c r="F1212" i="8"/>
  <c r="I1212" i="8" s="1"/>
  <c r="F1213" i="8"/>
  <c r="I1213" i="8" s="1"/>
  <c r="F1214" i="8"/>
  <c r="I1214" i="8" s="1"/>
  <c r="F1215" i="8"/>
  <c r="I1215" i="8" s="1"/>
  <c r="F1216" i="8"/>
  <c r="I1216" i="8" s="1"/>
  <c r="F1217" i="8"/>
  <c r="I1217" i="8" s="1"/>
  <c r="F1218" i="8"/>
  <c r="I1218" i="8" s="1"/>
  <c r="F1219" i="8"/>
  <c r="I1219" i="8" s="1"/>
  <c r="F1220" i="8"/>
  <c r="I1220" i="8" s="1"/>
  <c r="F1221" i="8"/>
  <c r="I1221" i="8" s="1"/>
  <c r="F1222" i="8"/>
  <c r="I1222" i="8" s="1"/>
  <c r="F1223" i="8"/>
  <c r="I1223" i="8" s="1"/>
  <c r="F1224" i="8"/>
  <c r="I1224" i="8" s="1"/>
  <c r="F1225" i="8"/>
  <c r="I1225" i="8" s="1"/>
  <c r="F1226" i="8"/>
  <c r="I1226" i="8" s="1"/>
  <c r="F1227" i="8"/>
  <c r="I1227" i="8" s="1"/>
  <c r="F1228" i="8"/>
  <c r="I1228" i="8" s="1"/>
  <c r="F1229" i="8"/>
  <c r="I1229" i="8" s="1"/>
  <c r="F1230" i="8"/>
  <c r="I1230" i="8" s="1"/>
  <c r="F1231" i="8"/>
  <c r="I1231" i="8" s="1"/>
  <c r="F1232" i="8"/>
  <c r="I1232" i="8" s="1"/>
  <c r="F1233" i="8"/>
  <c r="I1233" i="8" s="1"/>
  <c r="F1234" i="8"/>
  <c r="I1234" i="8" s="1"/>
  <c r="F1235" i="8"/>
  <c r="I1235" i="8" s="1"/>
  <c r="F1236" i="8"/>
  <c r="I1236" i="8" s="1"/>
  <c r="F1237" i="8"/>
  <c r="I1237" i="8" s="1"/>
  <c r="F1238" i="8"/>
  <c r="I1238" i="8" s="1"/>
  <c r="F1239" i="8"/>
  <c r="I1239" i="8" s="1"/>
  <c r="F1240" i="8"/>
  <c r="I1240" i="8" s="1"/>
  <c r="F1241" i="8"/>
  <c r="I1241" i="8" s="1"/>
  <c r="F1242" i="8"/>
  <c r="I1242" i="8" s="1"/>
  <c r="F1243" i="8"/>
  <c r="I1243" i="8" s="1"/>
  <c r="F1244" i="8"/>
  <c r="I1244" i="8" s="1"/>
  <c r="F1245" i="8"/>
  <c r="I1245" i="8" s="1"/>
  <c r="F1246" i="8"/>
  <c r="I1246" i="8" s="1"/>
  <c r="F1247" i="8"/>
  <c r="I1247" i="8" s="1"/>
  <c r="F1248" i="8"/>
  <c r="I1248" i="8" s="1"/>
  <c r="F1249" i="8"/>
  <c r="I1249" i="8" s="1"/>
  <c r="F1250" i="8"/>
  <c r="I1250" i="8" s="1"/>
  <c r="F1251" i="8"/>
  <c r="I1251" i="8" s="1"/>
  <c r="F1252" i="8"/>
  <c r="I1252" i="8" s="1"/>
  <c r="F1253" i="8"/>
  <c r="I1253" i="8" s="1"/>
  <c r="F1254" i="8"/>
  <c r="I1254" i="8" s="1"/>
  <c r="F1255" i="8"/>
  <c r="I1255" i="8" s="1"/>
  <c r="F1256" i="8"/>
  <c r="I1256" i="8" s="1"/>
  <c r="F1257" i="8"/>
  <c r="I1257" i="8" s="1"/>
  <c r="F1258" i="8"/>
  <c r="I1258" i="8" s="1"/>
  <c r="F1259" i="8"/>
  <c r="I1259" i="8" s="1"/>
  <c r="F1260" i="8"/>
  <c r="I1260" i="8" s="1"/>
  <c r="F1261" i="8"/>
  <c r="I1261" i="8" s="1"/>
  <c r="F1262" i="8"/>
  <c r="I1262" i="8" s="1"/>
  <c r="F1263" i="8"/>
  <c r="I1263" i="8" s="1"/>
  <c r="F1264" i="8"/>
  <c r="I1264" i="8" s="1"/>
  <c r="F1265" i="8"/>
  <c r="I1265" i="8" s="1"/>
  <c r="F1266" i="8"/>
  <c r="I1266" i="8" s="1"/>
  <c r="F1267" i="8"/>
  <c r="I1267" i="8" s="1"/>
  <c r="F1268" i="8"/>
  <c r="I1268" i="8" s="1"/>
  <c r="F1269" i="8"/>
  <c r="I1269" i="8" s="1"/>
  <c r="F1270" i="8"/>
  <c r="I1270" i="8" s="1"/>
  <c r="F1271" i="8"/>
  <c r="I1271" i="8" s="1"/>
  <c r="F1272" i="8"/>
  <c r="I1272" i="8" s="1"/>
  <c r="F1273" i="8"/>
  <c r="I1273" i="8" s="1"/>
  <c r="F1274" i="8"/>
  <c r="I1274" i="8" s="1"/>
  <c r="F1275" i="8"/>
  <c r="I1275" i="8" s="1"/>
  <c r="F1276" i="8"/>
  <c r="I1276" i="8" s="1"/>
  <c r="F1277" i="8"/>
  <c r="I1277" i="8" s="1"/>
  <c r="F1278" i="8"/>
  <c r="I1278" i="8" s="1"/>
  <c r="F1279" i="8"/>
  <c r="I1279" i="8" s="1"/>
  <c r="F1280" i="8"/>
  <c r="I1280" i="8" s="1"/>
  <c r="F1281" i="8"/>
  <c r="I1281" i="8" s="1"/>
  <c r="F1282" i="8"/>
  <c r="I1282" i="8" s="1"/>
  <c r="F1283" i="8"/>
  <c r="I1283" i="8" s="1"/>
  <c r="F1284" i="8"/>
  <c r="I1284" i="8" s="1"/>
  <c r="F1285" i="8"/>
  <c r="I1285" i="8" s="1"/>
  <c r="F1286" i="8"/>
  <c r="I1286" i="8" s="1"/>
  <c r="F1287" i="8"/>
  <c r="I1287" i="8" s="1"/>
  <c r="F1288" i="8"/>
  <c r="I1288" i="8" s="1"/>
  <c r="F1289" i="8"/>
  <c r="I1289" i="8" s="1"/>
  <c r="F1290" i="8"/>
  <c r="I1290" i="8" s="1"/>
  <c r="F1291" i="8"/>
  <c r="I1291" i="8" s="1"/>
  <c r="F1292" i="8"/>
  <c r="I1292" i="8" s="1"/>
  <c r="F1293" i="8"/>
  <c r="I1293" i="8" s="1"/>
  <c r="F1294" i="8"/>
  <c r="I1294" i="8" s="1"/>
  <c r="F1295" i="8"/>
  <c r="I1295" i="8" s="1"/>
  <c r="F1296" i="8"/>
  <c r="I1296" i="8" s="1"/>
  <c r="F1297" i="8"/>
  <c r="I1297" i="8" s="1"/>
  <c r="F1298" i="8"/>
  <c r="I1298" i="8" s="1"/>
  <c r="F1299" i="8"/>
  <c r="I1299" i="8" s="1"/>
  <c r="F1300" i="8"/>
  <c r="I1300" i="8" s="1"/>
  <c r="F1301" i="8"/>
  <c r="I1301" i="8" s="1"/>
  <c r="F1302" i="8"/>
  <c r="I1302" i="8" s="1"/>
  <c r="F1303" i="8"/>
  <c r="I1303" i="8" s="1"/>
  <c r="F1304" i="8"/>
  <c r="I1304" i="8" s="1"/>
  <c r="F1305" i="8"/>
  <c r="I1305" i="8" s="1"/>
  <c r="F1306" i="8"/>
  <c r="I1306" i="8" s="1"/>
  <c r="F1307" i="8"/>
  <c r="I1307" i="8" s="1"/>
  <c r="F1308" i="8"/>
  <c r="I1308" i="8" s="1"/>
  <c r="F1309" i="8"/>
  <c r="I1309" i="8" s="1"/>
  <c r="F1310" i="8"/>
  <c r="I1310" i="8" s="1"/>
  <c r="F1311" i="8"/>
  <c r="I1311" i="8" s="1"/>
  <c r="F1312" i="8"/>
  <c r="I1312" i="8" s="1"/>
  <c r="F1313" i="8"/>
  <c r="I1313" i="8" s="1"/>
  <c r="F1314" i="8"/>
  <c r="I1314" i="8" s="1"/>
  <c r="F1315" i="8"/>
  <c r="I1315" i="8" s="1"/>
  <c r="F1316" i="8"/>
  <c r="I1316" i="8" s="1"/>
  <c r="F1317" i="8"/>
  <c r="I1317" i="8" s="1"/>
  <c r="F1318" i="8"/>
  <c r="I1318" i="8" s="1"/>
  <c r="F1319" i="8"/>
  <c r="I1319" i="8" s="1"/>
  <c r="F1320" i="8"/>
  <c r="I1320" i="8" s="1"/>
  <c r="F1321" i="8"/>
  <c r="I1321" i="8" s="1"/>
  <c r="F1322" i="8"/>
  <c r="I1322" i="8" s="1"/>
  <c r="F1323" i="8"/>
  <c r="I1323" i="8" s="1"/>
  <c r="F1324" i="8"/>
  <c r="I1324" i="8" s="1"/>
  <c r="F1325" i="8"/>
  <c r="I1325" i="8" s="1"/>
  <c r="F1326" i="8"/>
  <c r="I1326" i="8" s="1"/>
  <c r="F1327" i="8"/>
  <c r="I1327" i="8" s="1"/>
  <c r="F1328" i="8"/>
  <c r="I1328" i="8" s="1"/>
  <c r="F1329" i="8"/>
  <c r="I1329" i="8" s="1"/>
  <c r="F1330" i="8"/>
  <c r="I1330" i="8" s="1"/>
  <c r="F1331" i="8"/>
  <c r="I1331" i="8" s="1"/>
  <c r="F1332" i="8"/>
  <c r="I1332" i="8" s="1"/>
  <c r="F1333" i="8"/>
  <c r="I1333" i="8" s="1"/>
  <c r="F1334" i="8"/>
  <c r="I1334" i="8" s="1"/>
  <c r="F1335" i="8"/>
  <c r="I1335" i="8" s="1"/>
  <c r="F1336" i="8"/>
  <c r="I1336" i="8" s="1"/>
  <c r="F1337" i="8"/>
  <c r="I1337" i="8" s="1"/>
  <c r="F1338" i="8"/>
  <c r="I1338" i="8" s="1"/>
  <c r="F1339" i="8"/>
  <c r="I1339" i="8" s="1"/>
  <c r="F1340" i="8"/>
  <c r="I1340" i="8" s="1"/>
  <c r="F1341" i="8"/>
  <c r="I1341" i="8" s="1"/>
  <c r="F1342" i="8"/>
  <c r="I1342" i="8" s="1"/>
  <c r="F1343" i="8"/>
  <c r="I1343" i="8" s="1"/>
  <c r="F1344" i="8"/>
  <c r="I1344" i="8" s="1"/>
  <c r="F1345" i="8"/>
  <c r="I1345" i="8" s="1"/>
  <c r="F1346" i="8"/>
  <c r="I1346" i="8" s="1"/>
  <c r="F1347" i="8"/>
  <c r="I1347" i="8" s="1"/>
  <c r="F1348" i="8"/>
  <c r="I1348" i="8" s="1"/>
  <c r="F1349" i="8"/>
  <c r="I1349" i="8" s="1"/>
  <c r="F1350" i="8"/>
  <c r="I1350" i="8" s="1"/>
  <c r="F1351" i="8"/>
  <c r="I1351" i="8" s="1"/>
  <c r="F1352" i="8"/>
  <c r="I1352" i="8" s="1"/>
  <c r="F1353" i="8"/>
  <c r="I1353" i="8" s="1"/>
  <c r="F1354" i="8"/>
  <c r="I1354" i="8" s="1"/>
  <c r="F1355" i="8"/>
  <c r="I1355" i="8" s="1"/>
  <c r="F1356" i="8"/>
  <c r="I1356" i="8" s="1"/>
  <c r="F1357" i="8"/>
  <c r="I1357" i="8" s="1"/>
  <c r="F1358" i="8"/>
  <c r="I1358" i="8" s="1"/>
  <c r="F1359" i="8"/>
  <c r="I1359" i="8" s="1"/>
  <c r="F1360" i="8"/>
  <c r="I1360" i="8" s="1"/>
  <c r="F1361" i="8"/>
  <c r="I1361" i="8" s="1"/>
  <c r="F1362" i="8"/>
  <c r="I1362" i="8" s="1"/>
  <c r="F1363" i="8"/>
  <c r="I1363" i="8" s="1"/>
  <c r="F1364" i="8"/>
  <c r="I1364" i="8" s="1"/>
  <c r="F1365" i="8"/>
  <c r="I1365" i="8" s="1"/>
  <c r="F1366" i="8"/>
  <c r="I1366" i="8" s="1"/>
  <c r="F1367" i="8"/>
  <c r="I1367" i="8" s="1"/>
  <c r="F1368" i="8"/>
  <c r="I1368" i="8" s="1"/>
  <c r="F1369" i="8"/>
  <c r="I1369" i="8" s="1"/>
  <c r="F1370" i="8"/>
  <c r="I1370" i="8" s="1"/>
  <c r="F1371" i="8"/>
  <c r="I1371" i="8" s="1"/>
  <c r="F1372" i="8"/>
  <c r="I1372" i="8" s="1"/>
  <c r="F1373" i="8"/>
  <c r="I1373" i="8" s="1"/>
  <c r="F1374" i="8"/>
  <c r="I1374" i="8" s="1"/>
  <c r="F1375" i="8"/>
  <c r="I1375" i="8" s="1"/>
  <c r="F1376" i="8"/>
  <c r="I1376" i="8" s="1"/>
  <c r="F1377" i="8"/>
  <c r="I1377" i="8" s="1"/>
  <c r="F1378" i="8"/>
  <c r="I1378" i="8" s="1"/>
  <c r="F1379" i="8"/>
  <c r="I1379" i="8" s="1"/>
  <c r="F1380" i="8"/>
  <c r="I1380" i="8" s="1"/>
  <c r="F1381" i="8"/>
  <c r="I1381" i="8" s="1"/>
  <c r="F1382" i="8"/>
  <c r="I1382" i="8" s="1"/>
  <c r="F1383" i="8"/>
  <c r="I1383" i="8" s="1"/>
  <c r="F1384" i="8"/>
  <c r="I1384" i="8" s="1"/>
  <c r="F1385" i="8"/>
  <c r="I1385" i="8" s="1"/>
  <c r="F1386" i="8"/>
  <c r="I1386" i="8" s="1"/>
  <c r="F1387" i="8"/>
  <c r="I1387" i="8" s="1"/>
  <c r="F1388" i="8"/>
  <c r="I1388" i="8" s="1"/>
  <c r="F1389" i="8"/>
  <c r="I1389" i="8" s="1"/>
  <c r="F1390" i="8"/>
  <c r="I1390" i="8" s="1"/>
  <c r="F1391" i="8"/>
  <c r="I1391" i="8" s="1"/>
  <c r="F1392" i="8"/>
  <c r="I1392" i="8" s="1"/>
  <c r="F1393" i="8"/>
  <c r="I1393" i="8" s="1"/>
  <c r="F1394" i="8"/>
  <c r="I1394" i="8" s="1"/>
  <c r="F1395" i="8"/>
  <c r="I1395" i="8" s="1"/>
  <c r="F1396" i="8"/>
  <c r="I1396" i="8" s="1"/>
  <c r="F1397" i="8"/>
  <c r="I1397" i="8" s="1"/>
  <c r="F1398" i="8"/>
  <c r="I1398" i="8" s="1"/>
  <c r="F1399" i="8"/>
  <c r="I1399" i="8" s="1"/>
  <c r="F1400" i="8"/>
  <c r="I1400" i="8" s="1"/>
  <c r="F1401" i="8"/>
  <c r="I1401" i="8" s="1"/>
  <c r="F1402" i="8"/>
  <c r="I1402" i="8" s="1"/>
  <c r="F1403" i="8"/>
  <c r="I1403" i="8" s="1"/>
  <c r="F1404" i="8"/>
  <c r="I1404" i="8" s="1"/>
  <c r="F1405" i="8"/>
  <c r="I1405" i="8" s="1"/>
  <c r="F1406" i="8"/>
  <c r="I1406" i="8" s="1"/>
  <c r="F1407" i="8"/>
  <c r="I1407" i="8" s="1"/>
  <c r="F1408" i="8"/>
  <c r="I1408" i="8" s="1"/>
  <c r="F1409" i="8"/>
  <c r="I1409" i="8" s="1"/>
  <c r="F1410" i="8"/>
  <c r="I1410" i="8" s="1"/>
  <c r="F1411" i="8"/>
  <c r="I1411" i="8" s="1"/>
  <c r="F1412" i="8"/>
  <c r="I1412" i="8" s="1"/>
  <c r="F1413" i="8"/>
  <c r="I1413" i="8" s="1"/>
  <c r="F1414" i="8"/>
  <c r="I1414" i="8" s="1"/>
  <c r="F1415" i="8"/>
  <c r="I1415" i="8" s="1"/>
  <c r="F1416" i="8"/>
  <c r="I1416" i="8" s="1"/>
  <c r="F1417" i="8"/>
  <c r="I1417" i="8" s="1"/>
  <c r="F1418" i="8"/>
  <c r="I1418" i="8" s="1"/>
  <c r="F1419" i="8"/>
  <c r="I1419" i="8" s="1"/>
  <c r="F1420" i="8"/>
  <c r="I1420" i="8" s="1"/>
  <c r="F1421" i="8"/>
  <c r="I1421" i="8" s="1"/>
  <c r="F1422" i="8"/>
  <c r="I1422" i="8" s="1"/>
  <c r="F1423" i="8"/>
  <c r="I1423" i="8" s="1"/>
  <c r="F1424" i="8"/>
  <c r="I1424" i="8" s="1"/>
  <c r="F1425" i="8"/>
  <c r="I1425" i="8" s="1"/>
  <c r="F1426" i="8"/>
  <c r="I1426" i="8" s="1"/>
  <c r="F1427" i="8"/>
  <c r="I1427" i="8" s="1"/>
  <c r="F1428" i="8"/>
  <c r="I1428" i="8" s="1"/>
  <c r="F1429" i="8"/>
  <c r="I1429" i="8" s="1"/>
  <c r="F1430" i="8"/>
  <c r="I1430" i="8" s="1"/>
  <c r="F1431" i="8"/>
  <c r="I1431" i="8" s="1"/>
  <c r="F1432" i="8"/>
  <c r="I1432" i="8" s="1"/>
  <c r="F1433" i="8"/>
  <c r="I1433" i="8" s="1"/>
  <c r="F1434" i="8"/>
  <c r="I1434" i="8" s="1"/>
  <c r="F1435" i="8"/>
  <c r="I1435" i="8" s="1"/>
  <c r="F1436" i="8"/>
  <c r="I1436" i="8" s="1"/>
  <c r="F1437" i="8"/>
  <c r="I1437" i="8" s="1"/>
  <c r="F1438" i="8"/>
  <c r="I1438" i="8" s="1"/>
  <c r="F1439" i="8"/>
  <c r="I1439" i="8" s="1"/>
  <c r="F1440" i="8"/>
  <c r="I1440" i="8" s="1"/>
  <c r="F1441" i="8"/>
  <c r="I1441" i="8" s="1"/>
  <c r="F1442" i="8"/>
  <c r="I1442" i="8" s="1"/>
  <c r="F1443" i="8"/>
  <c r="I1443" i="8" s="1"/>
  <c r="F1444" i="8"/>
  <c r="I1444" i="8" s="1"/>
  <c r="F1445" i="8"/>
  <c r="I1445" i="8" s="1"/>
  <c r="F1446" i="8"/>
  <c r="I1446" i="8" s="1"/>
  <c r="F1447" i="8"/>
  <c r="I1447" i="8" s="1"/>
  <c r="F1448" i="8"/>
  <c r="I1448" i="8" s="1"/>
  <c r="F1449" i="8"/>
  <c r="I1449" i="8" s="1"/>
  <c r="F1450" i="8"/>
  <c r="I1450" i="8" s="1"/>
  <c r="F1451" i="8"/>
  <c r="I1451" i="8" s="1"/>
  <c r="F1452" i="8"/>
  <c r="I1452" i="8" s="1"/>
  <c r="F1453" i="8"/>
  <c r="I1453" i="8" s="1"/>
  <c r="F1454" i="8"/>
  <c r="I1454" i="8" s="1"/>
  <c r="F1455" i="8"/>
  <c r="I1455" i="8" s="1"/>
  <c r="F1456" i="8"/>
  <c r="I1456" i="8" s="1"/>
  <c r="F1457" i="8"/>
  <c r="I1457" i="8" s="1"/>
  <c r="F1458" i="8"/>
  <c r="I1458" i="8" s="1"/>
  <c r="F1459" i="8"/>
  <c r="I1459" i="8" s="1"/>
  <c r="F1460" i="8"/>
  <c r="I1460" i="8" s="1"/>
  <c r="F1461" i="8"/>
  <c r="I1461" i="8" s="1"/>
  <c r="F1462" i="8"/>
  <c r="I1462" i="8" s="1"/>
  <c r="F1463" i="8"/>
  <c r="I1463" i="8" s="1"/>
  <c r="F1464" i="8"/>
  <c r="I1464" i="8" s="1"/>
  <c r="F1465" i="8"/>
  <c r="I1465" i="8" s="1"/>
  <c r="F1466" i="8"/>
  <c r="I1466" i="8" s="1"/>
  <c r="F1467" i="8"/>
  <c r="I1467" i="8" s="1"/>
  <c r="F1468" i="8"/>
  <c r="I1468" i="8" s="1"/>
  <c r="F1469" i="8"/>
  <c r="I1469" i="8" s="1"/>
  <c r="F1470" i="8"/>
  <c r="I1470" i="8" s="1"/>
  <c r="F1471" i="8"/>
  <c r="I1471" i="8" s="1"/>
  <c r="F1472" i="8"/>
  <c r="I1472" i="8" s="1"/>
  <c r="F1473" i="8"/>
  <c r="I1473" i="8" s="1"/>
  <c r="F1474" i="8"/>
  <c r="I1474" i="8" s="1"/>
  <c r="F1475" i="8"/>
  <c r="I1475" i="8" s="1"/>
  <c r="F1476" i="8"/>
  <c r="I1476" i="8" s="1"/>
  <c r="F1477" i="8"/>
  <c r="I1477" i="8" s="1"/>
  <c r="F1478" i="8"/>
  <c r="I1478" i="8" s="1"/>
  <c r="F1479" i="8"/>
  <c r="I1479" i="8" s="1"/>
  <c r="F1480" i="8"/>
  <c r="I1480" i="8" s="1"/>
  <c r="F1481" i="8"/>
  <c r="I1481" i="8" s="1"/>
  <c r="F1482" i="8"/>
  <c r="I1482" i="8" s="1"/>
  <c r="F1483" i="8"/>
  <c r="I1483" i="8" s="1"/>
  <c r="F1484" i="8"/>
  <c r="I1484" i="8" s="1"/>
  <c r="F1485" i="8"/>
  <c r="I1485" i="8" s="1"/>
  <c r="F1486" i="8"/>
  <c r="I1486" i="8" s="1"/>
  <c r="F1487" i="8"/>
  <c r="I1487" i="8" s="1"/>
  <c r="F1488" i="8"/>
  <c r="I1488" i="8" s="1"/>
  <c r="F1489" i="8"/>
  <c r="I1489" i="8" s="1"/>
  <c r="F1490" i="8"/>
  <c r="I1490" i="8" s="1"/>
  <c r="F1491" i="8"/>
  <c r="I1491" i="8" s="1"/>
  <c r="F1492" i="8"/>
  <c r="I1492" i="8" s="1"/>
  <c r="F1493" i="8"/>
  <c r="I1493" i="8" s="1"/>
  <c r="F1494" i="8"/>
  <c r="I1494" i="8" s="1"/>
  <c r="F1495" i="8"/>
  <c r="I1495" i="8" s="1"/>
  <c r="F1496" i="8"/>
  <c r="I1496" i="8" s="1"/>
  <c r="F1497" i="8"/>
  <c r="I1497" i="8" s="1"/>
  <c r="F1498" i="8"/>
  <c r="I1498" i="8" s="1"/>
  <c r="F1499" i="8"/>
  <c r="I1499" i="8" s="1"/>
  <c r="F1500" i="8"/>
  <c r="I1500" i="8" s="1"/>
  <c r="F1501" i="8"/>
  <c r="I1501" i="8" s="1"/>
  <c r="F1502" i="8"/>
  <c r="I1502" i="8" s="1"/>
  <c r="F1503" i="8"/>
  <c r="I1503" i="8" s="1"/>
  <c r="F1504" i="8"/>
  <c r="I1504" i="8" s="1"/>
  <c r="F1505" i="8"/>
  <c r="I1505" i="8" s="1"/>
  <c r="F1506" i="8"/>
  <c r="I1506" i="8" s="1"/>
  <c r="F1507" i="8"/>
  <c r="I1507" i="8" s="1"/>
  <c r="F1508" i="8"/>
  <c r="I1508" i="8" s="1"/>
  <c r="F1509" i="8"/>
  <c r="I1509" i="8" s="1"/>
  <c r="F1510" i="8"/>
  <c r="I1510" i="8" s="1"/>
  <c r="F1511" i="8"/>
  <c r="I1511" i="8" s="1"/>
  <c r="F1512" i="8"/>
  <c r="I1512" i="8" s="1"/>
  <c r="F1513" i="8"/>
  <c r="I1513" i="8" s="1"/>
  <c r="F1514" i="8"/>
  <c r="I1514" i="8" s="1"/>
  <c r="F1515" i="8"/>
  <c r="I1515" i="8" s="1"/>
  <c r="F1516" i="8"/>
  <c r="I1516" i="8" s="1"/>
  <c r="F1517" i="8"/>
  <c r="I1517" i="8" s="1"/>
  <c r="F1518" i="8"/>
  <c r="I1518" i="8" s="1"/>
  <c r="F1519" i="8"/>
  <c r="I1519" i="8" s="1"/>
  <c r="F1520" i="8"/>
  <c r="I1520" i="8" s="1"/>
  <c r="F1521" i="8"/>
  <c r="I1521" i="8" s="1"/>
  <c r="F1522" i="8"/>
  <c r="I1522" i="8" s="1"/>
  <c r="F1523" i="8"/>
  <c r="I1523" i="8" s="1"/>
  <c r="F1524" i="8"/>
  <c r="I1524" i="8" s="1"/>
  <c r="F1525" i="8"/>
  <c r="I1525" i="8" s="1"/>
  <c r="F1526" i="8"/>
  <c r="I1526" i="8" s="1"/>
  <c r="F1527" i="8"/>
  <c r="I1527" i="8" s="1"/>
  <c r="F1528" i="8"/>
  <c r="I1528" i="8" s="1"/>
  <c r="F1529" i="8"/>
  <c r="I1529" i="8" s="1"/>
  <c r="F1530" i="8"/>
  <c r="I1530" i="8" s="1"/>
  <c r="F1531" i="8"/>
  <c r="I1531" i="8" s="1"/>
  <c r="F1532" i="8"/>
  <c r="I1532" i="8" s="1"/>
  <c r="F1533" i="8"/>
  <c r="I1533" i="8" s="1"/>
  <c r="F1534" i="8"/>
  <c r="I1534" i="8" s="1"/>
  <c r="F1535" i="8"/>
  <c r="I1535" i="8" s="1"/>
  <c r="F1536" i="8"/>
  <c r="I1536" i="8" s="1"/>
  <c r="F1537" i="8"/>
  <c r="I1537" i="8" s="1"/>
  <c r="F1538" i="8"/>
  <c r="I1538" i="8" s="1"/>
  <c r="F1539" i="8"/>
  <c r="I1539" i="8" s="1"/>
  <c r="F1540" i="8"/>
  <c r="I1540" i="8" s="1"/>
  <c r="F1541" i="8"/>
  <c r="I1541" i="8" s="1"/>
  <c r="F1542" i="8"/>
  <c r="I1542" i="8" s="1"/>
  <c r="F1543" i="8"/>
  <c r="I1543" i="8" s="1"/>
  <c r="F1544" i="8"/>
  <c r="I1544" i="8" s="1"/>
  <c r="F1545" i="8"/>
  <c r="I1545" i="8" s="1"/>
  <c r="F1546" i="8"/>
  <c r="I1546" i="8" s="1"/>
  <c r="F1547" i="8"/>
  <c r="I1547" i="8" s="1"/>
  <c r="F1548" i="8"/>
  <c r="I1548" i="8" s="1"/>
  <c r="F1549" i="8"/>
  <c r="I1549" i="8" s="1"/>
  <c r="F1550" i="8"/>
  <c r="I1550" i="8" s="1"/>
  <c r="F1551" i="8"/>
  <c r="I1551" i="8" s="1"/>
  <c r="F1552" i="8"/>
  <c r="I1552" i="8" s="1"/>
  <c r="F1553" i="8"/>
  <c r="I1553" i="8" s="1"/>
  <c r="F1554" i="8"/>
  <c r="I1554" i="8" s="1"/>
  <c r="F1555" i="8"/>
  <c r="I1555" i="8" s="1"/>
  <c r="F1556" i="8"/>
  <c r="I1556" i="8" s="1"/>
  <c r="F1557" i="8"/>
  <c r="I1557" i="8" s="1"/>
  <c r="F1558" i="8"/>
  <c r="I1558" i="8" s="1"/>
  <c r="F1559" i="8"/>
  <c r="I1559" i="8" s="1"/>
  <c r="F1560" i="8"/>
  <c r="I1560" i="8" s="1"/>
  <c r="F1561" i="8"/>
  <c r="I1561" i="8" s="1"/>
  <c r="F1562" i="8"/>
  <c r="I1562" i="8" s="1"/>
  <c r="F1563" i="8"/>
  <c r="I1563" i="8" s="1"/>
  <c r="F1564" i="8"/>
  <c r="I1564" i="8" s="1"/>
  <c r="F1565" i="8"/>
  <c r="I1565" i="8" s="1"/>
  <c r="F1566" i="8"/>
  <c r="I1566" i="8" s="1"/>
  <c r="F1567" i="8"/>
  <c r="I1567" i="8" s="1"/>
  <c r="F1568" i="8"/>
  <c r="I1568" i="8" s="1"/>
  <c r="F1569" i="8"/>
  <c r="I1569" i="8" s="1"/>
  <c r="F1570" i="8"/>
  <c r="I1570" i="8" s="1"/>
  <c r="F1571" i="8"/>
  <c r="I1571" i="8" s="1"/>
  <c r="F1572" i="8"/>
  <c r="I1572" i="8" s="1"/>
  <c r="F1573" i="8"/>
  <c r="I1573" i="8" s="1"/>
  <c r="F1574" i="8"/>
  <c r="I1574" i="8" s="1"/>
  <c r="F1575" i="8"/>
  <c r="I1575" i="8" s="1"/>
  <c r="F1576" i="8"/>
  <c r="I1576" i="8" s="1"/>
  <c r="F1577" i="8"/>
  <c r="I1577" i="8" s="1"/>
  <c r="F1578" i="8"/>
  <c r="I1578" i="8" s="1"/>
  <c r="F1579" i="8"/>
  <c r="I1579" i="8" s="1"/>
  <c r="F1580" i="8"/>
  <c r="I1580" i="8" s="1"/>
  <c r="F1581" i="8"/>
  <c r="I1581" i="8" s="1"/>
  <c r="F1582" i="8"/>
  <c r="I1582" i="8" s="1"/>
  <c r="F1583" i="8"/>
  <c r="I1583" i="8" s="1"/>
  <c r="F1584" i="8"/>
  <c r="I1584" i="8" s="1"/>
  <c r="F1585" i="8"/>
  <c r="I1585" i="8" s="1"/>
  <c r="F1586" i="8"/>
  <c r="I1586" i="8" s="1"/>
  <c r="F1587" i="8"/>
  <c r="I1587" i="8" s="1"/>
  <c r="F1588" i="8"/>
  <c r="I1588" i="8" s="1"/>
  <c r="F1589" i="8"/>
  <c r="I1589" i="8" s="1"/>
  <c r="F1590" i="8"/>
  <c r="I1590" i="8" s="1"/>
  <c r="F1591" i="8"/>
  <c r="I1591" i="8" s="1"/>
  <c r="F1592" i="8"/>
  <c r="I1592" i="8" s="1"/>
  <c r="F1593" i="8"/>
  <c r="I1593" i="8" s="1"/>
  <c r="F1594" i="8"/>
  <c r="I1594" i="8" s="1"/>
  <c r="F1595" i="8"/>
  <c r="I1595" i="8" s="1"/>
  <c r="F1596" i="8"/>
  <c r="I1596" i="8" s="1"/>
  <c r="F1597" i="8"/>
  <c r="I1597" i="8" s="1"/>
  <c r="F1598" i="8"/>
  <c r="I1598" i="8" s="1"/>
  <c r="F1599" i="8"/>
  <c r="I1599" i="8" s="1"/>
  <c r="F1600" i="8"/>
  <c r="I1600" i="8" s="1"/>
  <c r="F1601" i="8"/>
  <c r="I1601" i="8" s="1"/>
  <c r="F1602" i="8"/>
  <c r="I1602" i="8" s="1"/>
  <c r="F1603" i="8"/>
  <c r="I1603" i="8" s="1"/>
  <c r="F1604" i="8"/>
  <c r="I1604" i="8" s="1"/>
  <c r="F1605" i="8"/>
  <c r="I1605" i="8" s="1"/>
  <c r="F1606" i="8"/>
  <c r="I1606" i="8" s="1"/>
  <c r="F1607" i="8"/>
  <c r="I1607" i="8" s="1"/>
  <c r="F1608" i="8"/>
  <c r="I1608" i="8" s="1"/>
  <c r="F1609" i="8"/>
  <c r="I1609" i="8" s="1"/>
  <c r="F1610" i="8"/>
  <c r="I1610" i="8" s="1"/>
  <c r="F1611" i="8"/>
  <c r="I1611" i="8" s="1"/>
  <c r="F1612" i="8"/>
  <c r="I1612" i="8" s="1"/>
  <c r="F1613" i="8"/>
  <c r="I1613" i="8" s="1"/>
  <c r="F1614" i="8"/>
  <c r="I1614" i="8" s="1"/>
  <c r="F1615" i="8"/>
  <c r="I1615" i="8" s="1"/>
  <c r="F1616" i="8"/>
  <c r="I1616" i="8" s="1"/>
  <c r="F1617" i="8"/>
  <c r="I1617" i="8" s="1"/>
  <c r="F1618" i="8"/>
  <c r="I1618" i="8" s="1"/>
  <c r="F1619" i="8"/>
  <c r="I1619" i="8" s="1"/>
  <c r="F1620" i="8"/>
  <c r="I1620" i="8" s="1"/>
  <c r="F1621" i="8"/>
  <c r="I1621" i="8" s="1"/>
  <c r="F1622" i="8"/>
  <c r="I1622" i="8" s="1"/>
  <c r="F1623" i="8"/>
  <c r="I1623" i="8" s="1"/>
  <c r="F1624" i="8"/>
  <c r="I1624" i="8" s="1"/>
  <c r="F1625" i="8"/>
  <c r="I1625" i="8" s="1"/>
  <c r="F1626" i="8"/>
  <c r="I1626" i="8" s="1"/>
  <c r="F1627" i="8"/>
  <c r="I1627" i="8" s="1"/>
  <c r="F1628" i="8"/>
  <c r="I1628" i="8" s="1"/>
  <c r="F1629" i="8"/>
  <c r="I1629" i="8" s="1"/>
  <c r="F1630" i="8"/>
  <c r="I1630" i="8" s="1"/>
  <c r="F1631" i="8"/>
  <c r="I1631" i="8" s="1"/>
  <c r="F1632" i="8"/>
  <c r="I1632" i="8" s="1"/>
  <c r="F1633" i="8"/>
  <c r="I1633" i="8" s="1"/>
  <c r="F1634" i="8"/>
  <c r="I1634" i="8" s="1"/>
  <c r="F1635" i="8"/>
  <c r="I1635" i="8" s="1"/>
  <c r="F1636" i="8"/>
  <c r="I1636" i="8" s="1"/>
  <c r="F1637" i="8"/>
  <c r="I1637" i="8" s="1"/>
  <c r="F1638" i="8"/>
  <c r="I1638" i="8" s="1"/>
  <c r="F1639" i="8"/>
  <c r="I1639" i="8" s="1"/>
  <c r="F1640" i="8"/>
  <c r="I1640" i="8" s="1"/>
  <c r="F1641" i="8"/>
  <c r="I1641" i="8" s="1"/>
  <c r="F1642" i="8"/>
  <c r="I1642" i="8" s="1"/>
  <c r="F1643" i="8"/>
  <c r="I1643" i="8" s="1"/>
  <c r="F1644" i="8"/>
  <c r="I1644" i="8" s="1"/>
  <c r="F1645" i="8"/>
  <c r="I1645" i="8" s="1"/>
  <c r="F1646" i="8"/>
  <c r="I1646" i="8" s="1"/>
  <c r="F1647" i="8"/>
  <c r="I1647" i="8" s="1"/>
  <c r="F1648" i="8"/>
  <c r="I1648" i="8" s="1"/>
  <c r="F1649" i="8"/>
  <c r="I1649" i="8" s="1"/>
  <c r="F1650" i="8"/>
  <c r="I1650" i="8" s="1"/>
  <c r="F1651" i="8"/>
  <c r="I1651" i="8" s="1"/>
  <c r="F1652" i="8"/>
  <c r="I1652" i="8" s="1"/>
  <c r="F1653" i="8"/>
  <c r="I1653" i="8" s="1"/>
  <c r="F1654" i="8"/>
  <c r="I1654" i="8" s="1"/>
  <c r="F1655" i="8"/>
  <c r="I1655" i="8" s="1"/>
  <c r="F1656" i="8"/>
  <c r="I1656" i="8" s="1"/>
  <c r="F1657" i="8"/>
  <c r="I1657" i="8" s="1"/>
  <c r="F1658" i="8"/>
  <c r="I1658" i="8" s="1"/>
  <c r="F1659" i="8"/>
  <c r="I1659" i="8" s="1"/>
  <c r="F1660" i="8"/>
  <c r="I1660" i="8" s="1"/>
  <c r="F1661" i="8"/>
  <c r="I1661" i="8" s="1"/>
  <c r="F1662" i="8"/>
  <c r="I1662" i="8" s="1"/>
  <c r="F1663" i="8"/>
  <c r="I1663" i="8" s="1"/>
  <c r="F1664" i="8"/>
  <c r="I1664" i="8" s="1"/>
  <c r="F1665" i="8"/>
  <c r="I1665" i="8" s="1"/>
  <c r="F1666" i="8"/>
  <c r="I1666" i="8" s="1"/>
  <c r="F1667" i="8"/>
  <c r="I1667" i="8" s="1"/>
  <c r="F1668" i="8"/>
  <c r="I1668" i="8" s="1"/>
  <c r="F1669" i="8"/>
  <c r="I1669" i="8" s="1"/>
  <c r="F1670" i="8"/>
  <c r="I1670" i="8" s="1"/>
  <c r="F1671" i="8"/>
  <c r="I1671" i="8" s="1"/>
  <c r="F1672" i="8"/>
  <c r="I1672" i="8" s="1"/>
  <c r="F1673" i="8"/>
  <c r="I1673" i="8" s="1"/>
  <c r="F1674" i="8"/>
  <c r="I1674" i="8" s="1"/>
  <c r="F1675" i="8"/>
  <c r="I1675" i="8" s="1"/>
  <c r="F1676" i="8"/>
  <c r="I1676" i="8" s="1"/>
  <c r="F1677" i="8"/>
  <c r="I1677" i="8" s="1"/>
  <c r="F1678" i="8"/>
  <c r="I1678" i="8" s="1"/>
  <c r="F1679" i="8"/>
  <c r="I1679" i="8" s="1"/>
  <c r="F1680" i="8"/>
  <c r="I1680" i="8" s="1"/>
  <c r="F1681" i="8"/>
  <c r="I1681" i="8" s="1"/>
  <c r="F1682" i="8"/>
  <c r="I1682" i="8" s="1"/>
  <c r="F1683" i="8"/>
  <c r="I1683" i="8" s="1"/>
  <c r="F1684" i="8"/>
  <c r="I1684" i="8" s="1"/>
  <c r="F1685" i="8"/>
  <c r="I1685" i="8" s="1"/>
  <c r="F1686" i="8"/>
  <c r="I1686" i="8" s="1"/>
  <c r="F1687" i="8"/>
  <c r="I1687" i="8" s="1"/>
  <c r="F1688" i="8"/>
  <c r="I1688" i="8" s="1"/>
  <c r="F1689" i="8"/>
  <c r="I1689" i="8" s="1"/>
  <c r="F1690" i="8"/>
  <c r="I1690" i="8" s="1"/>
  <c r="F1691" i="8"/>
  <c r="I1691" i="8" s="1"/>
  <c r="F1692" i="8"/>
  <c r="I1692" i="8" s="1"/>
  <c r="F1693" i="8"/>
  <c r="I1693" i="8" s="1"/>
  <c r="F1694" i="8"/>
  <c r="I1694" i="8" s="1"/>
  <c r="F1695" i="8"/>
  <c r="I1695" i="8" s="1"/>
  <c r="F1696" i="8"/>
  <c r="I1696" i="8" s="1"/>
  <c r="F1697" i="8"/>
  <c r="I1697" i="8" s="1"/>
  <c r="F1698" i="8"/>
  <c r="I1698" i="8" s="1"/>
  <c r="F1699" i="8"/>
  <c r="I1699" i="8" s="1"/>
  <c r="F1700" i="8"/>
  <c r="I1700" i="8" s="1"/>
  <c r="F1701" i="8"/>
  <c r="I1701" i="8" s="1"/>
  <c r="F1702" i="8"/>
  <c r="I1702" i="8" s="1"/>
  <c r="F1703" i="8"/>
  <c r="I1703" i="8" s="1"/>
  <c r="F1704" i="8"/>
  <c r="I1704" i="8" s="1"/>
  <c r="F1705" i="8"/>
  <c r="I1705" i="8" s="1"/>
  <c r="F1706" i="8"/>
  <c r="I1706" i="8" s="1"/>
  <c r="F1707" i="8"/>
  <c r="I1707" i="8" s="1"/>
  <c r="F1708" i="8"/>
  <c r="I1708" i="8" s="1"/>
  <c r="F1709" i="8"/>
  <c r="I1709" i="8" s="1"/>
  <c r="F1710" i="8"/>
  <c r="I1710" i="8" s="1"/>
  <c r="F1711" i="8"/>
  <c r="I1711" i="8" s="1"/>
  <c r="F1712" i="8"/>
  <c r="I1712" i="8" s="1"/>
  <c r="F1713" i="8"/>
  <c r="I1713" i="8" s="1"/>
  <c r="F1714" i="8"/>
  <c r="I1714" i="8" s="1"/>
  <c r="F1715" i="8"/>
  <c r="I1715" i="8" s="1"/>
  <c r="F1716" i="8"/>
  <c r="I1716" i="8" s="1"/>
  <c r="F1717" i="8"/>
  <c r="I1717" i="8" s="1"/>
  <c r="F1718" i="8"/>
  <c r="I1718" i="8" s="1"/>
  <c r="F1719" i="8"/>
  <c r="I1719" i="8" s="1"/>
  <c r="F1720" i="8"/>
  <c r="I1720" i="8" s="1"/>
  <c r="F1721" i="8"/>
  <c r="I1721" i="8" s="1"/>
  <c r="F1722" i="8"/>
  <c r="I1722" i="8" s="1"/>
  <c r="F1723" i="8"/>
  <c r="I1723" i="8" s="1"/>
  <c r="F1724" i="8"/>
  <c r="I1724" i="8" s="1"/>
  <c r="F1725" i="8"/>
  <c r="I1725" i="8" s="1"/>
  <c r="F1726" i="8"/>
  <c r="I1726" i="8" s="1"/>
  <c r="F1727" i="8"/>
  <c r="I1727" i="8" s="1"/>
  <c r="F1728" i="8"/>
  <c r="I1728" i="8" s="1"/>
  <c r="F1729" i="8"/>
  <c r="I1729" i="8" s="1"/>
  <c r="F1730" i="8"/>
  <c r="I1730" i="8" s="1"/>
  <c r="F1731" i="8"/>
  <c r="I1731" i="8" s="1"/>
  <c r="F1732" i="8"/>
  <c r="I1732" i="8" s="1"/>
  <c r="F1733" i="8"/>
  <c r="I1733" i="8" s="1"/>
  <c r="F1734" i="8"/>
  <c r="I1734" i="8" s="1"/>
  <c r="F1735" i="8"/>
  <c r="I1735" i="8" s="1"/>
  <c r="F1736" i="8"/>
  <c r="I1736" i="8" s="1"/>
  <c r="F1737" i="8"/>
  <c r="I1737" i="8" s="1"/>
  <c r="F1738" i="8"/>
  <c r="I1738" i="8" s="1"/>
  <c r="F1739" i="8"/>
  <c r="I1739" i="8" s="1"/>
  <c r="F1740" i="8"/>
  <c r="I1740" i="8" s="1"/>
  <c r="F1741" i="8"/>
  <c r="I1741" i="8" s="1"/>
  <c r="F1742" i="8"/>
  <c r="I1742" i="8" s="1"/>
  <c r="F1743" i="8"/>
  <c r="I1743" i="8" s="1"/>
  <c r="F1744" i="8"/>
  <c r="I1744" i="8" s="1"/>
  <c r="F1745" i="8"/>
  <c r="I1745" i="8" s="1"/>
  <c r="F1746" i="8"/>
  <c r="I1746" i="8" s="1"/>
  <c r="F1747" i="8"/>
  <c r="I1747" i="8" s="1"/>
  <c r="F1748" i="8"/>
  <c r="I1748" i="8" s="1"/>
  <c r="F1749" i="8"/>
  <c r="I1749" i="8" s="1"/>
  <c r="F1750" i="8"/>
  <c r="I1750" i="8" s="1"/>
  <c r="F1751" i="8"/>
  <c r="I1751" i="8" s="1"/>
  <c r="F1752" i="8"/>
  <c r="I1752" i="8" s="1"/>
  <c r="F1753" i="8"/>
  <c r="I1753" i="8" s="1"/>
  <c r="F1754" i="8"/>
  <c r="I1754" i="8" s="1"/>
  <c r="F1755" i="8"/>
  <c r="I1755" i="8" s="1"/>
  <c r="F1756" i="8"/>
  <c r="I1756" i="8" s="1"/>
  <c r="F1757" i="8"/>
  <c r="I1757" i="8" s="1"/>
  <c r="F1758" i="8"/>
  <c r="I1758" i="8" s="1"/>
  <c r="F1759" i="8"/>
  <c r="I1759" i="8" s="1"/>
  <c r="F1760" i="8"/>
  <c r="I1760" i="8" s="1"/>
  <c r="F1761" i="8"/>
  <c r="I1761" i="8" s="1"/>
  <c r="F1762" i="8"/>
  <c r="I1762" i="8" s="1"/>
  <c r="F1763" i="8"/>
  <c r="I1763" i="8" s="1"/>
  <c r="F1764" i="8"/>
  <c r="I1764" i="8" s="1"/>
  <c r="F1765" i="8"/>
  <c r="I1765" i="8" s="1"/>
  <c r="F1766" i="8"/>
  <c r="I1766" i="8" s="1"/>
  <c r="F1767" i="8"/>
  <c r="I1767" i="8" s="1"/>
  <c r="F1768" i="8"/>
  <c r="I1768" i="8" s="1"/>
  <c r="F1769" i="8"/>
  <c r="I1769" i="8" s="1"/>
  <c r="F1770" i="8"/>
  <c r="I1770" i="8" s="1"/>
  <c r="F1771" i="8"/>
  <c r="I1771" i="8" s="1"/>
  <c r="F1772" i="8"/>
  <c r="I1772" i="8" s="1"/>
  <c r="F1773" i="8"/>
  <c r="I1773" i="8" s="1"/>
  <c r="F1774" i="8"/>
  <c r="I1774" i="8" s="1"/>
  <c r="F1775" i="8"/>
  <c r="I1775" i="8" s="1"/>
  <c r="F1776" i="8"/>
  <c r="I1776" i="8" s="1"/>
  <c r="F1777" i="8"/>
  <c r="I1777" i="8" s="1"/>
  <c r="F1778" i="8"/>
  <c r="I1778" i="8" s="1"/>
  <c r="F1779" i="8"/>
  <c r="I1779" i="8" s="1"/>
  <c r="F1780" i="8"/>
  <c r="I1780" i="8" s="1"/>
  <c r="F1781" i="8"/>
  <c r="I1781" i="8" s="1"/>
  <c r="F1782" i="8"/>
  <c r="I1782" i="8" s="1"/>
  <c r="F1783" i="8"/>
  <c r="I1783" i="8" s="1"/>
  <c r="F1784" i="8"/>
  <c r="I1784" i="8" s="1"/>
  <c r="F1785" i="8"/>
  <c r="I1785" i="8" s="1"/>
  <c r="F1786" i="8"/>
  <c r="I1786" i="8" s="1"/>
  <c r="F1787" i="8"/>
  <c r="I1787" i="8" s="1"/>
  <c r="F1788" i="8"/>
  <c r="I1788" i="8" s="1"/>
  <c r="F1789" i="8"/>
  <c r="I1789" i="8" s="1"/>
  <c r="F1790" i="8"/>
  <c r="I1790" i="8" s="1"/>
  <c r="F1791" i="8"/>
  <c r="I1791" i="8" s="1"/>
  <c r="F1792" i="8"/>
  <c r="I1792" i="8" s="1"/>
  <c r="F1793" i="8"/>
  <c r="I1793" i="8" s="1"/>
  <c r="F1794" i="8"/>
  <c r="I1794" i="8" s="1"/>
  <c r="F1795" i="8"/>
  <c r="I1795" i="8" s="1"/>
  <c r="F1796" i="8"/>
  <c r="I1796" i="8" s="1"/>
  <c r="F1797" i="8"/>
  <c r="I1797" i="8" s="1"/>
  <c r="F1798" i="8"/>
  <c r="I1798" i="8" s="1"/>
  <c r="F1799" i="8"/>
  <c r="I1799" i="8" s="1"/>
  <c r="F1800" i="8"/>
  <c r="I1800" i="8" s="1"/>
  <c r="F1801" i="8"/>
  <c r="I1801" i="8" s="1"/>
  <c r="F1802" i="8"/>
  <c r="I1802" i="8" s="1"/>
  <c r="F1803" i="8"/>
  <c r="I1803" i="8" s="1"/>
  <c r="F1804" i="8"/>
  <c r="I1804" i="8" s="1"/>
  <c r="F1805" i="8"/>
  <c r="I1805" i="8" s="1"/>
  <c r="F1806" i="8"/>
  <c r="I1806" i="8" s="1"/>
  <c r="F1807" i="8"/>
  <c r="I1807" i="8" s="1"/>
  <c r="F1808" i="8"/>
  <c r="I1808" i="8" s="1"/>
  <c r="F1809" i="8"/>
  <c r="I1809" i="8" s="1"/>
  <c r="F1810" i="8"/>
  <c r="I1810" i="8" s="1"/>
  <c r="F1811" i="8"/>
  <c r="I1811" i="8" s="1"/>
  <c r="F1812" i="8"/>
  <c r="I1812" i="8" s="1"/>
  <c r="F1813" i="8"/>
  <c r="I1813" i="8" s="1"/>
  <c r="F1814" i="8"/>
  <c r="I1814" i="8" s="1"/>
  <c r="F1815" i="8"/>
  <c r="I1815" i="8" s="1"/>
  <c r="F1816" i="8"/>
  <c r="I1816" i="8" s="1"/>
  <c r="F1817" i="8"/>
  <c r="I1817" i="8" s="1"/>
  <c r="F1818" i="8"/>
  <c r="I1818" i="8" s="1"/>
  <c r="F1819" i="8"/>
  <c r="I1819" i="8" s="1"/>
  <c r="F1820" i="8"/>
  <c r="I1820" i="8" s="1"/>
  <c r="F1821" i="8"/>
  <c r="I1821" i="8" s="1"/>
  <c r="F1822" i="8"/>
  <c r="I1822" i="8" s="1"/>
  <c r="F1823" i="8"/>
  <c r="I1823" i="8" s="1"/>
  <c r="F1824" i="8"/>
  <c r="I1824" i="8" s="1"/>
  <c r="F1825" i="8"/>
  <c r="I1825" i="8" s="1"/>
  <c r="F1826" i="8"/>
  <c r="I1826" i="8" s="1"/>
  <c r="F1827" i="8"/>
  <c r="I1827" i="8" s="1"/>
  <c r="F1828" i="8"/>
  <c r="I1828" i="8" s="1"/>
  <c r="F1829" i="8"/>
  <c r="I1829" i="8" s="1"/>
  <c r="F1830" i="8"/>
  <c r="I1830" i="8" s="1"/>
  <c r="F1831" i="8"/>
  <c r="I1831" i="8" s="1"/>
  <c r="F1832" i="8"/>
  <c r="I1832" i="8" s="1"/>
  <c r="F1833" i="8"/>
  <c r="I1833" i="8" s="1"/>
  <c r="F1834" i="8"/>
  <c r="I1834" i="8" s="1"/>
  <c r="F1835" i="8"/>
  <c r="I1835" i="8" s="1"/>
  <c r="F1836" i="8"/>
  <c r="I1836" i="8" s="1"/>
  <c r="F1837" i="8"/>
  <c r="I1837" i="8" s="1"/>
  <c r="F1838" i="8"/>
  <c r="I1838" i="8" s="1"/>
  <c r="F1839" i="8"/>
  <c r="I1839" i="8" s="1"/>
  <c r="F1840" i="8"/>
  <c r="I1840" i="8" s="1"/>
  <c r="F1841" i="8"/>
  <c r="I1841" i="8" s="1"/>
  <c r="F1842" i="8"/>
  <c r="I1842" i="8" s="1"/>
  <c r="F1843" i="8"/>
  <c r="I1843" i="8" s="1"/>
  <c r="F1844" i="8"/>
  <c r="I1844" i="8" s="1"/>
  <c r="F1845" i="8"/>
  <c r="I1845" i="8" s="1"/>
  <c r="F1846" i="8"/>
  <c r="I1846" i="8" s="1"/>
  <c r="F1847" i="8"/>
  <c r="I1847" i="8" s="1"/>
  <c r="F1848" i="8"/>
  <c r="I1848" i="8" s="1"/>
  <c r="F1849" i="8"/>
  <c r="I1849" i="8" s="1"/>
  <c r="F1850" i="8"/>
  <c r="I1850" i="8" s="1"/>
  <c r="F1851" i="8"/>
  <c r="I1851" i="8" s="1"/>
  <c r="F1852" i="8"/>
  <c r="I1852" i="8" s="1"/>
  <c r="F1853" i="8"/>
  <c r="I1853" i="8" s="1"/>
  <c r="F1854" i="8"/>
  <c r="I1854" i="8" s="1"/>
  <c r="F1855" i="8"/>
  <c r="I1855" i="8" s="1"/>
  <c r="F1856" i="8"/>
  <c r="I1856" i="8" s="1"/>
  <c r="F1857" i="8"/>
  <c r="I1857" i="8" s="1"/>
  <c r="F1858" i="8"/>
  <c r="I1858" i="8" s="1"/>
  <c r="F1859" i="8"/>
  <c r="I1859" i="8" s="1"/>
  <c r="F1860" i="8"/>
  <c r="I1860" i="8" s="1"/>
  <c r="F1861" i="8"/>
  <c r="I1861" i="8" s="1"/>
  <c r="F1862" i="8"/>
  <c r="I1862" i="8" s="1"/>
  <c r="F1863" i="8"/>
  <c r="I1863" i="8" s="1"/>
  <c r="F1864" i="8"/>
  <c r="I1864" i="8" s="1"/>
  <c r="F1865" i="8"/>
  <c r="I1865" i="8" s="1"/>
  <c r="F1866" i="8"/>
  <c r="I1866" i="8" s="1"/>
  <c r="F1867" i="8"/>
  <c r="I1867" i="8" s="1"/>
  <c r="F1868" i="8"/>
  <c r="I1868" i="8" s="1"/>
  <c r="F1869" i="8"/>
  <c r="I1869" i="8" s="1"/>
  <c r="F1870" i="8"/>
  <c r="I1870" i="8" s="1"/>
  <c r="F1871" i="8"/>
  <c r="I1871" i="8" s="1"/>
  <c r="F1872" i="8"/>
  <c r="I1872" i="8" s="1"/>
  <c r="F1873" i="8"/>
  <c r="I1873" i="8" s="1"/>
  <c r="F1874" i="8"/>
  <c r="I1874" i="8" s="1"/>
  <c r="F1875" i="8"/>
  <c r="I1875" i="8" s="1"/>
  <c r="F1876" i="8"/>
  <c r="I1876" i="8" s="1"/>
  <c r="F1877" i="8"/>
  <c r="I1877" i="8" s="1"/>
  <c r="F1878" i="8"/>
  <c r="I1878" i="8" s="1"/>
  <c r="F1879" i="8"/>
  <c r="I1879" i="8" s="1"/>
  <c r="F1880" i="8"/>
  <c r="I1880" i="8" s="1"/>
  <c r="F1881" i="8"/>
  <c r="I1881" i="8" s="1"/>
  <c r="F1882" i="8"/>
  <c r="I1882" i="8" s="1"/>
  <c r="F1883" i="8"/>
  <c r="I1883" i="8" s="1"/>
  <c r="F1884" i="8"/>
  <c r="I1884" i="8" s="1"/>
  <c r="F1885" i="8"/>
  <c r="I1885" i="8" s="1"/>
  <c r="F1886" i="8"/>
  <c r="I1886" i="8" s="1"/>
  <c r="F1887" i="8"/>
  <c r="I1887" i="8" s="1"/>
  <c r="F1888" i="8"/>
  <c r="I1888" i="8" s="1"/>
  <c r="F1889" i="8"/>
  <c r="I1889" i="8" s="1"/>
  <c r="F1890" i="8"/>
  <c r="I1890" i="8" s="1"/>
  <c r="F1891" i="8"/>
  <c r="I1891" i="8" s="1"/>
  <c r="F1892" i="8"/>
  <c r="I1892" i="8" s="1"/>
  <c r="F1893" i="8"/>
  <c r="I1893" i="8" s="1"/>
  <c r="F1894" i="8"/>
  <c r="I1894" i="8" s="1"/>
  <c r="F1895" i="8"/>
  <c r="I1895" i="8" s="1"/>
  <c r="F1896" i="8"/>
  <c r="I1896" i="8" s="1"/>
  <c r="F1897" i="8"/>
  <c r="I1897" i="8" s="1"/>
  <c r="F1898" i="8"/>
  <c r="I1898" i="8" s="1"/>
  <c r="F1899" i="8"/>
  <c r="I1899" i="8" s="1"/>
  <c r="F1900" i="8"/>
  <c r="I1900" i="8" s="1"/>
  <c r="F1901" i="8"/>
  <c r="I1901" i="8" s="1"/>
  <c r="F1902" i="8"/>
  <c r="I1902" i="8" s="1"/>
  <c r="F1903" i="8"/>
  <c r="I1903" i="8" s="1"/>
  <c r="F1904" i="8"/>
  <c r="I1904" i="8" s="1"/>
  <c r="F1905" i="8"/>
  <c r="I1905" i="8" s="1"/>
  <c r="F1906" i="8"/>
  <c r="I1906" i="8" s="1"/>
  <c r="F1907" i="8"/>
  <c r="I1907" i="8" s="1"/>
  <c r="F1908" i="8"/>
  <c r="I1908" i="8" s="1"/>
  <c r="F1909" i="8"/>
  <c r="I1909" i="8" s="1"/>
  <c r="F1910" i="8"/>
  <c r="I1910" i="8" s="1"/>
  <c r="F1911" i="8"/>
  <c r="I1911" i="8" s="1"/>
  <c r="F1912" i="8"/>
  <c r="I1912" i="8" s="1"/>
  <c r="F1913" i="8"/>
  <c r="I1913" i="8" s="1"/>
  <c r="F1914" i="8"/>
  <c r="I1914" i="8" s="1"/>
  <c r="F1915" i="8"/>
  <c r="I1915" i="8" s="1"/>
  <c r="F1916" i="8"/>
  <c r="I1916" i="8" s="1"/>
  <c r="F1917" i="8"/>
  <c r="I1917" i="8" s="1"/>
  <c r="F1918" i="8"/>
  <c r="I1918" i="8" s="1"/>
  <c r="F1919" i="8"/>
  <c r="I1919" i="8" s="1"/>
  <c r="F1920" i="8"/>
  <c r="I1920" i="8" s="1"/>
  <c r="F1921" i="8"/>
  <c r="I1921" i="8" s="1"/>
  <c r="F1922" i="8"/>
  <c r="I1922" i="8" s="1"/>
  <c r="F1923" i="8"/>
  <c r="I1923" i="8" s="1"/>
  <c r="F1924" i="8"/>
  <c r="I1924" i="8" s="1"/>
  <c r="F1925" i="8"/>
  <c r="I1925" i="8" s="1"/>
  <c r="F1926" i="8"/>
  <c r="I1926" i="8" s="1"/>
  <c r="F1927" i="8"/>
  <c r="I1927" i="8" s="1"/>
  <c r="F1928" i="8"/>
  <c r="I1928" i="8" s="1"/>
  <c r="F1929" i="8"/>
  <c r="I1929" i="8" s="1"/>
  <c r="F1930" i="8"/>
  <c r="I1930" i="8" s="1"/>
  <c r="F1931" i="8"/>
  <c r="I1931" i="8" s="1"/>
  <c r="F1932" i="8"/>
  <c r="I1932" i="8" s="1"/>
  <c r="F1933" i="8"/>
  <c r="I1933" i="8" s="1"/>
  <c r="F1934" i="8"/>
  <c r="I1934" i="8" s="1"/>
  <c r="F1935" i="8"/>
  <c r="I1935" i="8" s="1"/>
  <c r="F1936" i="8"/>
  <c r="I1936" i="8" s="1"/>
  <c r="F1937" i="8"/>
  <c r="I1937" i="8" s="1"/>
  <c r="F1938" i="8"/>
  <c r="I1938" i="8" s="1"/>
  <c r="F1939" i="8"/>
  <c r="I1939" i="8" s="1"/>
  <c r="F1940" i="8"/>
  <c r="I1940" i="8" s="1"/>
  <c r="F1941" i="8"/>
  <c r="I1941" i="8" s="1"/>
  <c r="F1942" i="8"/>
  <c r="I1942" i="8" s="1"/>
  <c r="F1943" i="8"/>
  <c r="I1943" i="8" s="1"/>
  <c r="F1944" i="8"/>
  <c r="I1944" i="8" s="1"/>
  <c r="F1945" i="8"/>
  <c r="I1945" i="8" s="1"/>
  <c r="F1946" i="8"/>
  <c r="I1946" i="8" s="1"/>
  <c r="F1947" i="8"/>
  <c r="I1947" i="8" s="1"/>
  <c r="F1948" i="8"/>
  <c r="I1948" i="8" s="1"/>
  <c r="F1949" i="8"/>
  <c r="I1949" i="8" s="1"/>
  <c r="F1950" i="8"/>
  <c r="I1950" i="8" s="1"/>
  <c r="F1951" i="8"/>
  <c r="I1951" i="8" s="1"/>
  <c r="F1952" i="8"/>
  <c r="I1952" i="8" s="1"/>
  <c r="F1953" i="8"/>
  <c r="I1953" i="8" s="1"/>
  <c r="F1954" i="8"/>
  <c r="I1954" i="8" s="1"/>
  <c r="F1955" i="8"/>
  <c r="I1955" i="8" s="1"/>
  <c r="F1956" i="8"/>
  <c r="I1956" i="8" s="1"/>
  <c r="F1957" i="8"/>
  <c r="I1957" i="8" s="1"/>
  <c r="F1958" i="8"/>
  <c r="I1958" i="8" s="1"/>
  <c r="F1959" i="8"/>
  <c r="I1959" i="8" s="1"/>
  <c r="F1960" i="8"/>
  <c r="I1960" i="8" s="1"/>
  <c r="F1961" i="8"/>
  <c r="I1961" i="8" s="1"/>
  <c r="F1962" i="8"/>
  <c r="I1962" i="8" s="1"/>
  <c r="F1963" i="8"/>
  <c r="I1963" i="8" s="1"/>
  <c r="F1964" i="8"/>
  <c r="I1964" i="8" s="1"/>
  <c r="F1965" i="8"/>
  <c r="I1965" i="8" s="1"/>
  <c r="F1966" i="8"/>
  <c r="I1966" i="8" s="1"/>
  <c r="F1967" i="8"/>
  <c r="I1967" i="8" s="1"/>
  <c r="F1968" i="8"/>
  <c r="I1968" i="8" s="1"/>
  <c r="F1969" i="8"/>
  <c r="I1969" i="8" s="1"/>
  <c r="F1970" i="8"/>
  <c r="I1970" i="8" s="1"/>
  <c r="F1971" i="8"/>
  <c r="I1971" i="8" s="1"/>
  <c r="F1972" i="8"/>
  <c r="I1972" i="8" s="1"/>
  <c r="F1973" i="8"/>
  <c r="I1973" i="8" s="1"/>
  <c r="F1974" i="8"/>
  <c r="I1974" i="8" s="1"/>
  <c r="F1975" i="8"/>
  <c r="I1975" i="8" s="1"/>
  <c r="F1976" i="8"/>
  <c r="I1976" i="8" s="1"/>
  <c r="F1977" i="8"/>
  <c r="I1977" i="8" s="1"/>
  <c r="F1978" i="8"/>
  <c r="I1978" i="8" s="1"/>
  <c r="F1979" i="8"/>
  <c r="I1979" i="8" s="1"/>
  <c r="F1980" i="8"/>
  <c r="I1980" i="8" s="1"/>
  <c r="F1981" i="8"/>
  <c r="I1981" i="8" s="1"/>
  <c r="F1982" i="8"/>
  <c r="I1982" i="8" s="1"/>
  <c r="F1983" i="8"/>
  <c r="I1983" i="8" s="1"/>
  <c r="F1984" i="8"/>
  <c r="I1984" i="8" s="1"/>
  <c r="F1985" i="8"/>
  <c r="I1985" i="8" s="1"/>
  <c r="F1986" i="8"/>
  <c r="I1986" i="8" s="1"/>
  <c r="F1987" i="8"/>
  <c r="I1987" i="8" s="1"/>
  <c r="F1988" i="8"/>
  <c r="I1988" i="8" s="1"/>
  <c r="F1989" i="8"/>
  <c r="I1989" i="8" s="1"/>
  <c r="F1990" i="8"/>
  <c r="I1990" i="8" s="1"/>
  <c r="F1991" i="8"/>
  <c r="I1991" i="8" s="1"/>
  <c r="F1992" i="8"/>
  <c r="I1992" i="8" s="1"/>
  <c r="F1993" i="8"/>
  <c r="I1993" i="8" s="1"/>
  <c r="F1994" i="8"/>
  <c r="I1994" i="8" s="1"/>
  <c r="F1995" i="8"/>
  <c r="I1995" i="8" s="1"/>
  <c r="F1996" i="8"/>
  <c r="I1996" i="8" s="1"/>
  <c r="F1997" i="8"/>
  <c r="I1997" i="8" s="1"/>
  <c r="F1998" i="8"/>
  <c r="I1998" i="8" s="1"/>
  <c r="F1999" i="8"/>
  <c r="I1999" i="8" s="1"/>
  <c r="F2000" i="8"/>
  <c r="I2000" i="8" s="1"/>
  <c r="F2001" i="8"/>
  <c r="I2001" i="8" s="1"/>
  <c r="F2002" i="8"/>
  <c r="I2002" i="8" s="1"/>
  <c r="F77" i="8"/>
  <c r="I163" i="8" l="1"/>
  <c r="I161" i="8"/>
  <c r="I159" i="8"/>
  <c r="I157" i="8"/>
  <c r="I155" i="8"/>
  <c r="I111" i="8"/>
  <c r="I95" i="8"/>
  <c r="I87" i="8"/>
  <c r="I109" i="8"/>
  <c r="I85" i="8"/>
  <c r="I82" i="8"/>
  <c r="I78" i="8"/>
  <c r="I105" i="8"/>
  <c r="I101" i="8"/>
  <c r="I98" i="8"/>
  <c r="I103" i="8"/>
  <c r="I150" i="8"/>
  <c r="I146" i="8"/>
  <c r="I142" i="8"/>
  <c r="I138" i="8"/>
  <c r="I134" i="8"/>
  <c r="I130" i="8"/>
  <c r="I126" i="8"/>
  <c r="I122" i="8"/>
  <c r="I118" i="8"/>
  <c r="I114" i="8"/>
  <c r="I93" i="8"/>
  <c r="I90" i="8"/>
  <c r="I113" i="8"/>
  <c r="I84" i="8"/>
  <c r="I92" i="8"/>
  <c r="I89" i="8"/>
  <c r="I100" i="8"/>
  <c r="I97" i="8"/>
  <c r="I110" i="8"/>
  <c r="I107" i="8"/>
  <c r="I102" i="8"/>
  <c r="I99" i="8"/>
  <c r="I94" i="8"/>
  <c r="I91" i="8"/>
  <c r="I86" i="8"/>
  <c r="I83" i="8"/>
  <c r="I96" i="8"/>
  <c r="I88" i="8"/>
  <c r="I112" i="8"/>
  <c r="I108" i="8"/>
  <c r="I106" i="8"/>
  <c r="I104" i="8"/>
  <c r="I152" i="8"/>
  <c r="I148" i="8"/>
  <c r="I144" i="8"/>
  <c r="I140" i="8"/>
  <c r="I136" i="8"/>
  <c r="I132" i="8"/>
  <c r="I128" i="8"/>
  <c r="I124" i="8"/>
  <c r="I120" i="8"/>
  <c r="I116" i="8"/>
  <c r="I80" i="8"/>
  <c r="I153" i="8"/>
  <c r="I151" i="8"/>
  <c r="I149" i="8"/>
  <c r="I147" i="8"/>
  <c r="I145" i="8"/>
  <c r="I143" i="8"/>
  <c r="I141" i="8"/>
  <c r="I139" i="8"/>
  <c r="I137" i="8"/>
  <c r="I135" i="8"/>
  <c r="I133" i="8"/>
  <c r="I131" i="8"/>
  <c r="I129" i="8"/>
  <c r="I127" i="8"/>
  <c r="I81" i="8"/>
  <c r="I77" i="8"/>
  <c r="I125" i="8"/>
  <c r="I123" i="8"/>
  <c r="I121" i="8"/>
  <c r="I119" i="8"/>
  <c r="I117" i="8"/>
  <c r="I115" i="8"/>
  <c r="I79" i="8"/>
  <c r="P6" i="19"/>
  <c r="O6" i="19"/>
  <c r="O16" i="14" l="1"/>
  <c r="B14" i="19"/>
  <c r="B17" i="18" s="1"/>
  <c r="B13" i="19"/>
  <c r="B12" i="19"/>
  <c r="B11" i="19"/>
  <c r="B10" i="19"/>
  <c r="B8" i="19"/>
  <c r="B18" i="18" l="1"/>
  <c r="N13" i="12"/>
  <c r="N9" i="12"/>
  <c r="N11" i="12"/>
  <c r="N4" i="12"/>
  <c r="N12" i="12"/>
  <c r="N8" i="12"/>
  <c r="N7" i="12"/>
  <c r="N10" i="12"/>
  <c r="J44" i="19"/>
  <c r="J45" i="19"/>
  <c r="B41" i="11" s="1"/>
  <c r="J46" i="19"/>
  <c r="J47" i="19"/>
  <c r="B43" i="11" s="1"/>
  <c r="J48" i="19"/>
  <c r="J49" i="19"/>
  <c r="B45" i="11" s="1"/>
  <c r="J50" i="19"/>
  <c r="J51" i="19"/>
  <c r="B47" i="11" s="1"/>
  <c r="J52" i="19"/>
  <c r="J53" i="19"/>
  <c r="B49" i="11" s="1"/>
  <c r="J54" i="19"/>
  <c r="J55" i="19"/>
  <c r="B51" i="11" s="1"/>
  <c r="J56" i="19"/>
  <c r="J57" i="19"/>
  <c r="B53" i="11" s="1"/>
  <c r="J58" i="19"/>
  <c r="J59" i="19"/>
  <c r="B55" i="11" s="1"/>
  <c r="J60" i="19"/>
  <c r="J61" i="19"/>
  <c r="B57" i="11" s="1"/>
  <c r="J62" i="19"/>
  <c r="J63" i="19"/>
  <c r="B59" i="11" s="1"/>
  <c r="J64" i="19"/>
  <c r="J65" i="19"/>
  <c r="B61" i="11" s="1"/>
  <c r="J66" i="19"/>
  <c r="J67" i="19"/>
  <c r="B63" i="11" s="1"/>
  <c r="J68" i="19"/>
  <c r="J69" i="19"/>
  <c r="B65" i="11" s="1"/>
  <c r="J70" i="19"/>
  <c r="J71" i="19"/>
  <c r="B67" i="11" s="1"/>
  <c r="J72" i="19"/>
  <c r="J73" i="19"/>
  <c r="B69" i="11" s="1"/>
  <c r="J74" i="19"/>
  <c r="J75" i="19"/>
  <c r="B71" i="11" s="1"/>
  <c r="J76" i="19"/>
  <c r="J77" i="19"/>
  <c r="B73" i="11" s="1"/>
  <c r="J78" i="19"/>
  <c r="J79" i="19"/>
  <c r="B75" i="11" s="1"/>
  <c r="J80" i="19"/>
  <c r="J81" i="19"/>
  <c r="B77" i="11" s="1"/>
  <c r="J82" i="19"/>
  <c r="J83" i="19"/>
  <c r="B79" i="11" s="1"/>
  <c r="J84" i="19"/>
  <c r="J85" i="19"/>
  <c r="B81" i="11" s="1"/>
  <c r="J86" i="19"/>
  <c r="J87" i="19"/>
  <c r="B83" i="11" s="1"/>
  <c r="J88" i="19"/>
  <c r="J43" i="19"/>
  <c r="B39" i="11" s="1"/>
  <c r="K7" i="19"/>
  <c r="K8" i="19"/>
  <c r="J12" i="19"/>
  <c r="B8" i="11" s="1"/>
  <c r="J13" i="19"/>
  <c r="J14" i="19"/>
  <c r="J15" i="19"/>
  <c r="J16" i="19"/>
  <c r="B12" i="11" s="1"/>
  <c r="J17" i="19"/>
  <c r="B13" i="11" s="1"/>
  <c r="J18" i="19"/>
  <c r="J19" i="19"/>
  <c r="B15" i="11" s="1"/>
  <c r="J20" i="19"/>
  <c r="J21" i="19"/>
  <c r="B17" i="11" s="1"/>
  <c r="J22" i="19"/>
  <c r="J23" i="19"/>
  <c r="B19" i="11" s="1"/>
  <c r="J24" i="19"/>
  <c r="J25" i="19"/>
  <c r="B21" i="11" s="1"/>
  <c r="J26" i="19"/>
  <c r="J27" i="19"/>
  <c r="B23" i="11" s="1"/>
  <c r="J28" i="19"/>
  <c r="J29" i="19"/>
  <c r="B25" i="11" s="1"/>
  <c r="J30" i="19"/>
  <c r="J31" i="19"/>
  <c r="B27" i="11" s="1"/>
  <c r="J32" i="19"/>
  <c r="J33" i="19"/>
  <c r="B29" i="11" s="1"/>
  <c r="J34" i="19"/>
  <c r="J35" i="19"/>
  <c r="B31" i="11" s="1"/>
  <c r="J36" i="19"/>
  <c r="J37" i="19"/>
  <c r="B33" i="11" s="1"/>
  <c r="J38" i="19"/>
  <c r="J39" i="19"/>
  <c r="B35" i="11" s="1"/>
  <c r="J40" i="19"/>
  <c r="J41" i="19"/>
  <c r="B37" i="11" s="1"/>
  <c r="J42" i="19"/>
  <c r="J11" i="19"/>
  <c r="B7" i="11" s="1"/>
  <c r="F6" i="19"/>
  <c r="K10" i="19" s="1"/>
  <c r="E6" i="19"/>
  <c r="K9" i="19" s="1"/>
  <c r="B19" i="18"/>
  <c r="B9" i="11"/>
  <c r="B10" i="11"/>
  <c r="B11" i="11"/>
  <c r="B14" i="11"/>
  <c r="B16" i="11"/>
  <c r="B18" i="11"/>
  <c r="B20" i="11"/>
  <c r="B22" i="11"/>
  <c r="B24" i="11"/>
  <c r="B26" i="11"/>
  <c r="B28" i="11"/>
  <c r="B30" i="11"/>
  <c r="B32" i="11"/>
  <c r="B34" i="11"/>
  <c r="B36" i="11"/>
  <c r="B38" i="11"/>
  <c r="B40" i="11"/>
  <c r="B42" i="11"/>
  <c r="B44" i="11"/>
  <c r="B46" i="11"/>
  <c r="B48" i="11"/>
  <c r="B50" i="11"/>
  <c r="B52" i="11"/>
  <c r="B54" i="11"/>
  <c r="B56" i="11"/>
  <c r="B58" i="11"/>
  <c r="B60" i="11"/>
  <c r="B62" i="11"/>
  <c r="B64" i="11"/>
  <c r="B66" i="11"/>
  <c r="B68" i="11"/>
  <c r="B70" i="11"/>
  <c r="B72" i="11"/>
  <c r="B74" i="11"/>
  <c r="B76" i="11"/>
  <c r="B78" i="11"/>
  <c r="B80" i="11"/>
  <c r="B82" i="11"/>
  <c r="B84"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7" i="11"/>
  <c r="F18" i="13"/>
  <c r="F15"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3" i="13"/>
  <c r="B16" i="18"/>
  <c r="B11" i="18"/>
  <c r="B14" i="18"/>
  <c r="B12" i="18"/>
  <c r="G206" i="19"/>
  <c r="G205" i="19"/>
  <c r="G204" i="19"/>
  <c r="G203" i="19"/>
  <c r="G202" i="19"/>
  <c r="G201" i="19"/>
  <c r="G200" i="19"/>
  <c r="G199" i="19"/>
  <c r="G198" i="19"/>
  <c r="G197" i="19"/>
  <c r="G196" i="19"/>
  <c r="G195" i="19"/>
  <c r="G194" i="19"/>
  <c r="G193" i="19"/>
  <c r="G192" i="19"/>
  <c r="G191" i="19"/>
  <c r="G190" i="19"/>
  <c r="G189" i="19"/>
  <c r="G188" i="19"/>
  <c r="G187" i="19"/>
  <c r="G186" i="19"/>
  <c r="G185" i="19"/>
  <c r="G184" i="19"/>
  <c r="G183" i="19"/>
  <c r="G182" i="19"/>
  <c r="G181" i="19"/>
  <c r="G180" i="19"/>
  <c r="G179" i="19"/>
  <c r="G178" i="19"/>
  <c r="G177" i="19"/>
  <c r="G176" i="19"/>
  <c r="G175" i="19"/>
  <c r="G174" i="19"/>
  <c r="G173" i="19"/>
  <c r="G172" i="19"/>
  <c r="G171" i="19"/>
  <c r="G170" i="19"/>
  <c r="G169" i="19"/>
  <c r="G168" i="19"/>
  <c r="G167" i="19"/>
  <c r="G166" i="19"/>
  <c r="G165" i="19"/>
  <c r="G164" i="19"/>
  <c r="G163" i="19"/>
  <c r="G162" i="19"/>
  <c r="G161" i="19"/>
  <c r="G160" i="19"/>
  <c r="G159" i="19"/>
  <c r="G158" i="19"/>
  <c r="G157" i="19"/>
  <c r="G156" i="19"/>
  <c r="G155" i="19"/>
  <c r="G154" i="19"/>
  <c r="G153" i="19"/>
  <c r="G152" i="19"/>
  <c r="G151" i="19"/>
  <c r="G150" i="19"/>
  <c r="G149" i="19"/>
  <c r="G148" i="19"/>
  <c r="G147" i="19"/>
  <c r="G146" i="19"/>
  <c r="G145" i="19"/>
  <c r="G144" i="19"/>
  <c r="G143" i="19"/>
  <c r="G142" i="19"/>
  <c r="G141" i="19"/>
  <c r="G140" i="19"/>
  <c r="G139" i="19"/>
  <c r="G138" i="19"/>
  <c r="G137" i="19"/>
  <c r="G136" i="19"/>
  <c r="G135" i="19"/>
  <c r="G134" i="19"/>
  <c r="G133" i="19"/>
  <c r="G132" i="19"/>
  <c r="G131" i="19"/>
  <c r="G130" i="19"/>
  <c r="G129" i="19"/>
  <c r="G128" i="19"/>
  <c r="G127" i="19"/>
  <c r="G126" i="19"/>
  <c r="G125" i="19"/>
  <c r="G124" i="19"/>
  <c r="G123" i="19"/>
  <c r="G122" i="19"/>
  <c r="G121" i="19"/>
  <c r="G120" i="19"/>
  <c r="G119" i="19"/>
  <c r="G118" i="19"/>
  <c r="G117" i="19"/>
  <c r="G116" i="19"/>
  <c r="G115" i="19"/>
  <c r="G114" i="19"/>
  <c r="G113" i="19"/>
  <c r="G112" i="19"/>
  <c r="G111" i="19"/>
  <c r="G110" i="19"/>
  <c r="G109" i="19"/>
  <c r="G108" i="19"/>
  <c r="G107" i="19"/>
  <c r="G106" i="19"/>
  <c r="G105" i="19"/>
  <c r="G104" i="19"/>
  <c r="G103" i="19"/>
  <c r="G102" i="19"/>
  <c r="G101" i="19"/>
  <c r="G100" i="19"/>
  <c r="G99" i="19"/>
  <c r="G98" i="19"/>
  <c r="G97" i="19"/>
  <c r="G96" i="19"/>
  <c r="G95" i="19"/>
  <c r="G94" i="19"/>
  <c r="G93" i="19"/>
  <c r="G92" i="19"/>
  <c r="G91" i="19"/>
  <c r="G90" i="19"/>
  <c r="G89" i="19"/>
  <c r="G88" i="19"/>
  <c r="G87" i="19"/>
  <c r="G86" i="19"/>
  <c r="G85" i="19"/>
  <c r="G84" i="19"/>
  <c r="G83" i="19"/>
  <c r="G82" i="19"/>
  <c r="G81" i="19"/>
  <c r="G80" i="19"/>
  <c r="G79" i="19"/>
  <c r="G78" i="19"/>
  <c r="G77" i="19"/>
  <c r="G76" i="19"/>
  <c r="G75" i="19"/>
  <c r="G74" i="19"/>
  <c r="G73" i="19"/>
  <c r="G72" i="19"/>
  <c r="G71" i="19"/>
  <c r="G70" i="19"/>
  <c r="G69" i="19"/>
  <c r="G68" i="19"/>
  <c r="G67" i="19"/>
  <c r="G66" i="19"/>
  <c r="G65" i="19"/>
  <c r="G64" i="19"/>
  <c r="G63" i="19"/>
  <c r="G62" i="19"/>
  <c r="G61" i="19"/>
  <c r="G60" i="19"/>
  <c r="G59" i="19"/>
  <c r="G58" i="19"/>
  <c r="G57" i="19"/>
  <c r="G56" i="19"/>
  <c r="G55" i="19"/>
  <c r="G54" i="19"/>
  <c r="G53" i="19"/>
  <c r="G52" i="19"/>
  <c r="G51" i="19"/>
  <c r="G50" i="19"/>
  <c r="G49" i="19"/>
  <c r="G48" i="19"/>
  <c r="G47" i="19"/>
  <c r="G46" i="19"/>
  <c r="G45" i="19"/>
  <c r="G44" i="19"/>
  <c r="G43" i="19"/>
  <c r="G42" i="19"/>
  <c r="G41" i="19"/>
  <c r="G40" i="19"/>
  <c r="G39" i="19"/>
  <c r="G38" i="19"/>
  <c r="G37" i="19"/>
  <c r="G36" i="19"/>
  <c r="G35" i="19"/>
  <c r="G34" i="19"/>
  <c r="G33" i="19"/>
  <c r="G32" i="19"/>
  <c r="G31" i="19"/>
  <c r="G30" i="19"/>
  <c r="G29" i="19"/>
  <c r="G28" i="19"/>
  <c r="G27" i="19"/>
  <c r="G26" i="19"/>
  <c r="G25" i="19"/>
  <c r="G24" i="19"/>
  <c r="G23" i="19"/>
  <c r="G22" i="19"/>
  <c r="G21" i="19"/>
  <c r="G20" i="19"/>
  <c r="G19" i="19"/>
  <c r="G18" i="19"/>
  <c r="G17" i="19"/>
  <c r="G16" i="19"/>
  <c r="G15" i="19"/>
  <c r="G14" i="19"/>
  <c r="G13" i="19"/>
  <c r="G12" i="19"/>
  <c r="G11" i="19"/>
  <c r="G10" i="19"/>
  <c r="G9" i="19"/>
  <c r="G8" i="19"/>
  <c r="G7" i="19"/>
  <c r="B7" i="19"/>
  <c r="B13" i="18" s="1"/>
  <c r="A15" i="18" s="1"/>
  <c r="B15" i="18" s="1"/>
  <c r="G6" i="19" l="1"/>
  <c r="K6" i="19"/>
  <c r="A22" i="19" s="1"/>
  <c r="H1" i="8"/>
  <c r="H2" i="8"/>
  <c r="B2" i="8"/>
  <c r="B1" i="8"/>
  <c r="A71" i="8" s="1"/>
  <c r="I3" i="12"/>
  <c r="I4" i="12"/>
  <c r="I5" i="12"/>
  <c r="I6" i="12"/>
  <c r="I7" i="12"/>
  <c r="I8" i="12"/>
  <c r="I9" i="12"/>
  <c r="I10" i="12"/>
  <c r="I11" i="12"/>
  <c r="I12" i="12"/>
  <c r="I13" i="12"/>
  <c r="I2" i="12"/>
  <c r="B71" i="8" l="1"/>
  <c r="D1" i="8"/>
  <c r="F69" i="8" l="1"/>
  <c r="D54" i="16"/>
  <c r="D55" i="16"/>
  <c r="D56" i="16"/>
  <c r="D58" i="16"/>
  <c r="D59" i="16"/>
  <c r="D60" i="16"/>
  <c r="D62" i="16"/>
  <c r="D63" i="16"/>
  <c r="D64" i="16"/>
  <c r="D66" i="16"/>
  <c r="D68" i="16"/>
  <c r="D70" i="16"/>
  <c r="D72" i="16"/>
  <c r="D74" i="16"/>
  <c r="D76" i="16"/>
  <c r="D44" i="16"/>
  <c r="C89" i="11"/>
  <c r="E8" i="8" s="1"/>
  <c r="C97" i="11" l="1"/>
  <c r="E16" i="8" s="1"/>
  <c r="C85" i="11"/>
  <c r="C93" i="11"/>
  <c r="E12" i="8" s="1"/>
  <c r="C96" i="11"/>
  <c r="E15" i="8" s="1"/>
  <c r="C94" i="11"/>
  <c r="E13" i="8" s="1"/>
  <c r="C92" i="11"/>
  <c r="E11" i="8" s="1"/>
  <c r="C90" i="11"/>
  <c r="E9" i="8" s="1"/>
  <c r="C88" i="11"/>
  <c r="E7" i="8" s="1"/>
  <c r="C86" i="11"/>
  <c r="C95" i="11"/>
  <c r="E14" i="8" s="1"/>
  <c r="C91" i="11"/>
  <c r="E10" i="8" s="1"/>
  <c r="C87" i="11"/>
  <c r="E58" i="8"/>
  <c r="D73" i="16"/>
  <c r="D69" i="16"/>
  <c r="D65" i="16"/>
  <c r="D61" i="16"/>
  <c r="D57" i="16"/>
  <c r="D75" i="16"/>
  <c r="D71" i="16"/>
  <c r="D67" i="16"/>
  <c r="D8" i="16" l="1"/>
  <c r="E22" i="8"/>
  <c r="E3" i="11"/>
  <c r="F3" i="11"/>
  <c r="G3" i="11"/>
  <c r="H3" i="11"/>
  <c r="I3" i="11"/>
  <c r="J3" i="11"/>
  <c r="K3" i="11"/>
  <c r="L3" i="11"/>
  <c r="M3" i="11"/>
  <c r="N3" i="11"/>
  <c r="O3" i="11"/>
  <c r="P3" i="11"/>
  <c r="Q3" i="11"/>
  <c r="R3" i="11"/>
  <c r="S3" i="11"/>
  <c r="T3" i="11"/>
  <c r="U3" i="11"/>
  <c r="V3" i="11"/>
  <c r="W3" i="11"/>
  <c r="X3" i="11"/>
  <c r="Y3" i="11"/>
  <c r="Z3" i="11"/>
  <c r="AA3" i="11"/>
  <c r="AB3" i="11"/>
  <c r="AC3" i="11"/>
  <c r="AD3" i="11"/>
  <c r="AE3" i="11"/>
  <c r="AF3" i="11"/>
  <c r="AG3" i="11"/>
  <c r="AH3" i="11"/>
  <c r="AI3" i="11"/>
  <c r="AJ3" i="11"/>
  <c r="AK3" i="11"/>
  <c r="AL3" i="11"/>
  <c r="AM3" i="11"/>
  <c r="AN3" i="11"/>
  <c r="AO3" i="11"/>
  <c r="AP3" i="11"/>
  <c r="AQ3" i="11"/>
  <c r="AR3" i="11"/>
  <c r="AS3" i="11"/>
  <c r="AT3" i="11"/>
  <c r="AU3" i="11"/>
  <c r="AV3" i="11"/>
  <c r="AW3" i="11"/>
  <c r="AX3" i="11"/>
  <c r="AY3" i="11"/>
  <c r="AZ3" i="11"/>
  <c r="BA3" i="11"/>
  <c r="BB3" i="11"/>
  <c r="BC3" i="11"/>
  <c r="BD3" i="11"/>
  <c r="BE3" i="11"/>
  <c r="BF3" i="11"/>
  <c r="BG3" i="11"/>
  <c r="BH3" i="11"/>
  <c r="BI3" i="11"/>
  <c r="BJ3" i="11"/>
  <c r="BK3" i="11"/>
  <c r="BL3" i="11"/>
  <c r="BM3" i="11"/>
  <c r="BN3" i="11"/>
  <c r="BO3" i="11"/>
  <c r="BP3" i="11"/>
  <c r="BQ3" i="11"/>
  <c r="BR3" i="11"/>
  <c r="BS3" i="11"/>
  <c r="BT3" i="11"/>
  <c r="BU3" i="11"/>
  <c r="BV3" i="11"/>
  <c r="BW3" i="11"/>
  <c r="BX3" i="11"/>
  <c r="BY3" i="11"/>
  <c r="BZ3" i="11"/>
  <c r="CA3" i="11"/>
  <c r="CB3" i="11"/>
  <c r="CC3" i="11"/>
  <c r="CD3" i="11"/>
  <c r="CE3" i="11"/>
  <c r="CF3" i="11"/>
  <c r="CG3" i="11"/>
  <c r="CH3" i="11"/>
  <c r="CI3" i="11"/>
  <c r="CJ3" i="11"/>
  <c r="CK3" i="11"/>
  <c r="CL3" i="11"/>
  <c r="CM3" i="11"/>
  <c r="CN3" i="11"/>
  <c r="CO3" i="11"/>
  <c r="CP3" i="11"/>
  <c r="CQ3" i="11"/>
  <c r="CR3" i="11"/>
  <c r="CS3" i="11"/>
  <c r="CT3" i="11"/>
  <c r="CU3" i="11"/>
  <c r="CV3" i="11"/>
  <c r="CW3" i="11"/>
  <c r="CX3" i="11"/>
  <c r="CY3" i="11"/>
  <c r="CZ3" i="11"/>
  <c r="DA3" i="11"/>
  <c r="DB3" i="11"/>
  <c r="DC3" i="11"/>
  <c r="DD3" i="11"/>
  <c r="DE3" i="11"/>
  <c r="DF3" i="11"/>
  <c r="DG3" i="11"/>
  <c r="DH3" i="11"/>
  <c r="DI3" i="11"/>
  <c r="DJ3" i="11"/>
  <c r="DK3" i="11"/>
  <c r="DL3" i="11"/>
  <c r="DM3" i="11"/>
  <c r="DN3" i="11"/>
  <c r="DO3" i="11"/>
  <c r="DP3" i="11"/>
  <c r="DQ3" i="11"/>
  <c r="DR3" i="11"/>
  <c r="DS3" i="11"/>
  <c r="DT3" i="11"/>
  <c r="DU3" i="11"/>
  <c r="DV3" i="11"/>
  <c r="DW3" i="11"/>
  <c r="DX3" i="11"/>
  <c r="DY3" i="11"/>
  <c r="DZ3" i="11"/>
  <c r="EA3" i="11"/>
  <c r="EB3" i="11"/>
  <c r="EC3" i="11"/>
  <c r="ED3" i="11"/>
  <c r="EE3" i="11"/>
  <c r="EF3" i="11"/>
  <c r="EG3" i="11"/>
  <c r="EH3" i="11"/>
  <c r="EI3" i="11"/>
  <c r="EJ3" i="11"/>
  <c r="EK3" i="11"/>
  <c r="EL3" i="11"/>
  <c r="EM3" i="11"/>
  <c r="EN3" i="11"/>
  <c r="EO3" i="11"/>
  <c r="EP3" i="11"/>
  <c r="EQ3" i="11"/>
  <c r="ER3" i="11"/>
  <c r="ES3" i="11"/>
  <c r="ET3" i="11"/>
  <c r="EU3" i="11"/>
  <c r="EV3" i="11"/>
  <c r="EW3" i="11"/>
  <c r="EX3" i="11"/>
  <c r="EY3" i="11"/>
  <c r="EZ3" i="11"/>
  <c r="FA3" i="11"/>
  <c r="FB3" i="11"/>
  <c r="FC3" i="11"/>
  <c r="FD3" i="11"/>
  <c r="FE3" i="11"/>
  <c r="FF3" i="11"/>
  <c r="FG3" i="11"/>
  <c r="FH3" i="11"/>
  <c r="FI3" i="11"/>
  <c r="FJ3" i="11"/>
  <c r="FK3" i="11"/>
  <c r="FL3" i="11"/>
  <c r="FM3" i="11"/>
  <c r="FN3" i="11"/>
  <c r="FO3" i="11"/>
  <c r="FP3" i="11"/>
  <c r="FQ3" i="11"/>
  <c r="FR3" i="11"/>
  <c r="FS3" i="11"/>
  <c r="FT3" i="11"/>
  <c r="FU3" i="11"/>
  <c r="FV3" i="11"/>
  <c r="FW3" i="11"/>
  <c r="FX3" i="11"/>
  <c r="FY3" i="11"/>
  <c r="FZ3" i="11"/>
  <c r="GA3" i="11"/>
  <c r="GB3" i="11"/>
  <c r="GC3" i="11"/>
  <c r="GD3" i="11"/>
  <c r="GE3" i="11"/>
  <c r="GF3" i="11"/>
  <c r="GG3" i="11"/>
  <c r="GH3" i="11"/>
  <c r="GI3" i="11"/>
  <c r="GJ3" i="11"/>
  <c r="GK3" i="11"/>
  <c r="GL3" i="11"/>
  <c r="GM3" i="11"/>
  <c r="GN3" i="11"/>
  <c r="GO3" i="11"/>
  <c r="GP3" i="11"/>
  <c r="GQ3" i="11"/>
  <c r="GR3" i="11"/>
  <c r="GS3" i="11"/>
  <c r="GT3" i="11"/>
  <c r="GU3" i="11"/>
  <c r="D3" i="11"/>
  <c r="F4" i="16" l="1"/>
  <c r="G4" i="16"/>
  <c r="I4" i="16"/>
  <c r="J4" i="16"/>
  <c r="K4" i="16"/>
  <c r="F5" i="16"/>
  <c r="G5" i="16"/>
  <c r="I5" i="16"/>
  <c r="J5" i="16"/>
  <c r="K5" i="16"/>
  <c r="F6" i="16"/>
  <c r="G6" i="16"/>
  <c r="I6" i="16"/>
  <c r="J6" i="16"/>
  <c r="K6" i="16"/>
  <c r="F7" i="16"/>
  <c r="G7" i="16"/>
  <c r="I7" i="16"/>
  <c r="J7" i="16"/>
  <c r="K7" i="16"/>
  <c r="F8" i="16"/>
  <c r="G8" i="16"/>
  <c r="I8" i="16"/>
  <c r="J8" i="16"/>
  <c r="K8" i="16"/>
  <c r="F9" i="16"/>
  <c r="G9" i="16"/>
  <c r="I9" i="16"/>
  <c r="J9" i="16"/>
  <c r="K9" i="16"/>
  <c r="F10" i="16"/>
  <c r="G10" i="16"/>
  <c r="I10" i="16"/>
  <c r="J10" i="16"/>
  <c r="K10" i="16"/>
  <c r="F11" i="16"/>
  <c r="G11" i="16"/>
  <c r="I11" i="16"/>
  <c r="J11" i="16"/>
  <c r="K11" i="16"/>
  <c r="F12" i="16"/>
  <c r="G12" i="16"/>
  <c r="I12" i="16"/>
  <c r="J12" i="16"/>
  <c r="K12" i="16"/>
  <c r="F13" i="16"/>
  <c r="G13" i="16"/>
  <c r="I13" i="16"/>
  <c r="J13" i="16"/>
  <c r="K13" i="16"/>
  <c r="F14" i="16"/>
  <c r="G14" i="16"/>
  <c r="I14" i="16"/>
  <c r="J14" i="16"/>
  <c r="K14" i="16"/>
  <c r="F15" i="16"/>
  <c r="G15" i="16"/>
  <c r="I15" i="16"/>
  <c r="J15" i="16"/>
  <c r="K15" i="16"/>
  <c r="F16" i="16"/>
  <c r="G16" i="16"/>
  <c r="I16" i="16"/>
  <c r="J16" i="16"/>
  <c r="K16" i="16"/>
  <c r="F17" i="16"/>
  <c r="G17" i="16"/>
  <c r="I17" i="16"/>
  <c r="J17" i="16"/>
  <c r="K17" i="16"/>
  <c r="F18" i="16"/>
  <c r="G18" i="16"/>
  <c r="I18" i="16"/>
  <c r="J18" i="16"/>
  <c r="K18" i="16"/>
  <c r="F19" i="16"/>
  <c r="G19" i="16"/>
  <c r="I19" i="16"/>
  <c r="J19" i="16"/>
  <c r="K19" i="16"/>
  <c r="F20" i="16"/>
  <c r="G20" i="16"/>
  <c r="I20" i="16"/>
  <c r="J20" i="16"/>
  <c r="K20" i="16"/>
  <c r="F21" i="16"/>
  <c r="G21" i="16"/>
  <c r="I21" i="16"/>
  <c r="J21" i="16"/>
  <c r="K21" i="16"/>
  <c r="F22" i="16"/>
  <c r="G22" i="16"/>
  <c r="I22" i="16"/>
  <c r="J22" i="16"/>
  <c r="K22" i="16"/>
  <c r="F23" i="16"/>
  <c r="G23" i="16"/>
  <c r="I23" i="16"/>
  <c r="J23" i="16"/>
  <c r="K23" i="16"/>
  <c r="F24" i="16"/>
  <c r="G24" i="16"/>
  <c r="I24" i="16"/>
  <c r="J24" i="16"/>
  <c r="K24" i="16"/>
  <c r="F25" i="16"/>
  <c r="G25" i="16"/>
  <c r="I25" i="16"/>
  <c r="J25" i="16"/>
  <c r="K25" i="16"/>
  <c r="F26" i="16"/>
  <c r="G26" i="16"/>
  <c r="I26" i="16"/>
  <c r="J26" i="16"/>
  <c r="K26" i="16"/>
  <c r="F27" i="16"/>
  <c r="G27" i="16"/>
  <c r="I27" i="16"/>
  <c r="K27" i="16"/>
  <c r="F28" i="16"/>
  <c r="G28" i="16"/>
  <c r="I28" i="16"/>
  <c r="J28" i="16"/>
  <c r="K28" i="16"/>
  <c r="F29" i="16"/>
  <c r="G29" i="16"/>
  <c r="I29" i="16"/>
  <c r="J29" i="16"/>
  <c r="K29" i="16"/>
  <c r="F30" i="16"/>
  <c r="G30" i="16"/>
  <c r="I30" i="16"/>
  <c r="J30" i="16"/>
  <c r="K30" i="16"/>
  <c r="F31" i="16"/>
  <c r="G31" i="16"/>
  <c r="I31" i="16"/>
  <c r="J31" i="16"/>
  <c r="K31" i="16"/>
  <c r="F32" i="16"/>
  <c r="G32" i="16"/>
  <c r="I32" i="16"/>
  <c r="J32" i="16"/>
  <c r="K32" i="16"/>
  <c r="F33" i="16"/>
  <c r="G33" i="16"/>
  <c r="I33" i="16"/>
  <c r="J33" i="16"/>
  <c r="K33" i="16"/>
  <c r="F34" i="16"/>
  <c r="G34" i="16"/>
  <c r="I34" i="16"/>
  <c r="J34" i="16"/>
  <c r="K34" i="16"/>
  <c r="F35" i="16"/>
  <c r="G35" i="16"/>
  <c r="I35" i="16"/>
  <c r="J35" i="16"/>
  <c r="K35" i="16"/>
  <c r="F36" i="16"/>
  <c r="G36" i="16"/>
  <c r="I36" i="16"/>
  <c r="J36" i="16"/>
  <c r="K36" i="16"/>
  <c r="F37" i="16"/>
  <c r="G37" i="16"/>
  <c r="I37" i="16"/>
  <c r="J37" i="16"/>
  <c r="K37" i="16"/>
  <c r="F38" i="16"/>
  <c r="G38" i="16"/>
  <c r="I38" i="16"/>
  <c r="J38" i="16"/>
  <c r="K38" i="16"/>
  <c r="F39" i="16"/>
  <c r="G39" i="16"/>
  <c r="I39" i="16"/>
  <c r="J39" i="16"/>
  <c r="K39" i="16"/>
  <c r="F40" i="16"/>
  <c r="G40" i="16"/>
  <c r="I40" i="16"/>
  <c r="J40" i="16"/>
  <c r="K40" i="16"/>
  <c r="F41" i="16"/>
  <c r="G41" i="16"/>
  <c r="I41" i="16"/>
  <c r="J41" i="16"/>
  <c r="K41" i="16"/>
  <c r="F42" i="16"/>
  <c r="G42" i="16"/>
  <c r="I42" i="16"/>
  <c r="J42" i="16"/>
  <c r="K42" i="16"/>
  <c r="F43" i="16"/>
  <c r="G43" i="16"/>
  <c r="I43" i="16"/>
  <c r="J43" i="16"/>
  <c r="K43" i="16"/>
  <c r="F44" i="16"/>
  <c r="G44" i="16"/>
  <c r="I44" i="16"/>
  <c r="J44" i="16"/>
  <c r="K44" i="16"/>
  <c r="F45" i="16"/>
  <c r="G45" i="16"/>
  <c r="I45" i="16"/>
  <c r="J45" i="16"/>
  <c r="K45" i="16"/>
  <c r="F46" i="16"/>
  <c r="G46" i="16"/>
  <c r="I46" i="16"/>
  <c r="J46" i="16"/>
  <c r="K46" i="16"/>
  <c r="F47" i="16"/>
  <c r="G47" i="16"/>
  <c r="I47" i="16"/>
  <c r="J47" i="16"/>
  <c r="K47" i="16"/>
  <c r="F48" i="16"/>
  <c r="G48" i="16"/>
  <c r="I48" i="16"/>
  <c r="J48" i="16"/>
  <c r="K48" i="16"/>
  <c r="F49" i="16"/>
  <c r="G49" i="16"/>
  <c r="I49" i="16"/>
  <c r="J49" i="16"/>
  <c r="K49" i="16"/>
  <c r="F50" i="16"/>
  <c r="G50" i="16"/>
  <c r="I50" i="16"/>
  <c r="J50" i="16"/>
  <c r="K50" i="16"/>
  <c r="F51" i="16"/>
  <c r="I51" i="16"/>
  <c r="J51" i="16"/>
  <c r="K51" i="16"/>
  <c r="F52" i="16"/>
  <c r="I52" i="16"/>
  <c r="J52" i="16"/>
  <c r="K52" i="16"/>
  <c r="F53" i="16"/>
  <c r="I53" i="16"/>
  <c r="J53" i="16"/>
  <c r="K53" i="16"/>
  <c r="F54" i="16"/>
  <c r="I54" i="16"/>
  <c r="J54" i="16"/>
  <c r="K54" i="16"/>
  <c r="F55" i="16"/>
  <c r="I55" i="16"/>
  <c r="J55" i="16"/>
  <c r="K55" i="16"/>
  <c r="F56" i="16"/>
  <c r="I56" i="16"/>
  <c r="J56" i="16"/>
  <c r="K56" i="16"/>
  <c r="F57" i="16"/>
  <c r="I57" i="16"/>
  <c r="J57" i="16"/>
  <c r="K57" i="16"/>
  <c r="F58" i="16"/>
  <c r="I58" i="16"/>
  <c r="J58" i="16"/>
  <c r="K58" i="16"/>
  <c r="F59" i="16"/>
  <c r="I59" i="16"/>
  <c r="J59" i="16"/>
  <c r="K59" i="16"/>
  <c r="F60" i="16"/>
  <c r="I60" i="16"/>
  <c r="J60" i="16"/>
  <c r="K60" i="16"/>
  <c r="F61" i="16"/>
  <c r="I61" i="16"/>
  <c r="J61" i="16"/>
  <c r="K61" i="16"/>
  <c r="F62" i="16"/>
  <c r="I62" i="16"/>
  <c r="J62" i="16"/>
  <c r="K62" i="16"/>
  <c r="F63" i="16"/>
  <c r="I63" i="16"/>
  <c r="J63" i="16"/>
  <c r="K63" i="16"/>
  <c r="F64" i="16"/>
  <c r="I64" i="16"/>
  <c r="J64" i="16"/>
  <c r="K64" i="16"/>
  <c r="F65" i="16"/>
  <c r="I65" i="16"/>
  <c r="J65" i="16"/>
  <c r="K65" i="16"/>
  <c r="F66" i="16"/>
  <c r="I66" i="16"/>
  <c r="J66" i="16"/>
  <c r="K66" i="16"/>
  <c r="F67" i="16"/>
  <c r="I67" i="16"/>
  <c r="J67" i="16"/>
  <c r="K67" i="16"/>
  <c r="F68" i="16"/>
  <c r="I68" i="16"/>
  <c r="J68" i="16"/>
  <c r="K68" i="16"/>
  <c r="F69" i="16"/>
  <c r="I69" i="16"/>
  <c r="J69" i="16"/>
  <c r="K69" i="16"/>
  <c r="F70" i="16"/>
  <c r="I70" i="16"/>
  <c r="J70" i="16"/>
  <c r="K70" i="16"/>
  <c r="F71" i="16"/>
  <c r="I71" i="16"/>
  <c r="J71" i="16"/>
  <c r="K71" i="16"/>
  <c r="F72" i="16"/>
  <c r="I72" i="16"/>
  <c r="J72" i="16"/>
  <c r="K72" i="16"/>
  <c r="F73" i="16"/>
  <c r="I73" i="16"/>
  <c r="J73" i="16"/>
  <c r="K73" i="16"/>
  <c r="F74" i="16"/>
  <c r="I74" i="16"/>
  <c r="J74" i="16"/>
  <c r="K74" i="16"/>
  <c r="F75" i="16"/>
  <c r="I75" i="16"/>
  <c r="J75" i="16"/>
  <c r="K75" i="16"/>
  <c r="F76" i="16"/>
  <c r="I76" i="16"/>
  <c r="J76" i="16"/>
  <c r="K76" i="16"/>
  <c r="F77" i="16"/>
  <c r="G77" i="16"/>
  <c r="I77" i="16"/>
  <c r="J77" i="16"/>
  <c r="K77" i="16"/>
  <c r="J3" i="16"/>
  <c r="J2" i="16"/>
  <c r="G89" i="12"/>
  <c r="L77" i="16" s="1"/>
  <c r="G65" i="8"/>
  <c r="H65" i="8"/>
  <c r="F36" i="14"/>
  <c r="G64" i="8"/>
  <c r="H64" i="8"/>
  <c r="H63" i="8"/>
  <c r="G24" i="12"/>
  <c r="L49" i="16" s="1"/>
  <c r="G63" i="8"/>
  <c r="E47" i="8" l="1"/>
  <c r="D33" i="16"/>
  <c r="G90" i="12"/>
  <c r="L2" i="16" s="1"/>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CZ5" i="11"/>
  <c r="DA5" i="11"/>
  <c r="DB5" i="11"/>
  <c r="DC5" i="11"/>
  <c r="DD5" i="11"/>
  <c r="DE5" i="11"/>
  <c r="DF5" i="11"/>
  <c r="DG5" i="11"/>
  <c r="DH5" i="11"/>
  <c r="DI5" i="11"/>
  <c r="DJ5" i="11"/>
  <c r="DK5" i="11"/>
  <c r="DL5" i="11"/>
  <c r="DM5" i="11"/>
  <c r="DN5" i="11"/>
  <c r="DO5" i="11"/>
  <c r="DP5" i="11"/>
  <c r="DQ5" i="11"/>
  <c r="DR5" i="11"/>
  <c r="DS5" i="11"/>
  <c r="DT5" i="11"/>
  <c r="DU5" i="11"/>
  <c r="DV5" i="11"/>
  <c r="DW5" i="11"/>
  <c r="DX5" i="11"/>
  <c r="DY5" i="11"/>
  <c r="DZ5" i="11"/>
  <c r="EA5" i="11"/>
  <c r="EB5" i="11"/>
  <c r="EC5" i="11"/>
  <c r="ED5" i="11"/>
  <c r="EE5" i="11"/>
  <c r="EF5" i="11"/>
  <c r="EG5" i="11"/>
  <c r="EH5" i="11"/>
  <c r="EI5" i="11"/>
  <c r="EJ5" i="11"/>
  <c r="EK5" i="11"/>
  <c r="EL5" i="11"/>
  <c r="EM5" i="11"/>
  <c r="EN5" i="11"/>
  <c r="EO5" i="11"/>
  <c r="EP5" i="11"/>
  <c r="EQ5" i="11"/>
  <c r="ER5" i="11"/>
  <c r="ES5" i="11"/>
  <c r="ET5" i="11"/>
  <c r="EU5" i="11"/>
  <c r="EV5" i="11"/>
  <c r="EW5" i="11"/>
  <c r="EX5" i="11"/>
  <c r="EY5" i="11"/>
  <c r="EZ5" i="11"/>
  <c r="FA5" i="11"/>
  <c r="FB5" i="11"/>
  <c r="FC5" i="11"/>
  <c r="FD5" i="11"/>
  <c r="FE5" i="11"/>
  <c r="FF5" i="11"/>
  <c r="FG5" i="11"/>
  <c r="FH5" i="11"/>
  <c r="FI5" i="11"/>
  <c r="FJ5" i="11"/>
  <c r="FK5" i="11"/>
  <c r="FL5" i="11"/>
  <c r="FM5" i="11"/>
  <c r="FN5" i="11"/>
  <c r="FO5" i="11"/>
  <c r="FP5" i="11"/>
  <c r="FQ5" i="11"/>
  <c r="FR5" i="11"/>
  <c r="FS5" i="11"/>
  <c r="FT5" i="11"/>
  <c r="FU5" i="11"/>
  <c r="FV5" i="11"/>
  <c r="FW5" i="11"/>
  <c r="FX5" i="11"/>
  <c r="FY5" i="11"/>
  <c r="FZ5" i="11"/>
  <c r="GA5" i="11"/>
  <c r="GB5" i="11"/>
  <c r="GC5" i="11"/>
  <c r="GD5" i="11"/>
  <c r="GE5" i="11"/>
  <c r="GF5" i="11"/>
  <c r="GG5" i="11"/>
  <c r="GH5" i="11"/>
  <c r="GI5" i="11"/>
  <c r="GJ5" i="11"/>
  <c r="GK5" i="11"/>
  <c r="GL5" i="11"/>
  <c r="GM5" i="11"/>
  <c r="GN5" i="11"/>
  <c r="GO5" i="11"/>
  <c r="GP5" i="11"/>
  <c r="GQ5" i="11"/>
  <c r="GR5" i="11"/>
  <c r="GS5" i="11"/>
  <c r="GT5" i="11"/>
  <c r="GU5" i="11"/>
  <c r="CZ6" i="11"/>
  <c r="CZ4" i="11" s="1"/>
  <c r="CZ2" i="11" s="1"/>
  <c r="DA6" i="11"/>
  <c r="DA4" i="11" s="1"/>
  <c r="DA2" i="11" s="1"/>
  <c r="DB6" i="11"/>
  <c r="DB4" i="11" s="1"/>
  <c r="DB2" i="11" s="1"/>
  <c r="DC6" i="11"/>
  <c r="DC4" i="11" s="1"/>
  <c r="DC2" i="11" s="1"/>
  <c r="DD6" i="11"/>
  <c r="DD4" i="11" s="1"/>
  <c r="DD2" i="11" s="1"/>
  <c r="DE6" i="11"/>
  <c r="DE4" i="11" s="1"/>
  <c r="DE2" i="11" s="1"/>
  <c r="DF6" i="11"/>
  <c r="DF4" i="11" s="1"/>
  <c r="DF2" i="11" s="1"/>
  <c r="DG6" i="11"/>
  <c r="DG4" i="11" s="1"/>
  <c r="DG2" i="11" s="1"/>
  <c r="DH6" i="11"/>
  <c r="DH4" i="11" s="1"/>
  <c r="DH2" i="11" s="1"/>
  <c r="DI6" i="11"/>
  <c r="DI4" i="11" s="1"/>
  <c r="DI2" i="11" s="1"/>
  <c r="DJ6" i="11"/>
  <c r="DJ4" i="11" s="1"/>
  <c r="DJ2" i="11" s="1"/>
  <c r="DK6" i="11"/>
  <c r="DK4" i="11" s="1"/>
  <c r="DK2" i="11" s="1"/>
  <c r="DL6" i="11"/>
  <c r="DL4" i="11" s="1"/>
  <c r="DL2" i="11" s="1"/>
  <c r="DM6" i="11"/>
  <c r="DM4" i="11" s="1"/>
  <c r="DM2" i="11" s="1"/>
  <c r="DN6" i="11"/>
  <c r="DN4" i="11" s="1"/>
  <c r="DN2" i="11" s="1"/>
  <c r="DO6" i="11"/>
  <c r="DO4" i="11" s="1"/>
  <c r="DO2" i="11" s="1"/>
  <c r="DP6" i="11"/>
  <c r="DP4" i="11" s="1"/>
  <c r="DP2" i="11" s="1"/>
  <c r="DQ6" i="11"/>
  <c r="DQ4" i="11" s="1"/>
  <c r="DQ2" i="11" s="1"/>
  <c r="DR6" i="11"/>
  <c r="DR4" i="11" s="1"/>
  <c r="DR2" i="11" s="1"/>
  <c r="DS6" i="11"/>
  <c r="DS4" i="11" s="1"/>
  <c r="DS2" i="11" s="1"/>
  <c r="DT6" i="11"/>
  <c r="DT4" i="11" s="1"/>
  <c r="DT2" i="11" s="1"/>
  <c r="DU6" i="11"/>
  <c r="DU4" i="11" s="1"/>
  <c r="DU2" i="11" s="1"/>
  <c r="DV6" i="11"/>
  <c r="DV4" i="11" s="1"/>
  <c r="DV2" i="11" s="1"/>
  <c r="DW6" i="11"/>
  <c r="DW4" i="11" s="1"/>
  <c r="DW2" i="11" s="1"/>
  <c r="DX6" i="11"/>
  <c r="DX4" i="11" s="1"/>
  <c r="DX2" i="11" s="1"/>
  <c r="DY6" i="11"/>
  <c r="DY4" i="11" s="1"/>
  <c r="DY2" i="11" s="1"/>
  <c r="DZ6" i="11"/>
  <c r="DZ4" i="11" s="1"/>
  <c r="DZ2" i="11" s="1"/>
  <c r="EA6" i="11"/>
  <c r="EA4" i="11" s="1"/>
  <c r="EA2" i="11" s="1"/>
  <c r="EB6" i="11"/>
  <c r="EB4" i="11" s="1"/>
  <c r="EB2" i="11" s="1"/>
  <c r="EC6" i="11"/>
  <c r="EC4" i="11" s="1"/>
  <c r="EC2" i="11" s="1"/>
  <c r="ED6" i="11"/>
  <c r="ED4" i="11" s="1"/>
  <c r="ED2" i="11" s="1"/>
  <c r="EE6" i="11"/>
  <c r="EE4" i="11" s="1"/>
  <c r="EE2" i="11" s="1"/>
  <c r="EF6" i="11"/>
  <c r="EF4" i="11" s="1"/>
  <c r="EF2" i="11" s="1"/>
  <c r="EG6" i="11"/>
  <c r="EG4" i="11" s="1"/>
  <c r="EG2" i="11" s="1"/>
  <c r="EH6" i="11"/>
  <c r="EH4" i="11" s="1"/>
  <c r="EH2" i="11" s="1"/>
  <c r="EI6" i="11"/>
  <c r="EI4" i="11" s="1"/>
  <c r="EI2" i="11" s="1"/>
  <c r="EJ6" i="11"/>
  <c r="EJ4" i="11" s="1"/>
  <c r="EJ2" i="11" s="1"/>
  <c r="EK6" i="11"/>
  <c r="EK4" i="11" s="1"/>
  <c r="EK2" i="11" s="1"/>
  <c r="EL6" i="11"/>
  <c r="EL4" i="11" s="1"/>
  <c r="EL2" i="11" s="1"/>
  <c r="EM6" i="11"/>
  <c r="EM4" i="11" s="1"/>
  <c r="EM2" i="11" s="1"/>
  <c r="EN6" i="11"/>
  <c r="EN4" i="11" s="1"/>
  <c r="EN2" i="11" s="1"/>
  <c r="EO6" i="11"/>
  <c r="EO4" i="11" s="1"/>
  <c r="EO2" i="11" s="1"/>
  <c r="EP6" i="11"/>
  <c r="EP4" i="11" s="1"/>
  <c r="EP2" i="11" s="1"/>
  <c r="EQ6" i="11"/>
  <c r="EQ4" i="11" s="1"/>
  <c r="EQ2" i="11" s="1"/>
  <c r="ER6" i="11"/>
  <c r="ER4" i="11" s="1"/>
  <c r="ER2" i="11" s="1"/>
  <c r="ES6" i="11"/>
  <c r="ES4" i="11" s="1"/>
  <c r="ES2" i="11" s="1"/>
  <c r="ET6" i="11"/>
  <c r="ET4" i="11" s="1"/>
  <c r="ET2" i="11" s="1"/>
  <c r="EU6" i="11"/>
  <c r="EU4" i="11" s="1"/>
  <c r="EU2" i="11" s="1"/>
  <c r="EV6" i="11"/>
  <c r="EV4" i="11" s="1"/>
  <c r="EV2" i="11" s="1"/>
  <c r="EW6" i="11"/>
  <c r="EW4" i="11" s="1"/>
  <c r="EW2" i="11" s="1"/>
  <c r="EX6" i="11"/>
  <c r="EX4" i="11" s="1"/>
  <c r="EX2" i="11" s="1"/>
  <c r="EY6" i="11"/>
  <c r="EY4" i="11" s="1"/>
  <c r="EY2" i="11" s="1"/>
  <c r="EZ6" i="11"/>
  <c r="EZ4" i="11" s="1"/>
  <c r="EZ2" i="11" s="1"/>
  <c r="FA6" i="11"/>
  <c r="FA4" i="11" s="1"/>
  <c r="FA2" i="11" s="1"/>
  <c r="FB6" i="11"/>
  <c r="FB4" i="11" s="1"/>
  <c r="FB2" i="11" s="1"/>
  <c r="FC6" i="11"/>
  <c r="FC4" i="11" s="1"/>
  <c r="FC2" i="11" s="1"/>
  <c r="FD6" i="11"/>
  <c r="FD4" i="11" s="1"/>
  <c r="FD2" i="11" s="1"/>
  <c r="FE6" i="11"/>
  <c r="FE4" i="11" s="1"/>
  <c r="FE2" i="11" s="1"/>
  <c r="FF6" i="11"/>
  <c r="FF4" i="11" s="1"/>
  <c r="FF2" i="11" s="1"/>
  <c r="FG6" i="11"/>
  <c r="FG4" i="11" s="1"/>
  <c r="FG2" i="11" s="1"/>
  <c r="FH6" i="11"/>
  <c r="FH4" i="11" s="1"/>
  <c r="FH2" i="11" s="1"/>
  <c r="FI6" i="11"/>
  <c r="FI4" i="11" s="1"/>
  <c r="FI2" i="11" s="1"/>
  <c r="FJ6" i="11"/>
  <c r="FJ4" i="11" s="1"/>
  <c r="FJ2" i="11" s="1"/>
  <c r="FK6" i="11"/>
  <c r="FK4" i="11" s="1"/>
  <c r="FK2" i="11" s="1"/>
  <c r="FL6" i="11"/>
  <c r="FL4" i="11" s="1"/>
  <c r="FL2" i="11" s="1"/>
  <c r="FM6" i="11"/>
  <c r="FM4" i="11" s="1"/>
  <c r="FM2" i="11" s="1"/>
  <c r="FN6" i="11"/>
  <c r="FN4" i="11" s="1"/>
  <c r="FN2" i="11" s="1"/>
  <c r="FO6" i="11"/>
  <c r="FO4" i="11" s="1"/>
  <c r="FO2" i="11" s="1"/>
  <c r="FP6" i="11"/>
  <c r="FP4" i="11" s="1"/>
  <c r="FP2" i="11" s="1"/>
  <c r="FQ6" i="11"/>
  <c r="FQ4" i="11" s="1"/>
  <c r="FQ2" i="11" s="1"/>
  <c r="FR6" i="11"/>
  <c r="FR4" i="11" s="1"/>
  <c r="FR2" i="11" s="1"/>
  <c r="FS6" i="11"/>
  <c r="FS4" i="11" s="1"/>
  <c r="FS2" i="11" s="1"/>
  <c r="FT6" i="11"/>
  <c r="FT4" i="11" s="1"/>
  <c r="FT2" i="11" s="1"/>
  <c r="FU6" i="11"/>
  <c r="FU4" i="11" s="1"/>
  <c r="FU2" i="11" s="1"/>
  <c r="FV6" i="11"/>
  <c r="FV4" i="11" s="1"/>
  <c r="FV2" i="11" s="1"/>
  <c r="FW6" i="11"/>
  <c r="FW4" i="11" s="1"/>
  <c r="FW2" i="11" s="1"/>
  <c r="FX6" i="11"/>
  <c r="FX4" i="11" s="1"/>
  <c r="FX2" i="11" s="1"/>
  <c r="FY6" i="11"/>
  <c r="FY4" i="11" s="1"/>
  <c r="FY2" i="11" s="1"/>
  <c r="FZ6" i="11"/>
  <c r="FZ4" i="11" s="1"/>
  <c r="FZ2" i="11" s="1"/>
  <c r="GA6" i="11"/>
  <c r="GA4" i="11" s="1"/>
  <c r="GA2" i="11" s="1"/>
  <c r="GB6" i="11"/>
  <c r="GB4" i="11" s="1"/>
  <c r="GB2" i="11" s="1"/>
  <c r="GC6" i="11"/>
  <c r="GC4" i="11" s="1"/>
  <c r="GC2" i="11" s="1"/>
  <c r="GD6" i="11"/>
  <c r="GD4" i="11" s="1"/>
  <c r="GD2" i="11" s="1"/>
  <c r="GE6" i="11"/>
  <c r="GE4" i="11" s="1"/>
  <c r="GE2" i="11" s="1"/>
  <c r="GF6" i="11"/>
  <c r="GF4" i="11" s="1"/>
  <c r="GF2" i="11" s="1"/>
  <c r="GG6" i="11"/>
  <c r="GG4" i="11" s="1"/>
  <c r="GG2" i="11" s="1"/>
  <c r="GH6" i="11"/>
  <c r="GH4" i="11" s="1"/>
  <c r="GH2" i="11" s="1"/>
  <c r="GI6" i="11"/>
  <c r="GI4" i="11" s="1"/>
  <c r="GI2" i="11" s="1"/>
  <c r="GJ6" i="11"/>
  <c r="GJ4" i="11" s="1"/>
  <c r="GJ2" i="11" s="1"/>
  <c r="GK6" i="11"/>
  <c r="GK4" i="11" s="1"/>
  <c r="GK2" i="11" s="1"/>
  <c r="GL6" i="11"/>
  <c r="GL4" i="11" s="1"/>
  <c r="GL2" i="11" s="1"/>
  <c r="GM6" i="11"/>
  <c r="GM4" i="11" s="1"/>
  <c r="GM2" i="11" s="1"/>
  <c r="GN6" i="11"/>
  <c r="GN4" i="11" s="1"/>
  <c r="GN2" i="11" s="1"/>
  <c r="GO6" i="11"/>
  <c r="GO4" i="11" s="1"/>
  <c r="GO2" i="11" s="1"/>
  <c r="GP6" i="11"/>
  <c r="GP4" i="11" s="1"/>
  <c r="GP2" i="11" s="1"/>
  <c r="GQ6" i="11"/>
  <c r="GQ4" i="11" s="1"/>
  <c r="GQ2" i="11" s="1"/>
  <c r="GR6" i="11"/>
  <c r="GR4" i="11" s="1"/>
  <c r="GR2" i="11" s="1"/>
  <c r="GS6" i="11"/>
  <c r="GS4" i="11" s="1"/>
  <c r="GS2" i="11" s="1"/>
  <c r="GT6" i="11"/>
  <c r="GT4" i="11" s="1"/>
  <c r="GT2" i="11" s="1"/>
  <c r="GU6" i="11"/>
  <c r="GU4" i="11" s="1"/>
  <c r="GU2" i="11" s="1"/>
  <c r="B33" i="16" l="1"/>
  <c r="C33" i="16" s="1"/>
  <c r="C63" i="8"/>
  <c r="D63" i="8" s="1"/>
  <c r="E63" i="8" s="1"/>
  <c r="B50" i="16"/>
  <c r="C50" i="16" s="1"/>
  <c r="D50" i="16" s="1"/>
  <c r="AH5" i="11"/>
  <c r="AI5" i="11"/>
  <c r="AJ5" i="11"/>
  <c r="AK5" i="11"/>
  <c r="AL5" i="11"/>
  <c r="AM5" i="11"/>
  <c r="AN5" i="11"/>
  <c r="AO5" i="11"/>
  <c r="AP5" i="11"/>
  <c r="AQ5" i="11"/>
  <c r="AR5" i="11"/>
  <c r="AS5" i="11"/>
  <c r="AT5" i="11"/>
  <c r="AU5" i="11"/>
  <c r="AV5" i="11"/>
  <c r="AW5" i="11"/>
  <c r="AX5" i="11"/>
  <c r="AY5" i="11"/>
  <c r="AZ5" i="11"/>
  <c r="BA5" i="11"/>
  <c r="BB5" i="11"/>
  <c r="BC5" i="11"/>
  <c r="BD5" i="11"/>
  <c r="BE5" i="11"/>
  <c r="BF5" i="11"/>
  <c r="BG5" i="11"/>
  <c r="BH5" i="11"/>
  <c r="BI5" i="11"/>
  <c r="BJ5" i="11"/>
  <c r="BK5" i="11"/>
  <c r="BL5" i="11"/>
  <c r="BM5" i="11"/>
  <c r="BN5" i="11"/>
  <c r="BO5" i="11"/>
  <c r="BP5" i="11"/>
  <c r="BQ5" i="11"/>
  <c r="BR5" i="11"/>
  <c r="BS5" i="11"/>
  <c r="BT5" i="11"/>
  <c r="BU5" i="11"/>
  <c r="BV5" i="11"/>
  <c r="BW5" i="11"/>
  <c r="BX5" i="11"/>
  <c r="BY5" i="11"/>
  <c r="BZ5" i="11"/>
  <c r="CA5" i="11"/>
  <c r="CB5" i="11"/>
  <c r="CC5" i="11"/>
  <c r="CD5" i="11"/>
  <c r="CE5" i="11"/>
  <c r="CF5" i="11"/>
  <c r="CG5" i="11"/>
  <c r="CH5" i="11"/>
  <c r="CI5" i="11"/>
  <c r="CJ5" i="11"/>
  <c r="CK5" i="11"/>
  <c r="CL5" i="11"/>
  <c r="CM5" i="11"/>
  <c r="CN5" i="11"/>
  <c r="CO5" i="11"/>
  <c r="CP5" i="11"/>
  <c r="CQ5" i="11"/>
  <c r="CR5" i="11"/>
  <c r="CS5" i="11"/>
  <c r="CT5" i="11"/>
  <c r="CU5" i="11"/>
  <c r="CV5" i="11"/>
  <c r="CW5" i="11"/>
  <c r="CX5" i="11"/>
  <c r="CY5" i="11"/>
  <c r="AH6" i="11"/>
  <c r="AH4" i="11" s="1"/>
  <c r="AH2" i="11" s="1"/>
  <c r="AI6" i="11"/>
  <c r="AI4" i="11" s="1"/>
  <c r="AI2" i="11" s="1"/>
  <c r="AJ6" i="11"/>
  <c r="AJ4" i="11" s="1"/>
  <c r="AJ2" i="11" s="1"/>
  <c r="AK6" i="11"/>
  <c r="AK4" i="11" s="1"/>
  <c r="AK2" i="11" s="1"/>
  <c r="AL6" i="11"/>
  <c r="AL4" i="11" s="1"/>
  <c r="AL2" i="11" s="1"/>
  <c r="AM6" i="11"/>
  <c r="AM4" i="11" s="1"/>
  <c r="AM2" i="11" s="1"/>
  <c r="AN6" i="11"/>
  <c r="AN4" i="11" s="1"/>
  <c r="AN2" i="11" s="1"/>
  <c r="AO6" i="11"/>
  <c r="AO4" i="11" s="1"/>
  <c r="AO2" i="11" s="1"/>
  <c r="AP6" i="11"/>
  <c r="AP4" i="11" s="1"/>
  <c r="AP2" i="11" s="1"/>
  <c r="AQ6" i="11"/>
  <c r="AQ4" i="11" s="1"/>
  <c r="AQ2" i="11" s="1"/>
  <c r="AR6" i="11"/>
  <c r="AR4" i="11" s="1"/>
  <c r="AR2" i="11" s="1"/>
  <c r="AS6" i="11"/>
  <c r="AS4" i="11" s="1"/>
  <c r="AS2" i="11" s="1"/>
  <c r="AT6" i="11"/>
  <c r="AT4" i="11" s="1"/>
  <c r="AT2" i="11" s="1"/>
  <c r="AU6" i="11"/>
  <c r="AU4" i="11" s="1"/>
  <c r="AU2" i="11" s="1"/>
  <c r="AV6" i="11"/>
  <c r="AV4" i="11" s="1"/>
  <c r="AV2" i="11" s="1"/>
  <c r="AW6" i="11"/>
  <c r="AW4" i="11" s="1"/>
  <c r="AW2" i="11" s="1"/>
  <c r="AX6" i="11"/>
  <c r="AX4" i="11" s="1"/>
  <c r="AX2" i="11" s="1"/>
  <c r="AY6" i="11"/>
  <c r="AY4" i="11" s="1"/>
  <c r="AY2" i="11" s="1"/>
  <c r="AZ6" i="11"/>
  <c r="AZ4" i="11" s="1"/>
  <c r="AZ2" i="11" s="1"/>
  <c r="BA6" i="11"/>
  <c r="BA4" i="11" s="1"/>
  <c r="BA2" i="11" s="1"/>
  <c r="BB6" i="11"/>
  <c r="BB4" i="11" s="1"/>
  <c r="BB2" i="11" s="1"/>
  <c r="BC6" i="11"/>
  <c r="BC4" i="11" s="1"/>
  <c r="BC2" i="11" s="1"/>
  <c r="BD6" i="11"/>
  <c r="BD4" i="11" s="1"/>
  <c r="BD2" i="11" s="1"/>
  <c r="BE6" i="11"/>
  <c r="BE4" i="11" s="1"/>
  <c r="BE2" i="11" s="1"/>
  <c r="BF6" i="11"/>
  <c r="BF4" i="11" s="1"/>
  <c r="BF2" i="11" s="1"/>
  <c r="BG6" i="11"/>
  <c r="BG4" i="11" s="1"/>
  <c r="BG2" i="11" s="1"/>
  <c r="BH6" i="11"/>
  <c r="BH4" i="11" s="1"/>
  <c r="BH2" i="11" s="1"/>
  <c r="BI6" i="11"/>
  <c r="BI4" i="11" s="1"/>
  <c r="BI2" i="11" s="1"/>
  <c r="BJ6" i="11"/>
  <c r="BJ4" i="11" s="1"/>
  <c r="BJ2" i="11" s="1"/>
  <c r="BK6" i="11"/>
  <c r="BK4" i="11" s="1"/>
  <c r="BK2" i="11" s="1"/>
  <c r="BL6" i="11"/>
  <c r="BL4" i="11" s="1"/>
  <c r="BL2" i="11" s="1"/>
  <c r="BM6" i="11"/>
  <c r="BM4" i="11" s="1"/>
  <c r="BM2" i="11" s="1"/>
  <c r="BN6" i="11"/>
  <c r="BN4" i="11" s="1"/>
  <c r="BN2" i="11" s="1"/>
  <c r="BO6" i="11"/>
  <c r="BO4" i="11" s="1"/>
  <c r="BO2" i="11" s="1"/>
  <c r="BP6" i="11"/>
  <c r="BP4" i="11" s="1"/>
  <c r="BP2" i="11" s="1"/>
  <c r="BQ6" i="11"/>
  <c r="BQ4" i="11" s="1"/>
  <c r="BQ2" i="11" s="1"/>
  <c r="BR6" i="11"/>
  <c r="BR4" i="11" s="1"/>
  <c r="BR2" i="11" s="1"/>
  <c r="BS6" i="11"/>
  <c r="BS4" i="11" s="1"/>
  <c r="BS2" i="11" s="1"/>
  <c r="BT6" i="11"/>
  <c r="BT4" i="11" s="1"/>
  <c r="BT2" i="11" s="1"/>
  <c r="BU6" i="11"/>
  <c r="BU4" i="11" s="1"/>
  <c r="BU2" i="11" s="1"/>
  <c r="BV6" i="11"/>
  <c r="BV4" i="11" s="1"/>
  <c r="BV2" i="11" s="1"/>
  <c r="BW6" i="11"/>
  <c r="BW4" i="11" s="1"/>
  <c r="BW2" i="11" s="1"/>
  <c r="BX6" i="11"/>
  <c r="BX4" i="11" s="1"/>
  <c r="BX2" i="11" s="1"/>
  <c r="BY6" i="11"/>
  <c r="BY4" i="11" s="1"/>
  <c r="BY2" i="11" s="1"/>
  <c r="BZ6" i="11"/>
  <c r="BZ4" i="11" s="1"/>
  <c r="BZ2" i="11" s="1"/>
  <c r="CA6" i="11"/>
  <c r="CA4" i="11" s="1"/>
  <c r="CA2" i="11" s="1"/>
  <c r="CB6" i="11"/>
  <c r="CB4" i="11" s="1"/>
  <c r="CB2" i="11" s="1"/>
  <c r="CC6" i="11"/>
  <c r="CC4" i="11" s="1"/>
  <c r="CC2" i="11" s="1"/>
  <c r="CD6" i="11"/>
  <c r="CD4" i="11" s="1"/>
  <c r="CD2" i="11" s="1"/>
  <c r="CE6" i="11"/>
  <c r="CE4" i="11" s="1"/>
  <c r="CE2" i="11" s="1"/>
  <c r="CF6" i="11"/>
  <c r="CF4" i="11" s="1"/>
  <c r="CF2" i="11" s="1"/>
  <c r="CG6" i="11"/>
  <c r="CG4" i="11" s="1"/>
  <c r="CG2" i="11" s="1"/>
  <c r="CH6" i="11"/>
  <c r="CH4" i="11" s="1"/>
  <c r="CH2" i="11" s="1"/>
  <c r="CI6" i="11"/>
  <c r="CI4" i="11" s="1"/>
  <c r="CI2" i="11" s="1"/>
  <c r="CJ6" i="11"/>
  <c r="CJ4" i="11" s="1"/>
  <c r="CJ2" i="11" s="1"/>
  <c r="CK6" i="11"/>
  <c r="CK4" i="11" s="1"/>
  <c r="CK2" i="11" s="1"/>
  <c r="CL6" i="11"/>
  <c r="CL4" i="11" s="1"/>
  <c r="CL2" i="11" s="1"/>
  <c r="CM6" i="11"/>
  <c r="CM4" i="11" s="1"/>
  <c r="CM2" i="11" s="1"/>
  <c r="CN6" i="11"/>
  <c r="CN4" i="11" s="1"/>
  <c r="CN2" i="11" s="1"/>
  <c r="CO6" i="11"/>
  <c r="CO4" i="11" s="1"/>
  <c r="CO2" i="11" s="1"/>
  <c r="CP6" i="11"/>
  <c r="CP4" i="11" s="1"/>
  <c r="CP2" i="11" s="1"/>
  <c r="CQ6" i="11"/>
  <c r="CQ4" i="11" s="1"/>
  <c r="CQ2" i="11" s="1"/>
  <c r="CR6" i="11"/>
  <c r="CR4" i="11" s="1"/>
  <c r="CR2" i="11" s="1"/>
  <c r="CS6" i="11"/>
  <c r="CS4" i="11" s="1"/>
  <c r="CS2" i="11" s="1"/>
  <c r="CT6" i="11"/>
  <c r="CT4" i="11" s="1"/>
  <c r="CT2" i="11" s="1"/>
  <c r="CU6" i="11"/>
  <c r="CU4" i="11" s="1"/>
  <c r="CU2" i="11" s="1"/>
  <c r="CV6" i="11"/>
  <c r="CV4" i="11" s="1"/>
  <c r="CV2" i="11" s="1"/>
  <c r="CW6" i="11"/>
  <c r="CW4" i="11" s="1"/>
  <c r="CW2" i="11" s="1"/>
  <c r="CX6" i="11"/>
  <c r="CX4" i="11" s="1"/>
  <c r="CX2" i="11" s="1"/>
  <c r="CY6" i="11"/>
  <c r="CY4" i="11" s="1"/>
  <c r="CY2" i="11" s="1"/>
  <c r="G36" i="12"/>
  <c r="L19" i="16" s="1"/>
  <c r="G37" i="12"/>
  <c r="L23" i="16" s="1"/>
  <c r="G38" i="12"/>
  <c r="L24" i="16" s="1"/>
  <c r="G39" i="12"/>
  <c r="L25" i="16" s="1"/>
  <c r="G40" i="12"/>
  <c r="L26" i="16" s="1"/>
  <c r="G41" i="12"/>
  <c r="L27" i="16" s="1"/>
  <c r="G42" i="12"/>
  <c r="L28" i="16" s="1"/>
  <c r="G43" i="12"/>
  <c r="L29" i="16" s="1"/>
  <c r="G44" i="12"/>
  <c r="L30" i="16" s="1"/>
  <c r="G45" i="12"/>
  <c r="L31" i="16" s="1"/>
  <c r="G46" i="12"/>
  <c r="L32" i="16" s="1"/>
  <c r="G47" i="12"/>
  <c r="L33" i="16" s="1"/>
  <c r="G48" i="12"/>
  <c r="L34" i="16" s="1"/>
  <c r="G49" i="12"/>
  <c r="L35" i="16" s="1"/>
  <c r="G50" i="12"/>
  <c r="L36" i="16" s="1"/>
  <c r="G51" i="12"/>
  <c r="L37" i="16" s="1"/>
  <c r="G38" i="8"/>
  <c r="H38" i="8"/>
  <c r="G39" i="8"/>
  <c r="H39" i="8"/>
  <c r="G40" i="8"/>
  <c r="H40" i="8"/>
  <c r="G41" i="8"/>
  <c r="H41" i="8"/>
  <c r="G42" i="8"/>
  <c r="H42" i="8"/>
  <c r="G43" i="8"/>
  <c r="H43" i="8"/>
  <c r="G44" i="8"/>
  <c r="H44" i="8"/>
  <c r="G45" i="8"/>
  <c r="H45" i="8"/>
  <c r="G46" i="8"/>
  <c r="H46" i="8"/>
  <c r="G47" i="8"/>
  <c r="H47" i="8"/>
  <c r="G48" i="8"/>
  <c r="H48" i="8"/>
  <c r="G49" i="8"/>
  <c r="H49" i="8"/>
  <c r="D24" i="16" l="1"/>
  <c r="E38" i="8"/>
  <c r="E31" i="8"/>
  <c r="D17" i="16"/>
  <c r="E50" i="16"/>
  <c r="H50" i="16" s="1"/>
  <c r="F63" i="8"/>
  <c r="I63" i="8" s="1"/>
  <c r="E33" i="16"/>
  <c r="H33" i="16" s="1"/>
  <c r="B17" i="16"/>
  <c r="C17" i="16" s="1"/>
  <c r="B24" i="16"/>
  <c r="C24" i="16" s="1"/>
  <c r="C38" i="8"/>
  <c r="D38" i="8" s="1"/>
  <c r="B63" i="12"/>
  <c r="G51" i="16" s="1"/>
  <c r="B64" i="12"/>
  <c r="G52" i="16" s="1"/>
  <c r="B65" i="12"/>
  <c r="G53" i="16" s="1"/>
  <c r="B66" i="12"/>
  <c r="G54" i="16" s="1"/>
  <c r="B67" i="12"/>
  <c r="G55" i="16" s="1"/>
  <c r="F38" i="8" l="1"/>
  <c r="I38" i="8" s="1"/>
  <c r="E24" i="16"/>
  <c r="H24" i="16" s="1"/>
  <c r="E17" i="16"/>
  <c r="H17" i="16" s="1"/>
  <c r="K3" i="16"/>
  <c r="F24" i="14" l="1"/>
  <c r="E23" i="8" l="1"/>
  <c r="D9" i="16"/>
  <c r="B9" i="16"/>
  <c r="C9" i="16" s="1"/>
  <c r="E9" i="16" l="1"/>
  <c r="H9" i="16" s="1"/>
  <c r="G60" i="12"/>
  <c r="L46" i="16" s="1"/>
  <c r="C60" i="8"/>
  <c r="D60" i="8" s="1"/>
  <c r="G60" i="8"/>
  <c r="H60" i="8"/>
  <c r="D46" i="16" l="1"/>
  <c r="E60" i="8"/>
  <c r="F60" i="8" s="1"/>
  <c r="I60" i="8" s="1"/>
  <c r="B46" i="16"/>
  <c r="C46" i="16" s="1"/>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3" i="13"/>
  <c r="E46" i="16" l="1"/>
  <c r="H46" i="16" s="1"/>
  <c r="N20" i="14"/>
  <c r="A4" i="15"/>
  <c r="B4" i="15"/>
  <c r="B3" i="15"/>
  <c r="A3" i="15"/>
  <c r="G69" i="8"/>
  <c r="O2" i="8"/>
  <c r="E57" i="8" l="1"/>
  <c r="D43" i="16"/>
  <c r="E55" i="8"/>
  <c r="D41" i="16"/>
  <c r="E53" i="8"/>
  <c r="D39" i="16"/>
  <c r="E51" i="8"/>
  <c r="D37" i="16"/>
  <c r="E49" i="8"/>
  <c r="D35" i="16"/>
  <c r="D32" i="16"/>
  <c r="E46" i="8"/>
  <c r="E43" i="8"/>
  <c r="D29" i="16"/>
  <c r="E41" i="8"/>
  <c r="D27" i="16"/>
  <c r="E37" i="8"/>
  <c r="D23" i="16"/>
  <c r="E35" i="8"/>
  <c r="D21" i="16"/>
  <c r="E33" i="8"/>
  <c r="D19" i="16"/>
  <c r="D30" i="16"/>
  <c r="E44" i="8"/>
  <c r="E29" i="8"/>
  <c r="D15" i="16"/>
  <c r="E27" i="8"/>
  <c r="D13" i="16"/>
  <c r="E25" i="8"/>
  <c r="D11" i="16"/>
  <c r="E21" i="8"/>
  <c r="D7" i="16"/>
  <c r="D4" i="16"/>
  <c r="E18" i="8"/>
  <c r="E61" i="8"/>
  <c r="D47" i="16"/>
  <c r="D42" i="16"/>
  <c r="E56" i="8"/>
  <c r="D40" i="16"/>
  <c r="E54" i="8"/>
  <c r="D38" i="16"/>
  <c r="E52" i="8"/>
  <c r="D36" i="16"/>
  <c r="E50" i="8"/>
  <c r="D34" i="16"/>
  <c r="E48" i="8"/>
  <c r="E45" i="8"/>
  <c r="D31" i="16"/>
  <c r="D28" i="16"/>
  <c r="E42" i="8"/>
  <c r="E39" i="8"/>
  <c r="D25" i="16"/>
  <c r="D22" i="16"/>
  <c r="E36" i="8"/>
  <c r="D20" i="16"/>
  <c r="E34" i="8"/>
  <c r="D18" i="16"/>
  <c r="E32" i="8"/>
  <c r="D16" i="16"/>
  <c r="E30" i="8"/>
  <c r="D14" i="16"/>
  <c r="E28" i="8"/>
  <c r="D12" i="16"/>
  <c r="E26" i="8"/>
  <c r="D10" i="16"/>
  <c r="E24" i="8"/>
  <c r="E19" i="8"/>
  <c r="D5" i="16"/>
  <c r="B43" i="16"/>
  <c r="C43" i="16" s="1"/>
  <c r="B41" i="16"/>
  <c r="C41" i="16" s="1"/>
  <c r="B39" i="16"/>
  <c r="C39" i="16" s="1"/>
  <c r="B37" i="16"/>
  <c r="C37" i="16" s="1"/>
  <c r="B35" i="16"/>
  <c r="C35" i="16" s="1"/>
  <c r="C49" i="8"/>
  <c r="D49" i="8" s="1"/>
  <c r="B32" i="16"/>
  <c r="C32" i="16" s="1"/>
  <c r="C46" i="8"/>
  <c r="D46" i="8" s="1"/>
  <c r="B29" i="16"/>
  <c r="C29" i="16" s="1"/>
  <c r="C43" i="8"/>
  <c r="D43" i="8" s="1"/>
  <c r="B27" i="16"/>
  <c r="C27" i="16" s="1"/>
  <c r="C41" i="8"/>
  <c r="D41" i="8" s="1"/>
  <c r="B23" i="16"/>
  <c r="C23" i="16" s="1"/>
  <c r="B21" i="16"/>
  <c r="C21" i="16" s="1"/>
  <c r="B19" i="16"/>
  <c r="C19" i="16" s="1"/>
  <c r="B30" i="16"/>
  <c r="C30" i="16" s="1"/>
  <c r="C44" i="8"/>
  <c r="D44" i="8" s="1"/>
  <c r="B15" i="16"/>
  <c r="C15" i="16" s="1"/>
  <c r="B13" i="16"/>
  <c r="C13" i="16" s="1"/>
  <c r="B11" i="16"/>
  <c r="C11" i="16" s="1"/>
  <c r="B7" i="16"/>
  <c r="C7" i="16" s="1"/>
  <c r="B4" i="16"/>
  <c r="C4" i="16" s="1"/>
  <c r="B47" i="16"/>
  <c r="C47" i="16" s="1"/>
  <c r="B42" i="16"/>
  <c r="C42" i="16" s="1"/>
  <c r="B40" i="16"/>
  <c r="C40" i="16" s="1"/>
  <c r="B38" i="16"/>
  <c r="C38" i="16" s="1"/>
  <c r="B36" i="16"/>
  <c r="C36" i="16" s="1"/>
  <c r="B34" i="16"/>
  <c r="C34" i="16" s="1"/>
  <c r="C48" i="8"/>
  <c r="D48" i="8" s="1"/>
  <c r="B31" i="16"/>
  <c r="C31" i="16" s="1"/>
  <c r="C45" i="8"/>
  <c r="D45" i="8" s="1"/>
  <c r="B28" i="16"/>
  <c r="C28" i="16" s="1"/>
  <c r="C42" i="8"/>
  <c r="D42" i="8" s="1"/>
  <c r="B25" i="16"/>
  <c r="C25" i="16" s="1"/>
  <c r="C39" i="8"/>
  <c r="D39" i="8" s="1"/>
  <c r="B22" i="16"/>
  <c r="C22" i="16" s="1"/>
  <c r="B20" i="16"/>
  <c r="C20" i="16" s="1"/>
  <c r="B18" i="16"/>
  <c r="C18" i="16" s="1"/>
  <c r="B16" i="16"/>
  <c r="C16" i="16" s="1"/>
  <c r="B14" i="16"/>
  <c r="C14" i="16" s="1"/>
  <c r="B12" i="16"/>
  <c r="C12" i="16" s="1"/>
  <c r="B10" i="16"/>
  <c r="C10" i="16" s="1"/>
  <c r="B5" i="16"/>
  <c r="C5" i="16" s="1"/>
  <c r="C1" i="15"/>
  <c r="G28" i="12"/>
  <c r="L14" i="16" s="1"/>
  <c r="C28" i="8"/>
  <c r="D28" i="8" s="1"/>
  <c r="G28" i="8"/>
  <c r="H28" i="8"/>
  <c r="G26" i="12"/>
  <c r="L12" i="16" s="1"/>
  <c r="G31" i="12"/>
  <c r="L17" i="16" s="1"/>
  <c r="C31" i="8"/>
  <c r="D31" i="8" s="1"/>
  <c r="G31" i="8"/>
  <c r="H31" i="8"/>
  <c r="E34" i="16" l="1"/>
  <c r="H34" i="16" s="1"/>
  <c r="F48" i="8"/>
  <c r="I48" i="8" s="1"/>
  <c r="F44" i="8"/>
  <c r="I44" i="8" s="1"/>
  <c r="F43" i="8"/>
  <c r="I43" i="8" s="1"/>
  <c r="F42" i="8"/>
  <c r="I42" i="8" s="1"/>
  <c r="E32" i="16"/>
  <c r="H32" i="16" s="1"/>
  <c r="E35" i="16"/>
  <c r="H35" i="16" s="1"/>
  <c r="E38" i="16"/>
  <c r="H38" i="16" s="1"/>
  <c r="E40" i="16"/>
  <c r="H40" i="16" s="1"/>
  <c r="E42" i="16"/>
  <c r="H42" i="16" s="1"/>
  <c r="E47" i="16"/>
  <c r="H47" i="16" s="1"/>
  <c r="E4" i="16"/>
  <c r="H4" i="16" s="1"/>
  <c r="E7" i="16"/>
  <c r="H7" i="16" s="1"/>
  <c r="E11" i="16"/>
  <c r="H11" i="16" s="1"/>
  <c r="E13" i="16"/>
  <c r="H13" i="16" s="1"/>
  <c r="E15" i="16"/>
  <c r="H15" i="16" s="1"/>
  <c r="E27" i="16"/>
  <c r="H27" i="16" s="1"/>
  <c r="E25" i="16"/>
  <c r="H25" i="16" s="1"/>
  <c r="E31" i="16"/>
  <c r="H31" i="16" s="1"/>
  <c r="E36" i="16"/>
  <c r="H36" i="16" s="1"/>
  <c r="F41" i="8"/>
  <c r="I41" i="8" s="1"/>
  <c r="F39" i="8"/>
  <c r="I39" i="8" s="1"/>
  <c r="F45" i="8"/>
  <c r="I45" i="8" s="1"/>
  <c r="F46" i="8"/>
  <c r="I46" i="8" s="1"/>
  <c r="F49" i="8"/>
  <c r="I49" i="8" s="1"/>
  <c r="E5" i="16"/>
  <c r="H5" i="16" s="1"/>
  <c r="E10" i="16"/>
  <c r="H10" i="16" s="1"/>
  <c r="E12" i="16"/>
  <c r="H12" i="16" s="1"/>
  <c r="E14" i="16"/>
  <c r="H14" i="16" s="1"/>
  <c r="E16" i="16"/>
  <c r="H16" i="16" s="1"/>
  <c r="E18" i="16"/>
  <c r="H18" i="16" s="1"/>
  <c r="E20" i="16"/>
  <c r="H20" i="16" s="1"/>
  <c r="E22" i="16"/>
  <c r="H22" i="16" s="1"/>
  <c r="E28" i="16"/>
  <c r="H28" i="16" s="1"/>
  <c r="E30" i="16"/>
  <c r="H30" i="16" s="1"/>
  <c r="E19" i="16"/>
  <c r="H19" i="16" s="1"/>
  <c r="E21" i="16"/>
  <c r="H21" i="16" s="1"/>
  <c r="E23" i="16"/>
  <c r="H23" i="16" s="1"/>
  <c r="E29" i="16"/>
  <c r="H29" i="16" s="1"/>
  <c r="E37" i="16"/>
  <c r="H37" i="16" s="1"/>
  <c r="E39" i="16"/>
  <c r="H39" i="16" s="1"/>
  <c r="E41" i="16"/>
  <c r="H41" i="16" s="1"/>
  <c r="E43" i="16"/>
  <c r="H43" i="16" s="1"/>
  <c r="F28" i="8"/>
  <c r="I28" i="8" s="1"/>
  <c r="F31" i="8"/>
  <c r="I31" i="8" s="1"/>
  <c r="C27" i="8"/>
  <c r="D27" i="8" s="1"/>
  <c r="G27" i="8"/>
  <c r="H27" i="8"/>
  <c r="G27" i="12"/>
  <c r="L13" i="16" s="1"/>
  <c r="G35" i="12"/>
  <c r="L20" i="16" s="1"/>
  <c r="C34" i="8"/>
  <c r="D34" i="8" s="1"/>
  <c r="G34" i="8"/>
  <c r="H34" i="8"/>
  <c r="G19" i="12"/>
  <c r="L7" i="16" s="1"/>
  <c r="C21" i="8"/>
  <c r="D21" i="8" s="1"/>
  <c r="G21" i="8"/>
  <c r="H21" i="8"/>
  <c r="F34" i="8" l="1"/>
  <c r="I34" i="8" s="1"/>
  <c r="F21" i="8"/>
  <c r="I21" i="8" s="1"/>
  <c r="F27" i="8"/>
  <c r="I27" i="8" s="1"/>
  <c r="C37" i="8" l="1"/>
  <c r="D37" i="8" s="1"/>
  <c r="G37" i="8"/>
  <c r="H37" i="8"/>
  <c r="C25" i="8"/>
  <c r="D25" i="8" s="1"/>
  <c r="G25" i="8"/>
  <c r="H25" i="8"/>
  <c r="G23" i="12"/>
  <c r="L11" i="16" s="1"/>
  <c r="F25" i="8" l="1"/>
  <c r="I25" i="8" s="1"/>
  <c r="F37" i="8"/>
  <c r="I37" i="8" s="1"/>
  <c r="F26" i="14"/>
  <c r="F27" i="14"/>
  <c r="F28" i="14"/>
  <c r="F29" i="14"/>
  <c r="F30" i="14"/>
  <c r="F31" i="14"/>
  <c r="F32" i="14"/>
  <c r="F33" i="14"/>
  <c r="F34" i="14"/>
  <c r="F35" i="14"/>
  <c r="F37" i="14"/>
  <c r="G3" i="12" l="1"/>
  <c r="G4" i="12"/>
  <c r="G5" i="12"/>
  <c r="G6" i="12"/>
  <c r="G7" i="12"/>
  <c r="G8" i="12"/>
  <c r="G9" i="12"/>
  <c r="G10" i="12"/>
  <c r="G11" i="12"/>
  <c r="G12" i="12"/>
  <c r="G13" i="12"/>
  <c r="G14" i="12"/>
  <c r="L3" i="16" s="1"/>
  <c r="G15" i="12"/>
  <c r="L4" i="16" s="1"/>
  <c r="G16" i="12"/>
  <c r="L5" i="16" s="1"/>
  <c r="G17" i="12"/>
  <c r="L6" i="16" s="1"/>
  <c r="G18" i="12"/>
  <c r="G20" i="12"/>
  <c r="L8" i="16" s="1"/>
  <c r="G21" i="12"/>
  <c r="L9" i="16" s="1"/>
  <c r="G22" i="12"/>
  <c r="L10" i="16" s="1"/>
  <c r="G25" i="12"/>
  <c r="L50" i="16" s="1"/>
  <c r="G29" i="12"/>
  <c r="L15" i="16" s="1"/>
  <c r="G30" i="12"/>
  <c r="L16" i="16" s="1"/>
  <c r="G32" i="12"/>
  <c r="L18" i="16" s="1"/>
  <c r="G33" i="12"/>
  <c r="L22" i="16" s="1"/>
  <c r="G34" i="12"/>
  <c r="L21" i="16" s="1"/>
  <c r="G52" i="12"/>
  <c r="L38" i="16" s="1"/>
  <c r="G53" i="12"/>
  <c r="L39" i="16" s="1"/>
  <c r="G54" i="12"/>
  <c r="L40" i="16" s="1"/>
  <c r="G55" i="12"/>
  <c r="L42" i="16" s="1"/>
  <c r="G56" i="12"/>
  <c r="L41" i="16" s="1"/>
  <c r="G57" i="12"/>
  <c r="L43" i="16" s="1"/>
  <c r="G58" i="12"/>
  <c r="L44" i="16" s="1"/>
  <c r="G59" i="12"/>
  <c r="L45" i="16" s="1"/>
  <c r="G61" i="12"/>
  <c r="L47" i="16" s="1"/>
  <c r="G62" i="12"/>
  <c r="L48" i="16" s="1"/>
  <c r="G63" i="12"/>
  <c r="L51" i="16" s="1"/>
  <c r="G64" i="12"/>
  <c r="L52" i="16" s="1"/>
  <c r="G65" i="12"/>
  <c r="L53" i="16" s="1"/>
  <c r="G66" i="12"/>
  <c r="L54" i="16" s="1"/>
  <c r="G67" i="12"/>
  <c r="L55" i="16" s="1"/>
  <c r="G68" i="12"/>
  <c r="L56" i="16" s="1"/>
  <c r="G69" i="12"/>
  <c r="L57" i="16" s="1"/>
  <c r="G70" i="12"/>
  <c r="L58" i="16" s="1"/>
  <c r="G71" i="12"/>
  <c r="L59" i="16" s="1"/>
  <c r="G72" i="12"/>
  <c r="L60" i="16" s="1"/>
  <c r="G73" i="12"/>
  <c r="L61" i="16" s="1"/>
  <c r="G74" i="12"/>
  <c r="L62" i="16" s="1"/>
  <c r="G75" i="12"/>
  <c r="L63" i="16" s="1"/>
  <c r="G76" i="12"/>
  <c r="L64" i="16" s="1"/>
  <c r="G77" i="12"/>
  <c r="L65" i="16" s="1"/>
  <c r="G78" i="12"/>
  <c r="L66" i="16" s="1"/>
  <c r="G79" i="12"/>
  <c r="L67" i="16" s="1"/>
  <c r="G80" i="12"/>
  <c r="L68" i="16" s="1"/>
  <c r="G81" i="12"/>
  <c r="L69" i="16" s="1"/>
  <c r="G82" i="12"/>
  <c r="L70" i="16" s="1"/>
  <c r="G83" i="12"/>
  <c r="L71" i="16" s="1"/>
  <c r="G84" i="12"/>
  <c r="L72" i="16" s="1"/>
  <c r="G85" i="12"/>
  <c r="L73" i="16" s="1"/>
  <c r="G86" i="12"/>
  <c r="L74" i="16" s="1"/>
  <c r="G87" i="12"/>
  <c r="L75" i="16" s="1"/>
  <c r="G88" i="12"/>
  <c r="L76" i="16" s="1"/>
  <c r="I3" i="16" l="1"/>
  <c r="G3" i="16"/>
  <c r="F3" i="16"/>
  <c r="B77" i="12"/>
  <c r="G65" i="16" s="1"/>
  <c r="B78" i="12"/>
  <c r="G66" i="16" s="1"/>
  <c r="B79" i="12"/>
  <c r="G67" i="16" s="1"/>
  <c r="B80" i="12"/>
  <c r="G68" i="16" s="1"/>
  <c r="B81" i="12"/>
  <c r="G69" i="16" s="1"/>
  <c r="B82" i="12"/>
  <c r="G70" i="16" s="1"/>
  <c r="B83" i="12"/>
  <c r="G71" i="16" s="1"/>
  <c r="B84" i="12"/>
  <c r="G72" i="16" s="1"/>
  <c r="B85" i="12"/>
  <c r="G73" i="16" s="1"/>
  <c r="B86" i="12"/>
  <c r="G74" i="16" s="1"/>
  <c r="B87" i="12"/>
  <c r="G75" i="16" s="1"/>
  <c r="B88" i="12"/>
  <c r="G76" i="16" s="1"/>
  <c r="B76" i="12"/>
  <c r="G64" i="16" s="1"/>
  <c r="B68" i="12"/>
  <c r="G56" i="16" s="1"/>
  <c r="B69" i="12"/>
  <c r="G57" i="16" s="1"/>
  <c r="B70" i="12"/>
  <c r="G58" i="16" s="1"/>
  <c r="B71" i="12"/>
  <c r="G59" i="16" s="1"/>
  <c r="B72" i="12"/>
  <c r="G60" i="16" s="1"/>
  <c r="B73" i="12"/>
  <c r="G61" i="16" s="1"/>
  <c r="B74" i="12"/>
  <c r="G62" i="16" s="1"/>
  <c r="B75" i="12"/>
  <c r="G63" i="16" s="1"/>
  <c r="C54" i="8"/>
  <c r="D54" i="8" s="1"/>
  <c r="G54" i="8"/>
  <c r="H54" i="8"/>
  <c r="F54" i="8" l="1"/>
  <c r="I54" i="8" s="1"/>
  <c r="G22" i="8"/>
  <c r="H22" i="8"/>
  <c r="B66" i="16" l="1"/>
  <c r="C66" i="16" s="1"/>
  <c r="B75" i="16"/>
  <c r="C75" i="16" s="1"/>
  <c r="B71" i="16"/>
  <c r="C71" i="16" s="1"/>
  <c r="B67" i="16"/>
  <c r="C67" i="16" s="1"/>
  <c r="B74" i="16"/>
  <c r="C74" i="16" s="1"/>
  <c r="B70" i="16"/>
  <c r="C70" i="16" s="1"/>
  <c r="B65" i="16"/>
  <c r="C65" i="16" s="1"/>
  <c r="B64" i="16"/>
  <c r="C64" i="16" s="1"/>
  <c r="B73" i="16"/>
  <c r="C73" i="16" s="1"/>
  <c r="B69" i="16"/>
  <c r="C69" i="16" s="1"/>
  <c r="B76" i="16"/>
  <c r="C76" i="16" s="1"/>
  <c r="B72" i="16"/>
  <c r="C72" i="16" s="1"/>
  <c r="B68" i="16"/>
  <c r="C68" i="16" s="1"/>
  <c r="G20" i="8"/>
  <c r="H20" i="8"/>
  <c r="C23" i="8"/>
  <c r="D23" i="8" s="1"/>
  <c r="G23" i="8"/>
  <c r="H23" i="8"/>
  <c r="C56" i="8"/>
  <c r="D56" i="8" s="1"/>
  <c r="G56" i="8"/>
  <c r="H56" i="8"/>
  <c r="C17" i="8"/>
  <c r="D17" i="8" s="1"/>
  <c r="G17" i="8"/>
  <c r="H17" i="8"/>
  <c r="C32" i="8"/>
  <c r="D32" i="8" s="1"/>
  <c r="G32" i="8"/>
  <c r="H32" i="8"/>
  <c r="B1" i="15"/>
  <c r="B2" i="15"/>
  <c r="A2" i="15"/>
  <c r="A1" i="15"/>
  <c r="C18" i="8"/>
  <c r="D18" i="8" s="1"/>
  <c r="C19" i="8"/>
  <c r="D19" i="8" s="1"/>
  <c r="C24" i="8"/>
  <c r="D24" i="8" s="1"/>
  <c r="C26" i="8"/>
  <c r="D26" i="8" s="1"/>
  <c r="C29" i="8"/>
  <c r="D29" i="8" s="1"/>
  <c r="C30" i="8"/>
  <c r="D30" i="8" s="1"/>
  <c r="C33" i="8"/>
  <c r="D33" i="8" s="1"/>
  <c r="C35" i="8"/>
  <c r="D35" i="8" s="1"/>
  <c r="C36" i="8"/>
  <c r="D36" i="8" s="1"/>
  <c r="C50" i="8"/>
  <c r="D50" i="8" s="1"/>
  <c r="C51" i="8"/>
  <c r="D51" i="8" s="1"/>
  <c r="C52" i="8"/>
  <c r="D52" i="8" s="1"/>
  <c r="C53" i="8"/>
  <c r="D53" i="8" s="1"/>
  <c r="C55" i="8"/>
  <c r="D55" i="8" s="1"/>
  <c r="C57" i="8"/>
  <c r="D57" i="8" s="1"/>
  <c r="C61" i="8"/>
  <c r="D61" i="8" s="1"/>
  <c r="F8" i="13"/>
  <c r="F5" i="13"/>
  <c r="C5" i="11" s="1"/>
  <c r="F71" i="8" s="1"/>
  <c r="K18" i="14"/>
  <c r="G10" i="8"/>
  <c r="H10" i="8"/>
  <c r="X5" i="11"/>
  <c r="Y5" i="11"/>
  <c r="Z5" i="11"/>
  <c r="AA5" i="11"/>
  <c r="AB5" i="11"/>
  <c r="AC5" i="11"/>
  <c r="AD5" i="11"/>
  <c r="AE5" i="11"/>
  <c r="AF5" i="11"/>
  <c r="AG5" i="11"/>
  <c r="X6" i="11"/>
  <c r="X4" i="11" s="1"/>
  <c r="X2" i="11" s="1"/>
  <c r="Y6" i="11"/>
  <c r="Y4" i="11" s="1"/>
  <c r="Y2" i="11" s="1"/>
  <c r="Z6" i="11"/>
  <c r="Z4" i="11" s="1"/>
  <c r="Z2" i="11" s="1"/>
  <c r="AA6" i="11"/>
  <c r="AA4" i="11" s="1"/>
  <c r="AA2" i="11" s="1"/>
  <c r="AB6" i="11"/>
  <c r="AB4" i="11" s="1"/>
  <c r="AB2" i="11" s="1"/>
  <c r="AC6" i="11"/>
  <c r="AC4" i="11" s="1"/>
  <c r="AC2" i="11" s="1"/>
  <c r="AD6" i="11"/>
  <c r="AD4" i="11" s="1"/>
  <c r="AD2" i="11" s="1"/>
  <c r="AE6" i="11"/>
  <c r="AE4" i="11" s="1"/>
  <c r="AE2" i="11" s="1"/>
  <c r="AF6" i="11"/>
  <c r="AF4" i="11" s="1"/>
  <c r="AF2" i="11" s="1"/>
  <c r="AG6" i="11"/>
  <c r="AG4" i="11" s="1"/>
  <c r="AG2" i="11" s="1"/>
  <c r="E6" i="11"/>
  <c r="E4" i="11" s="1"/>
  <c r="E2" i="11" s="1"/>
  <c r="F6" i="11"/>
  <c r="F4" i="11" s="1"/>
  <c r="F2" i="11" s="1"/>
  <c r="G6" i="11"/>
  <c r="G4" i="11" s="1"/>
  <c r="G2" i="11" s="1"/>
  <c r="H6" i="11"/>
  <c r="H4" i="11" s="1"/>
  <c r="H2" i="11" s="1"/>
  <c r="I6" i="11"/>
  <c r="I4" i="11" s="1"/>
  <c r="I2" i="11" s="1"/>
  <c r="J6" i="11"/>
  <c r="J4" i="11" s="1"/>
  <c r="J2" i="11" s="1"/>
  <c r="K6" i="11"/>
  <c r="K4" i="11" s="1"/>
  <c r="K2" i="11" s="1"/>
  <c r="L6" i="11"/>
  <c r="L4" i="11" s="1"/>
  <c r="L2" i="11" s="1"/>
  <c r="M6" i="11"/>
  <c r="M4" i="11" s="1"/>
  <c r="M2" i="11" s="1"/>
  <c r="N6" i="11"/>
  <c r="N4" i="11" s="1"/>
  <c r="N2" i="11" s="1"/>
  <c r="O6" i="11"/>
  <c r="O4" i="11" s="1"/>
  <c r="O2" i="11" s="1"/>
  <c r="P6" i="11"/>
  <c r="P4" i="11" s="1"/>
  <c r="P2" i="11" s="1"/>
  <c r="Q6" i="11"/>
  <c r="Q4" i="11" s="1"/>
  <c r="Q2" i="11" s="1"/>
  <c r="R6" i="11"/>
  <c r="R4" i="11" s="1"/>
  <c r="R2" i="11" s="1"/>
  <c r="S6" i="11"/>
  <c r="S4" i="11" s="1"/>
  <c r="S2" i="11" s="1"/>
  <c r="T6" i="11"/>
  <c r="T4" i="11" s="1"/>
  <c r="T2" i="11" s="1"/>
  <c r="U6" i="11"/>
  <c r="U4" i="11" s="1"/>
  <c r="U2" i="11" s="1"/>
  <c r="V6" i="11"/>
  <c r="V4" i="11" s="1"/>
  <c r="V2" i="11" s="1"/>
  <c r="W6" i="11"/>
  <c r="W4" i="11" s="1"/>
  <c r="W2" i="11" s="1"/>
  <c r="D6" i="11"/>
  <c r="D4" i="11" s="1"/>
  <c r="E5" i="11"/>
  <c r="F5" i="11"/>
  <c r="G5" i="11"/>
  <c r="H5" i="11"/>
  <c r="I5" i="11"/>
  <c r="J5" i="11"/>
  <c r="K5" i="11"/>
  <c r="L5" i="11"/>
  <c r="M5" i="11"/>
  <c r="N5" i="11"/>
  <c r="O5" i="11"/>
  <c r="P5" i="11"/>
  <c r="Q5" i="11"/>
  <c r="R5" i="11"/>
  <c r="S5" i="11"/>
  <c r="T5" i="11"/>
  <c r="U5" i="11"/>
  <c r="V5" i="11"/>
  <c r="W5" i="11"/>
  <c r="D5" i="11"/>
  <c r="D76" i="8"/>
  <c r="C76" i="8"/>
  <c r="G61" i="8"/>
  <c r="H61" i="8"/>
  <c r="G53" i="8"/>
  <c r="H53" i="8"/>
  <c r="G33" i="8"/>
  <c r="H33" i="8"/>
  <c r="G52" i="8"/>
  <c r="H52" i="8"/>
  <c r="G30" i="8"/>
  <c r="H30" i="8"/>
  <c r="G29" i="8"/>
  <c r="H29" i="8"/>
  <c r="G36" i="8"/>
  <c r="H36" i="8"/>
  <c r="G5" i="8"/>
  <c r="G6" i="8"/>
  <c r="G7" i="8"/>
  <c r="G8" i="8"/>
  <c r="G9" i="8"/>
  <c r="G11" i="8"/>
  <c r="G12" i="8"/>
  <c r="G13" i="8"/>
  <c r="G14" i="8"/>
  <c r="G15" i="8"/>
  <c r="G16" i="8"/>
  <c r="G18" i="8"/>
  <c r="G19" i="8"/>
  <c r="G24" i="8"/>
  <c r="G26" i="8"/>
  <c r="G35" i="8"/>
  <c r="G50" i="8"/>
  <c r="G51" i="8"/>
  <c r="G55" i="8"/>
  <c r="G57" i="8"/>
  <c r="G58" i="8"/>
  <c r="G59" i="8"/>
  <c r="G62" i="8"/>
  <c r="G4" i="8"/>
  <c r="H5" i="8"/>
  <c r="H6" i="8"/>
  <c r="H7" i="8"/>
  <c r="H8" i="8"/>
  <c r="H9" i="8"/>
  <c r="H11" i="8"/>
  <c r="H12" i="8"/>
  <c r="H13" i="8"/>
  <c r="H14" i="8"/>
  <c r="H15" i="8"/>
  <c r="H16" i="8"/>
  <c r="H18" i="8"/>
  <c r="H19" i="8"/>
  <c r="H24" i="8"/>
  <c r="H26" i="8"/>
  <c r="H35" i="8"/>
  <c r="H50" i="8"/>
  <c r="H51" i="8"/>
  <c r="H55" i="8"/>
  <c r="H57" i="8"/>
  <c r="H58" i="8"/>
  <c r="H59" i="8"/>
  <c r="H62" i="8"/>
  <c r="H4" i="8"/>
  <c r="D48" i="16" l="1"/>
  <c r="E62" i="8"/>
  <c r="E65" i="8"/>
  <c r="D77" i="16"/>
  <c r="E59" i="8"/>
  <c r="D45" i="16"/>
  <c r="C3" i="11"/>
  <c r="D26" i="16"/>
  <c r="E40" i="8"/>
  <c r="B3" i="16"/>
  <c r="C3" i="16" s="1"/>
  <c r="D3" i="16"/>
  <c r="E17" i="8"/>
  <c r="F17" i="8" s="1"/>
  <c r="I17" i="8" s="1"/>
  <c r="D6" i="16"/>
  <c r="E20" i="8"/>
  <c r="L2" i="8"/>
  <c r="C6" i="11"/>
  <c r="C4" i="11" s="1"/>
  <c r="E70" i="16"/>
  <c r="H70" i="16" s="1"/>
  <c r="E74" i="16"/>
  <c r="H74" i="16" s="1"/>
  <c r="E67" i="16"/>
  <c r="H67" i="16" s="1"/>
  <c r="E71" i="16"/>
  <c r="H71" i="16" s="1"/>
  <c r="E75" i="16"/>
  <c r="H75" i="16" s="1"/>
  <c r="E68" i="16"/>
  <c r="H68" i="16" s="1"/>
  <c r="E72" i="16"/>
  <c r="H72" i="16" s="1"/>
  <c r="E76" i="16"/>
  <c r="H76" i="16" s="1"/>
  <c r="E69" i="16"/>
  <c r="H69" i="16" s="1"/>
  <c r="E73" i="16"/>
  <c r="H73" i="16" s="1"/>
  <c r="E64" i="16"/>
  <c r="H64" i="16" s="1"/>
  <c r="E65" i="16"/>
  <c r="H65" i="16" s="1"/>
  <c r="E66" i="16"/>
  <c r="H66" i="16" s="1"/>
  <c r="B8" i="16"/>
  <c r="C8" i="16" s="1"/>
  <c r="F12" i="13"/>
  <c r="F21" i="13"/>
  <c r="F22" i="13" s="1"/>
  <c r="F32" i="8"/>
  <c r="I32" i="8" s="1"/>
  <c r="F11" i="13"/>
  <c r="K2" i="8" s="1"/>
  <c r="F76" i="8"/>
  <c r="F57" i="8"/>
  <c r="I57" i="8" s="1"/>
  <c r="F52" i="8"/>
  <c r="I52" i="8" s="1"/>
  <c r="F50" i="8"/>
  <c r="I50" i="8" s="1"/>
  <c r="F35" i="8"/>
  <c r="I35" i="8" s="1"/>
  <c r="F30" i="8"/>
  <c r="I30" i="8" s="1"/>
  <c r="F26" i="8"/>
  <c r="I26" i="8" s="1"/>
  <c r="F19" i="8"/>
  <c r="I19" i="8" s="1"/>
  <c r="F61" i="8"/>
  <c r="I61" i="8" s="1"/>
  <c r="F23" i="8"/>
  <c r="I23" i="8" s="1"/>
  <c r="F55" i="8"/>
  <c r="I55" i="8" s="1"/>
  <c r="F51" i="8"/>
  <c r="I51" i="8" s="1"/>
  <c r="F36" i="8"/>
  <c r="I36" i="8" s="1"/>
  <c r="F33" i="8"/>
  <c r="I33" i="8" s="1"/>
  <c r="F29" i="8"/>
  <c r="I29" i="8" s="1"/>
  <c r="F24" i="8"/>
  <c r="I24" i="8" s="1"/>
  <c r="F18" i="8"/>
  <c r="I18" i="8" s="1"/>
  <c r="F53" i="8"/>
  <c r="I53" i="8" s="1"/>
  <c r="F56" i="8"/>
  <c r="I56" i="8" s="1"/>
  <c r="C22" i="8"/>
  <c r="D22" i="8" s="1"/>
  <c r="D2" i="11"/>
  <c r="A20" i="19" l="1"/>
  <c r="B21" i="19"/>
  <c r="A21" i="19"/>
  <c r="C2" i="11"/>
  <c r="E3" i="16"/>
  <c r="H3" i="16" s="1"/>
  <c r="B58" i="16"/>
  <c r="C58" i="16" s="1"/>
  <c r="B92" i="11"/>
  <c r="C11" i="8" s="1"/>
  <c r="D11" i="8" s="1"/>
  <c r="B48" i="16"/>
  <c r="C48" i="16" s="1"/>
  <c r="B53" i="16"/>
  <c r="C53" i="16" s="1"/>
  <c r="D53" i="16" s="1"/>
  <c r="B87" i="11"/>
  <c r="B61" i="16"/>
  <c r="C61" i="16" s="1"/>
  <c r="B95" i="11"/>
  <c r="B51" i="16"/>
  <c r="C51" i="16" s="1"/>
  <c r="D51" i="16" s="1"/>
  <c r="B60" i="16"/>
  <c r="C60" i="16" s="1"/>
  <c r="B94" i="11"/>
  <c r="C13" i="8" s="1"/>
  <c r="D13" i="8" s="1"/>
  <c r="B62" i="16"/>
  <c r="C62" i="16" s="1"/>
  <c r="B96" i="11"/>
  <c r="B57" i="16"/>
  <c r="C57" i="16" s="1"/>
  <c r="B91" i="11"/>
  <c r="C10" i="8" s="1"/>
  <c r="D10" i="8" s="1"/>
  <c r="B56" i="16"/>
  <c r="C56" i="16" s="1"/>
  <c r="B90" i="11"/>
  <c r="B85" i="11"/>
  <c r="B26" i="16"/>
  <c r="C26" i="16" s="1"/>
  <c r="B55" i="16"/>
  <c r="C55" i="16" s="1"/>
  <c r="B89" i="11"/>
  <c r="C8" i="8" s="1"/>
  <c r="D8" i="8" s="1"/>
  <c r="B45" i="16"/>
  <c r="C45" i="16" s="1"/>
  <c r="B59" i="16"/>
  <c r="C59" i="16" s="1"/>
  <c r="B93" i="11"/>
  <c r="B52" i="16"/>
  <c r="C52" i="16" s="1"/>
  <c r="D52" i="16" s="1"/>
  <c r="B86" i="11"/>
  <c r="B54" i="16"/>
  <c r="C54" i="16" s="1"/>
  <c r="B88" i="11"/>
  <c r="C7" i="8" s="1"/>
  <c r="D7" i="8" s="1"/>
  <c r="B44" i="16"/>
  <c r="C44" i="16" s="1"/>
  <c r="B6" i="16"/>
  <c r="C6" i="16" s="1"/>
  <c r="B63" i="16"/>
  <c r="C63" i="16" s="1"/>
  <c r="B97" i="11"/>
  <c r="F22" i="8"/>
  <c r="I22" i="8" s="1"/>
  <c r="E8" i="16"/>
  <c r="H8" i="16" s="1"/>
  <c r="C47" i="8"/>
  <c r="D47" i="8" s="1"/>
  <c r="B77" i="16"/>
  <c r="C77" i="16" s="1"/>
  <c r="C65" i="8"/>
  <c r="D65" i="8" s="1"/>
  <c r="B49" i="16"/>
  <c r="C49" i="16" s="1"/>
  <c r="D49" i="16" s="1"/>
  <c r="C64" i="8"/>
  <c r="D64" i="8" s="1"/>
  <c r="E64" i="8" s="1"/>
  <c r="C40" i="8"/>
  <c r="D40" i="8" s="1"/>
  <c r="C20" i="8"/>
  <c r="D20" i="8" s="1"/>
  <c r="C62" i="8"/>
  <c r="D62" i="8" s="1"/>
  <c r="C59" i="8"/>
  <c r="D59" i="8" s="1"/>
  <c r="C58" i="8"/>
  <c r="D58" i="8" s="1"/>
  <c r="I76" i="8"/>
  <c r="F38" i="14"/>
  <c r="F13" i="8" l="1"/>
  <c r="I13" i="8" s="1"/>
  <c r="F11" i="8"/>
  <c r="I11" i="8" s="1"/>
  <c r="F10" i="8"/>
  <c r="I10" i="8" s="1"/>
  <c r="F8" i="8"/>
  <c r="I8" i="8" s="1"/>
  <c r="F7" i="8"/>
  <c r="I7" i="8" s="1"/>
  <c r="C14" i="8"/>
  <c r="D14" i="8" s="1"/>
  <c r="F64" i="8"/>
  <c r="I64" i="8" s="1"/>
  <c r="C15" i="8"/>
  <c r="D15" i="8" s="1"/>
  <c r="C12" i="8"/>
  <c r="D12" i="8" s="1"/>
  <c r="E63" i="16"/>
  <c r="H63" i="16" s="1"/>
  <c r="E57" i="16"/>
  <c r="H57" i="16" s="1"/>
  <c r="E60" i="16"/>
  <c r="H60" i="16" s="1"/>
  <c r="E51" i="16"/>
  <c r="H51" i="16" s="1"/>
  <c r="E53" i="16"/>
  <c r="H53" i="16" s="1"/>
  <c r="C6" i="8"/>
  <c r="D6" i="8" s="1"/>
  <c r="C5" i="8"/>
  <c r="D5" i="8" s="1"/>
  <c r="E54" i="16"/>
  <c r="H54" i="16" s="1"/>
  <c r="E59" i="16"/>
  <c r="H59" i="16" s="1"/>
  <c r="C4" i="8"/>
  <c r="D4" i="8" s="1"/>
  <c r="E4" i="8" s="1"/>
  <c r="E49" i="16"/>
  <c r="H49" i="16" s="1"/>
  <c r="E55" i="16"/>
  <c r="H55" i="16" s="1"/>
  <c r="E58" i="16"/>
  <c r="H58" i="16" s="1"/>
  <c r="E6" i="16"/>
  <c r="H6" i="16" s="1"/>
  <c r="E52" i="16"/>
  <c r="H52" i="16" s="1"/>
  <c r="E45" i="16"/>
  <c r="H45" i="16" s="1"/>
  <c r="F40" i="8"/>
  <c r="I40" i="8" s="1"/>
  <c r="E26" i="16"/>
  <c r="H26" i="16" s="1"/>
  <c r="C9" i="8"/>
  <c r="D9" i="8" s="1"/>
  <c r="E56" i="16"/>
  <c r="H56" i="16" s="1"/>
  <c r="E62" i="16"/>
  <c r="H62" i="16" s="1"/>
  <c r="E61" i="16"/>
  <c r="H61" i="16" s="1"/>
  <c r="E48" i="16"/>
  <c r="H48" i="16" s="1"/>
  <c r="F65" i="8"/>
  <c r="I65" i="8" s="1"/>
  <c r="F47" i="8"/>
  <c r="I47" i="8" s="1"/>
  <c r="C16" i="8"/>
  <c r="D16" i="8" s="1"/>
  <c r="F58" i="8"/>
  <c r="I58" i="8" s="1"/>
  <c r="E44" i="16"/>
  <c r="H44" i="16" s="1"/>
  <c r="E77" i="16"/>
  <c r="H77" i="16" s="1"/>
  <c r="F59" i="8"/>
  <c r="I59" i="8" s="1"/>
  <c r="F62" i="8"/>
  <c r="I62" i="8" s="1"/>
  <c r="F20" i="8"/>
  <c r="I20" i="8" s="1"/>
  <c r="E6" i="8" l="1"/>
  <c r="F6" i="8" s="1"/>
  <c r="I6" i="8" s="1"/>
  <c r="E5" i="8"/>
  <c r="F5" i="8" s="1"/>
  <c r="I5" i="8" s="1"/>
  <c r="F15" i="8"/>
  <c r="I15" i="8" s="1"/>
  <c r="F14" i="8"/>
  <c r="I14" i="8" s="1"/>
  <c r="F12" i="8"/>
  <c r="I12" i="8" s="1"/>
  <c r="C67" i="8"/>
  <c r="F16" i="8"/>
  <c r="I16" i="8" s="1"/>
  <c r="F9" i="8"/>
  <c r="I9" i="8" s="1"/>
  <c r="D67" i="8"/>
  <c r="F4" i="8"/>
  <c r="I4" i="8" l="1"/>
  <c r="I67" i="8" s="1"/>
  <c r="B73" i="8" s="1"/>
  <c r="M2" i="8" s="1"/>
  <c r="F67" i="8"/>
  <c r="F70" i="8" s="1"/>
  <c r="F72" i="8" l="1"/>
  <c r="F73" i="8" s="1"/>
  <c r="G73" i="8" s="1"/>
</calcChain>
</file>

<file path=xl/sharedStrings.xml><?xml version="1.0" encoding="utf-8"?>
<sst xmlns="http://schemas.openxmlformats.org/spreadsheetml/2006/main" count="1078" uniqueCount="335">
  <si>
    <t>Part #</t>
  </si>
  <si>
    <t>Description</t>
  </si>
  <si>
    <t>Qty</t>
  </si>
  <si>
    <t>BPS Qty</t>
  </si>
  <si>
    <t>Wgt Each</t>
  </si>
  <si>
    <t>Total Wgt</t>
  </si>
  <si>
    <t>Material</t>
  </si>
  <si>
    <t>Price</t>
  </si>
  <si>
    <t>Total</t>
  </si>
  <si>
    <t>Cardboard</t>
  </si>
  <si>
    <t>Paper</t>
  </si>
  <si>
    <t>No Freight Charges</t>
  </si>
  <si>
    <t>Pallets</t>
  </si>
  <si>
    <t>Total BPS Wgt</t>
  </si>
  <si>
    <t>Total Toyota Wgt</t>
  </si>
  <si>
    <t>Discrepancy %</t>
  </si>
  <si>
    <t>Landfill</t>
  </si>
  <si>
    <t xml:space="preserve">BPS PO </t>
  </si>
  <si>
    <t>PALLET</t>
  </si>
  <si>
    <t>BPS LBS</t>
  </si>
  <si>
    <t>MATERIAL LBS</t>
  </si>
  <si>
    <t>TOTALS</t>
  </si>
  <si>
    <t>STEEL</t>
  </si>
  <si>
    <t>PLASTIC</t>
  </si>
  <si>
    <t>FOAM</t>
  </si>
  <si>
    <t>PAPER</t>
  </si>
  <si>
    <t>RUBBER</t>
  </si>
  <si>
    <t>E-WASTE</t>
  </si>
  <si>
    <t>WOOD</t>
  </si>
  <si>
    <t>GLASS</t>
  </si>
  <si>
    <t>Difference</t>
  </si>
  <si>
    <t>Wood</t>
  </si>
  <si>
    <t>Glass</t>
  </si>
  <si>
    <t>Cloth</t>
  </si>
  <si>
    <t>E-Waste</t>
  </si>
  <si>
    <t>Rubber</t>
  </si>
  <si>
    <t>Foam</t>
  </si>
  <si>
    <t>Plastic</t>
  </si>
  <si>
    <t>Aluminum</t>
  </si>
  <si>
    <t>Steel</t>
  </si>
  <si>
    <t>Mixed Metals</t>
  </si>
  <si>
    <t>CLOTH</t>
  </si>
  <si>
    <t>A/C Compressors</t>
  </si>
  <si>
    <t>Alternators</t>
  </si>
  <si>
    <t>Catalytic Converters</t>
  </si>
  <si>
    <t>Intake Manifolds</t>
  </si>
  <si>
    <t>Engines</t>
  </si>
  <si>
    <t>Power Steering Pumps</t>
  </si>
  <si>
    <t>Rack/Pinions</t>
  </si>
  <si>
    <t>Radiators/Condensers</t>
  </si>
  <si>
    <t>Starters</t>
  </si>
  <si>
    <t>Steering Gears</t>
  </si>
  <si>
    <t>Transmissions</t>
  </si>
  <si>
    <t>Water Pumps</t>
  </si>
  <si>
    <t>Wire Harness</t>
  </si>
  <si>
    <t>Base Commodity</t>
  </si>
  <si>
    <t>SCR-STEEL-T</t>
  </si>
  <si>
    <t>BPS Part Number</t>
  </si>
  <si>
    <t>Bumpers</t>
  </si>
  <si>
    <t>SCR-CARDBOARD</t>
  </si>
  <si>
    <t xml:space="preserve"> </t>
  </si>
  <si>
    <t>Part</t>
  </si>
  <si>
    <t>Commodity</t>
  </si>
  <si>
    <t>BUMPERS</t>
  </si>
  <si>
    <t>QTY</t>
  </si>
  <si>
    <t>ALUMINUM</t>
  </si>
  <si>
    <t>MIXED METALS</t>
  </si>
  <si>
    <t>TOYOTA LBS</t>
  </si>
  <si>
    <t>CV Axle</t>
  </si>
  <si>
    <t>Differential</t>
  </si>
  <si>
    <t>CARDBOARD</t>
  </si>
  <si>
    <t>PALLETS</t>
  </si>
  <si>
    <t>Trans Valve Body</t>
  </si>
  <si>
    <t>Half Shafts</t>
  </si>
  <si>
    <t>Engine Heads</t>
  </si>
  <si>
    <t>MATERIAL REMAINING</t>
  </si>
  <si>
    <t>Throttle Body</t>
  </si>
  <si>
    <t>ECM</t>
  </si>
  <si>
    <t>Torque Converter</t>
  </si>
  <si>
    <t>COMMODITY TOTAL</t>
  </si>
  <si>
    <t>Parts</t>
  </si>
  <si>
    <t>Toyota</t>
  </si>
  <si>
    <t>Container</t>
  </si>
  <si>
    <t>TOYOTA WEIGHT</t>
  </si>
  <si>
    <t>BPS WEIGHT</t>
  </si>
  <si>
    <t>DIFFERENCE</t>
  </si>
  <si>
    <t>IRON</t>
  </si>
  <si>
    <t>Iron</t>
  </si>
  <si>
    <t>SCR-CAST-T</t>
  </si>
  <si>
    <t>BPS Cores, Inc.</t>
  </si>
  <si>
    <t>SUPPLIERS TO THE REBUILDING INDUSTRY SINCE 1964</t>
  </si>
  <si>
    <t>1122 Milledge Street ∙ East Point, GA 30344 ∙ (404) 559-8571 ∙ (800) 241-7370 ∙ Fax (404) 767-7853</t>
  </si>
  <si>
    <t>Scrap Disposal Form</t>
  </si>
  <si>
    <t>TOYOTA MOTOR SALES USA, INC.</t>
  </si>
  <si>
    <t>Scrap Company Name:</t>
  </si>
  <si>
    <t>Boles Parts Supply, Inc.</t>
  </si>
  <si>
    <t>Toyota Shipping location:</t>
  </si>
  <si>
    <t>SAN RAMON</t>
  </si>
  <si>
    <t>State:</t>
  </si>
  <si>
    <t>BPS PO #:</t>
  </si>
  <si>
    <t>Load Count:</t>
  </si>
  <si>
    <t>Scrap Receipt Approver:</t>
  </si>
  <si>
    <t>Stacy English</t>
  </si>
  <si>
    <t>Receipt Confirmation:</t>
  </si>
  <si>
    <t>Signature</t>
  </si>
  <si>
    <t>Date</t>
  </si>
  <si>
    <t>Product Type</t>
  </si>
  <si>
    <t>Net Weight</t>
  </si>
  <si>
    <t>Material Content</t>
  </si>
  <si>
    <t>This is to certify that the above parts received to be destroyed and recycled from Toyota Motor Sales USA, Inc. has been completed in such a manner that the parts were rendered unusable and will not find their way into the marketplace.  BPS damaged or defaced each part in accordance with the processes agreed upon with Toyota.  All materials received and processed by BPS have been shipped to the listed recycling facility where it will be converted into raw materials.  None of these materials were removed from the recycling scrap stream by BPS or its employees for any reason.</t>
  </si>
  <si>
    <t>Mutilation Witness</t>
  </si>
  <si>
    <t xml:space="preserve">                                                                                                              </t>
  </si>
  <si>
    <t>CA</t>
  </si>
  <si>
    <t>TORRANCE</t>
  </si>
  <si>
    <t>ONTARIO</t>
  </si>
  <si>
    <t>PORTLAND</t>
  </si>
  <si>
    <t>OR</t>
  </si>
  <si>
    <t>AURORA</t>
  </si>
  <si>
    <t>IL</t>
  </si>
  <si>
    <t>KANSAS CITY</t>
  </si>
  <si>
    <t>MO</t>
  </si>
  <si>
    <t>CINCINNATI</t>
  </si>
  <si>
    <t>OH</t>
  </si>
  <si>
    <t>HEBRON</t>
  </si>
  <si>
    <t>KY</t>
  </si>
  <si>
    <t>TOYOTA TOTAL</t>
  </si>
  <si>
    <t>BPS TOTAL</t>
  </si>
  <si>
    <t>Driveshafts</t>
  </si>
  <si>
    <t>JACKSONVILLE</t>
  </si>
  <si>
    <t>FL</t>
  </si>
  <si>
    <t>Brake Shoes</t>
  </si>
  <si>
    <t>SEALY</t>
  </si>
  <si>
    <t>TX</t>
  </si>
  <si>
    <t>Audio</t>
  </si>
  <si>
    <t>Brake Rotors/Drums</t>
  </si>
  <si>
    <t>Transfer Case</t>
  </si>
  <si>
    <t>ALUMINUM - QUAR</t>
  </si>
  <si>
    <t>BUMPERS - QUAR</t>
  </si>
  <si>
    <t>CLOTH - QUAR</t>
  </si>
  <si>
    <t>E-WASTE - QUAR</t>
  </si>
  <si>
    <t>FOAM - QUAR</t>
  </si>
  <si>
    <t>GLASS - QUAR</t>
  </si>
  <si>
    <t>IRON - QUAR</t>
  </si>
  <si>
    <t>MIXED METALS - QUAR</t>
  </si>
  <si>
    <t>PAPER - QUAR</t>
  </si>
  <si>
    <t>PLASTIC - QUAR</t>
  </si>
  <si>
    <t>RUBBER - QUAR</t>
  </si>
  <si>
    <t>STEEL - QUAR</t>
  </si>
  <si>
    <t>WOOD - QUAR</t>
  </si>
  <si>
    <t>ALUMINUM - SCR</t>
  </si>
  <si>
    <t>BUMPERS - SCR</t>
  </si>
  <si>
    <t>CLOTH - SCR</t>
  </si>
  <si>
    <t>E-WASTE - SCR</t>
  </si>
  <si>
    <t>FOAM - SCR</t>
  </si>
  <si>
    <t>GLASS - SCR</t>
  </si>
  <si>
    <t>IRON - SCR</t>
  </si>
  <si>
    <t>MIXED METALS - SCR</t>
  </si>
  <si>
    <t>PAPER - SCR</t>
  </si>
  <si>
    <t>PLASTIC - SCR</t>
  </si>
  <si>
    <t>RUBBER - SCR</t>
  </si>
  <si>
    <t>STEEL - SCR</t>
  </si>
  <si>
    <t>WOOD - SCR</t>
  </si>
  <si>
    <t>Location</t>
  </si>
  <si>
    <t>S</t>
  </si>
  <si>
    <t>Default Location</t>
  </si>
  <si>
    <t>S WHSE</t>
  </si>
  <si>
    <t>Camshaft</t>
  </si>
  <si>
    <t>ABS1000</t>
  </si>
  <si>
    <t>ACC1000</t>
  </si>
  <si>
    <t>ALT1000</t>
  </si>
  <si>
    <t>UBS1000</t>
  </si>
  <si>
    <t>CAL1000</t>
  </si>
  <si>
    <t>CAM1000</t>
  </si>
  <si>
    <t>CCV1000</t>
  </si>
  <si>
    <t>FWD1000</t>
  </si>
  <si>
    <t>DIF1000</t>
  </si>
  <si>
    <t>HDS1000</t>
  </si>
  <si>
    <t>ENG1000</t>
  </si>
  <si>
    <t>ECM1000</t>
  </si>
  <si>
    <t>MCL1000</t>
  </si>
  <si>
    <t>PBB1000</t>
  </si>
  <si>
    <t>PSP1000</t>
  </si>
  <si>
    <t>PRP1000</t>
  </si>
  <si>
    <t>STS1000</t>
  </si>
  <si>
    <t>STR1000</t>
  </si>
  <si>
    <t>PSG1000</t>
  </si>
  <si>
    <t>TBC1000</t>
  </si>
  <si>
    <t>TOR1000</t>
  </si>
  <si>
    <t>TRC1000</t>
  </si>
  <si>
    <t>TVB1000</t>
  </si>
  <si>
    <t>TRN1000</t>
  </si>
  <si>
    <t>WTP1000</t>
  </si>
  <si>
    <t>EWL1000</t>
  </si>
  <si>
    <t>Fuel Pump</t>
  </si>
  <si>
    <t>FLP1000</t>
  </si>
  <si>
    <t>Smog Pumps</t>
  </si>
  <si>
    <t>SPP1000</t>
  </si>
  <si>
    <t>s</t>
  </si>
  <si>
    <t>Body Control Computer</t>
  </si>
  <si>
    <t>BCC1000</t>
  </si>
  <si>
    <t>EGR Valve</t>
  </si>
  <si>
    <t>EGR1000</t>
  </si>
  <si>
    <t>Clutch Assembly</t>
  </si>
  <si>
    <t>CLA1000</t>
  </si>
  <si>
    <t>Inverter</t>
  </si>
  <si>
    <t>SCR01</t>
  </si>
  <si>
    <t>Diesel Injection Pump</t>
  </si>
  <si>
    <t>DIP1000</t>
  </si>
  <si>
    <t>Crankshaft</t>
  </si>
  <si>
    <t>ECS1000</t>
  </si>
  <si>
    <t>FREIGHT</t>
  </si>
  <si>
    <t>Freight Charges:</t>
  </si>
  <si>
    <t>STATE</t>
  </si>
  <si>
    <t>BPS Weight</t>
  </si>
  <si>
    <t>SFPDC</t>
  </si>
  <si>
    <t>LAPDC</t>
  </si>
  <si>
    <t>WCAF</t>
  </si>
  <si>
    <t>NAPCC</t>
  </si>
  <si>
    <t>CHPDC</t>
  </si>
  <si>
    <t>KCPDC</t>
  </si>
  <si>
    <t>CNPDC</t>
  </si>
  <si>
    <t>NAPCK</t>
  </si>
  <si>
    <t xml:space="preserve">ONTARIO </t>
  </si>
  <si>
    <t>FACILITY</t>
  </si>
  <si>
    <t>LOCATION</t>
  </si>
  <si>
    <t>SET</t>
  </si>
  <si>
    <t>Window Lift</t>
  </si>
  <si>
    <t>Wiper Motors</t>
  </si>
  <si>
    <t>EWM1000</t>
  </si>
  <si>
    <t>CHARGES</t>
  </si>
  <si>
    <t>SCR-STEEL</t>
  </si>
  <si>
    <t>SCR-ALUM</t>
  </si>
  <si>
    <t>SCR-PLA</t>
  </si>
  <si>
    <t>SCR-EWASTE</t>
  </si>
  <si>
    <t>SCR-MXMET</t>
  </si>
  <si>
    <t>SCR-BUMPER</t>
  </si>
  <si>
    <t>SCR-WOOD</t>
  </si>
  <si>
    <t>SCR-HARNESSES</t>
  </si>
  <si>
    <t>SCR-ALUM-T</t>
  </si>
  <si>
    <t>SCR-BUMPER-T</t>
  </si>
  <si>
    <t>SCR-EWASTE-T</t>
  </si>
  <si>
    <t>SCR-MXMET-T</t>
  </si>
  <si>
    <t>SCR-PLA-T</t>
  </si>
  <si>
    <t>SCR-CLOTH-T</t>
  </si>
  <si>
    <t>SCR-GLASS-T</t>
  </si>
  <si>
    <t>SCR-RUBBER-T</t>
  </si>
  <si>
    <t>SCR-WHEELS-TA</t>
  </si>
  <si>
    <t>PTPDC</t>
  </si>
  <si>
    <t>GST</t>
  </si>
  <si>
    <t>SAN FELIPE</t>
  </si>
  <si>
    <t>Brake Master Cylinder</t>
  </si>
  <si>
    <t>Fuel Injector</t>
  </si>
  <si>
    <t>Mass Air Flow Sensor</t>
  </si>
  <si>
    <t>Susp Shocks/Struts</t>
  </si>
  <si>
    <t>Wheels-Alum</t>
  </si>
  <si>
    <t>Wheels-Chrome</t>
  </si>
  <si>
    <t>Scrap</t>
  </si>
  <si>
    <t>Scrap/Quar</t>
  </si>
  <si>
    <t>Quar</t>
  </si>
  <si>
    <t>Antilock Brake Pts</t>
  </si>
  <si>
    <t>Total Credited</t>
  </si>
  <si>
    <t>Fee</t>
  </si>
  <si>
    <t>Gate Motor</t>
  </si>
  <si>
    <t>Brake Booster &amp; MCL</t>
  </si>
  <si>
    <t>EGM1000</t>
  </si>
  <si>
    <t>PBB1000C</t>
  </si>
  <si>
    <t>Credit</t>
  </si>
  <si>
    <t>Freight Chgs</t>
  </si>
  <si>
    <t>BoL VS TOYOTA WT DIFF</t>
  </si>
  <si>
    <t>TOYOTA VS BPS WT DIFF</t>
  </si>
  <si>
    <t>TOYOTA BoL WT</t>
  </si>
  <si>
    <t>Brake Calipers</t>
  </si>
  <si>
    <t>Brake Booster, Power</t>
  </si>
  <si>
    <t>TOYOTA-HDLG</t>
  </si>
  <si>
    <t>BALED CARDBOARD</t>
  </si>
  <si>
    <t>Baled Cardboard</t>
  </si>
  <si>
    <t>MISC</t>
  </si>
  <si>
    <t>Misc</t>
  </si>
  <si>
    <t>PALLET/LOAD</t>
  </si>
  <si>
    <t>ENTER DATA HERE</t>
  </si>
  <si>
    <t>Do not enter data on any other pages</t>
  </si>
  <si>
    <t>TRACKER</t>
  </si>
  <si>
    <t>UNLOAD SHEET</t>
  </si>
  <si>
    <t>CHECK-IN</t>
  </si>
  <si>
    <t>SUMMARY</t>
  </si>
  <si>
    <t>CERT OF DEST</t>
  </si>
  <si>
    <t>AX INVOICE</t>
  </si>
  <si>
    <t>CHECK</t>
  </si>
  <si>
    <t>EMAIL</t>
  </si>
  <si>
    <t>BPS PO:</t>
  </si>
  <si>
    <t>LOCATION:</t>
  </si>
  <si>
    <t>FACILITY:</t>
  </si>
  <si>
    <t>CONTAINER #:</t>
  </si>
  <si>
    <t>PALLETS/CASES:</t>
  </si>
  <si>
    <t>WEIGHT:</t>
  </si>
  <si>
    <t>FREIGHT CHGS:</t>
  </si>
  <si>
    <t>RECEIVED:</t>
  </si>
  <si>
    <t>TOYOTA</t>
  </si>
  <si>
    <t>FULL LOCATION</t>
  </si>
  <si>
    <t>PO</t>
  </si>
  <si>
    <t>DATE RECEIVED</t>
  </si>
  <si>
    <t>CONTAINER</t>
  </si>
  <si>
    <t>SEAL</t>
  </si>
  <si>
    <t>SHIPMENT</t>
  </si>
  <si>
    <t>PALLETS/CASES</t>
  </si>
  <si>
    <t>BOL WEIGHT</t>
  </si>
  <si>
    <t>Use Drop Down Menu for Location</t>
  </si>
  <si>
    <t>COMMODITIES</t>
  </si>
  <si>
    <t>UNLOAD</t>
  </si>
  <si>
    <t>RECEIPT</t>
  </si>
  <si>
    <t>QScr</t>
  </si>
  <si>
    <t>PARTS</t>
  </si>
  <si>
    <t>ITEM</t>
  </si>
  <si>
    <t>DESCRIPTION</t>
  </si>
  <si>
    <t>TOYOTA QTY</t>
  </si>
  <si>
    <t>BPS QTY</t>
  </si>
  <si>
    <t>ADDTL FREIGHT</t>
  </si>
  <si>
    <t>TOY WEIGHT</t>
  </si>
  <si>
    <t>DIFF</t>
  </si>
  <si>
    <t>MESSAGE CENTER</t>
  </si>
  <si>
    <t>SHIP LOC IF DIFF</t>
  </si>
  <si>
    <t>CINCINNATI, OH</t>
  </si>
  <si>
    <t>HEBRON, KY</t>
  </si>
  <si>
    <t>JACKSONVILLE, FL</t>
  </si>
  <si>
    <t>SEALY, TX</t>
  </si>
  <si>
    <t>KANSAS CITY, MO</t>
  </si>
  <si>
    <t>SAVED</t>
  </si>
  <si>
    <t>PRINTED</t>
  </si>
  <si>
    <t>COMPLETED</t>
  </si>
  <si>
    <t>RECEIVED</t>
  </si>
  <si>
    <t>SENT
SIGNED &amp; PRINTED</t>
  </si>
  <si>
    <t>WT TOLERANCE</t>
  </si>
  <si>
    <t>IN
OUT &amp; EMAIL SENT</t>
  </si>
  <si>
    <t>FREIGHT CHGS</t>
  </si>
  <si>
    <t>INV1000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</si>
</sst>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1" formatCode="_(* #,##0_);_(* \(#,##0\);_(* &quot;-&quot;_);_(@_)"/>
    <numFmt numFmtId="44" formatCode="_(&quot;$&quot;* #,##0.00_);_(&quot;$&quot;* \(#,##0.00\);_(&quot;$&quot;* &quot;-&quot;??_);_(@_)"/>
    <numFmt numFmtId="43" formatCode="_(* #,##0.00_);_(* \(#,##0.00\);_(* &quot;-&quot;??_);_(@_)"/>
    <numFmt numFmtId="164" formatCode="_(* #,##0_);_(* \(#,##0\);_(* &quot;-&quot;??_);_(@_)"/>
    <numFmt numFmtId="165" formatCode="_(&quot;$&quot;* #,##0.000_);_(&quot;$&quot;* \(#,##0.000\);_(&quot;$&quot;* &quot;-&quot;??_);_(@_)"/>
    <numFmt numFmtId="166" formatCode="&quot;$&quot;#,##0.00"/>
    <numFmt numFmtId="167" formatCode="m\-d\-yyyy"/>
  </numFmts>
  <fonts count="34"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11"/>
      <color theme="1"/>
      <name val="Calibri"/>
      <family val="2"/>
      <scheme val="minor"/>
    </font>
    <font>
      <b/>
      <sz val="14"/>
      <color theme="1"/>
      <name val="Calibri"/>
      <family val="2"/>
      <scheme val="minor"/>
    </font>
    <font>
      <sz val="10"/>
      <name val="Arial"/>
      <family val="2"/>
    </font>
    <font>
      <b/>
      <sz val="36"/>
      <name val="Times New Roman"/>
      <family val="1"/>
    </font>
    <font>
      <b/>
      <sz val="14"/>
      <name val="Times New Roman"/>
      <family val="1"/>
    </font>
    <font>
      <b/>
      <sz val="12"/>
      <name val="Times New Roman"/>
      <family val="1"/>
    </font>
    <font>
      <b/>
      <sz val="16"/>
      <name val="Calibri"/>
      <family val="2"/>
    </font>
    <font>
      <b/>
      <sz val="10"/>
      <name val="Calibri"/>
      <family val="2"/>
    </font>
    <font>
      <b/>
      <sz val="12"/>
      <name val="Calibri"/>
      <family val="2"/>
    </font>
    <font>
      <b/>
      <i/>
      <sz val="9.5"/>
      <name val="Times New Roman"/>
      <family val="1"/>
    </font>
    <font>
      <sz val="10"/>
      <name val="Arial"/>
      <family val="2"/>
    </font>
    <font>
      <b/>
      <i/>
      <sz val="12"/>
      <name val="Calibri"/>
      <family val="2"/>
    </font>
    <font>
      <b/>
      <i/>
      <sz val="12"/>
      <name val="Arial"/>
      <family val="2"/>
    </font>
    <font>
      <sz val="11"/>
      <color theme="1"/>
      <name val="Arial"/>
      <family val="2"/>
    </font>
    <font>
      <b/>
      <sz val="11"/>
      <color theme="1"/>
      <name val="Arial"/>
      <family val="2"/>
    </font>
    <font>
      <b/>
      <sz val="11"/>
      <color theme="1"/>
      <name val="Arial Black"/>
      <family val="2"/>
    </font>
    <font>
      <b/>
      <sz val="10"/>
      <color theme="1"/>
      <name val="Arial"/>
      <family val="2"/>
    </font>
    <font>
      <b/>
      <sz val="8"/>
      <color theme="1"/>
      <name val="Arial"/>
      <family val="2"/>
    </font>
    <font>
      <b/>
      <sz val="24"/>
      <color theme="1"/>
      <name val="Arial"/>
      <family val="2"/>
    </font>
    <font>
      <sz val="24"/>
      <color theme="1"/>
      <name val="Arial"/>
      <family val="2"/>
    </font>
    <font>
      <b/>
      <sz val="14"/>
      <color theme="1"/>
      <name val="Arial Black"/>
      <family val="2"/>
    </font>
    <font>
      <b/>
      <sz val="11"/>
      <name val="Calibri"/>
      <family val="2"/>
      <scheme val="minor"/>
    </font>
    <font>
      <sz val="11"/>
      <color theme="1"/>
      <name val="Arial Black"/>
      <family val="2"/>
    </font>
    <font>
      <b/>
      <sz val="34"/>
      <color theme="1"/>
      <name val="Arial"/>
      <family val="2"/>
    </font>
    <font>
      <sz val="34"/>
      <color theme="1"/>
      <name val="Calibri"/>
      <family val="2"/>
      <scheme val="minor"/>
    </font>
    <font>
      <sz val="11"/>
      <color rgb="FF000000"/>
      <name val="Calibri"/>
      <family val="2"/>
    </font>
    <font>
      <sz val="12"/>
      <color theme="1"/>
      <name val="Arial"/>
      <family val="2"/>
    </font>
  </fonts>
  <fills count="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indexed="22"/>
        <bgColor indexed="64"/>
      </patternFill>
    </fill>
    <fill>
      <patternFill patternType="solid">
        <fgColor rgb="FFDAF0E9"/>
        <bgColor indexed="64"/>
      </patternFill>
    </fill>
    <fill>
      <patternFill patternType="solid">
        <fgColor theme="6" tint="0.59999389629810485"/>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top/>
      <bottom style="thick">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s>
  <cellStyleXfs count="6">
    <xf numFmtId="0" fontId="0" fillId="0" borderId="0"/>
    <xf numFmtId="44"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9" fillId="0" borderId="0"/>
    <xf numFmtId="43" fontId="6" fillId="0" borderId="0" applyFont="0" applyFill="0" applyBorder="0" applyAlignment="0" applyProtection="0"/>
  </cellStyleXfs>
  <cellXfs count="270">
    <xf numFmtId="0" fontId="0" fillId="0" borderId="0" xfId="0"/>
    <xf numFmtId="0" fontId="0" fillId="0" borderId="1" xfId="0" applyBorder="1"/>
    <xf numFmtId="44" fontId="0" fillId="0" borderId="0" xfId="1" applyFont="1"/>
    <xf numFmtId="0" fontId="0" fillId="0" borderId="0" xfId="0" applyAlignment="1">
      <alignment wrapText="1"/>
    </xf>
    <xf numFmtId="0" fontId="7" fillId="0" borderId="1" xfId="0" applyFont="1" applyBorder="1"/>
    <xf numFmtId="43" fontId="0" fillId="0" borderId="1" xfId="2" applyFont="1" applyBorder="1"/>
    <xf numFmtId="43" fontId="0" fillId="0" borderId="0" xfId="2" applyFont="1"/>
    <xf numFmtId="2" fontId="0" fillId="0" borderId="1" xfId="3" applyNumberFormat="1" applyFont="1" applyBorder="1"/>
    <xf numFmtId="0" fontId="7" fillId="0" borderId="1" xfId="0" applyFont="1" applyFill="1" applyBorder="1"/>
    <xf numFmtId="43" fontId="7" fillId="0" borderId="1" xfId="2" applyFont="1" applyBorder="1"/>
    <xf numFmtId="164" fontId="0" fillId="0" borderId="0" xfId="2" applyNumberFormat="1" applyFont="1"/>
    <xf numFmtId="0" fontId="0" fillId="0" borderId="1" xfId="0" applyFill="1" applyBorder="1"/>
    <xf numFmtId="0" fontId="0" fillId="0" borderId="0" xfId="0" applyNumberFormat="1"/>
    <xf numFmtId="43" fontId="0" fillId="3" borderId="1" xfId="2" applyFont="1" applyFill="1" applyBorder="1"/>
    <xf numFmtId="0" fontId="0" fillId="0" borderId="0" xfId="0" applyAlignment="1">
      <alignment horizontal="left"/>
    </xf>
    <xf numFmtId="49" fontId="7" fillId="0" borderId="1" xfId="0" applyNumberFormat="1" applyFont="1" applyBorder="1" applyAlignment="1">
      <alignment horizontal="left"/>
    </xf>
    <xf numFmtId="0" fontId="0" fillId="0" borderId="2" xfId="0" applyBorder="1"/>
    <xf numFmtId="43" fontId="0" fillId="0" borderId="2" xfId="2" applyFont="1" applyBorder="1"/>
    <xf numFmtId="0" fontId="0" fillId="0" borderId="6" xfId="0" applyBorder="1"/>
    <xf numFmtId="0" fontId="0" fillId="0" borderId="10" xfId="0" applyBorder="1" applyAlignment="1">
      <alignment horizontal="left"/>
    </xf>
    <xf numFmtId="0" fontId="8" fillId="0" borderId="0" xfId="0" applyFont="1" applyFill="1" applyAlignment="1">
      <alignment horizontal="right"/>
    </xf>
    <xf numFmtId="0" fontId="0" fillId="0" borderId="12" xfId="0" applyBorder="1"/>
    <xf numFmtId="43" fontId="0" fillId="0" borderId="12" xfId="2" applyFont="1" applyBorder="1"/>
    <xf numFmtId="0" fontId="9" fillId="0" borderId="0" xfId="4"/>
    <xf numFmtId="0" fontId="10" fillId="0" borderId="0" xfId="4" applyFont="1"/>
    <xf numFmtId="0" fontId="11" fillId="0" borderId="13" xfId="4" applyFont="1" applyBorder="1"/>
    <xf numFmtId="0" fontId="9" fillId="0" borderId="13" xfId="4" applyBorder="1"/>
    <xf numFmtId="0" fontId="12" fillId="0" borderId="0" xfId="4" applyFont="1"/>
    <xf numFmtId="0" fontId="14" fillId="0" borderId="0" xfId="4" applyFont="1" applyAlignment="1">
      <alignment horizontal="right"/>
    </xf>
    <xf numFmtId="0" fontId="15" fillId="0" borderId="14" xfId="4" applyFont="1" applyBorder="1" applyAlignment="1">
      <alignment horizontal="center"/>
    </xf>
    <xf numFmtId="0" fontId="9" fillId="0" borderId="14" xfId="4" applyBorder="1" applyAlignment="1"/>
    <xf numFmtId="14" fontId="9" fillId="0" borderId="14" xfId="4" applyNumberFormat="1" applyFill="1" applyBorder="1" applyAlignment="1"/>
    <xf numFmtId="0" fontId="20" fillId="0" borderId="0" xfId="0" applyFont="1"/>
    <xf numFmtId="0" fontId="21" fillId="0" borderId="1" xfId="0" applyFont="1" applyBorder="1"/>
    <xf numFmtId="0" fontId="21" fillId="0" borderId="0" xfId="0" applyFont="1"/>
    <xf numFmtId="43" fontId="20" fillId="0" borderId="0" xfId="2" applyNumberFormat="1" applyFont="1"/>
    <xf numFmtId="43" fontId="20" fillId="0" borderId="1" xfId="2" applyFont="1" applyBorder="1"/>
    <xf numFmtId="43" fontId="20" fillId="0" borderId="0" xfId="2" applyFont="1"/>
    <xf numFmtId="43" fontId="21" fillId="0" borderId="0" xfId="2" applyFont="1" applyAlignment="1">
      <alignment horizontal="center"/>
    </xf>
    <xf numFmtId="0" fontId="21" fillId="0" borderId="3" xfId="0" applyFont="1" applyBorder="1"/>
    <xf numFmtId="43" fontId="20" fillId="0" borderId="3" xfId="2" applyFont="1" applyBorder="1"/>
    <xf numFmtId="43" fontId="20" fillId="0" borderId="3" xfId="2" applyNumberFormat="1" applyFont="1" applyBorder="1"/>
    <xf numFmtId="0" fontId="21" fillId="0" borderId="24" xfId="0" applyFont="1" applyBorder="1"/>
    <xf numFmtId="43" fontId="21" fillId="0" borderId="25" xfId="2" applyFont="1" applyBorder="1"/>
    <xf numFmtId="43" fontId="21" fillId="0" borderId="26" xfId="2" applyNumberFormat="1" applyFont="1" applyBorder="1"/>
    <xf numFmtId="0" fontId="0" fillId="0" borderId="14" xfId="0" applyBorder="1" applyAlignment="1">
      <alignment horizontal="left"/>
    </xf>
    <xf numFmtId="0" fontId="0" fillId="0" borderId="14" xfId="0" applyBorder="1"/>
    <xf numFmtId="43" fontId="0" fillId="0" borderId="14" xfId="2" applyFont="1" applyBorder="1"/>
    <xf numFmtId="0" fontId="7" fillId="0" borderId="12" xfId="0" applyFont="1" applyBorder="1" applyAlignment="1">
      <alignment horizontal="left"/>
    </xf>
    <xf numFmtId="0" fontId="7" fillId="0" borderId="12" xfId="0" applyFont="1" applyBorder="1"/>
    <xf numFmtId="43" fontId="7" fillId="0" borderId="12" xfId="2" applyFont="1" applyBorder="1"/>
    <xf numFmtId="0" fontId="7" fillId="0" borderId="27" xfId="0" applyFont="1" applyBorder="1" applyAlignment="1">
      <alignment horizontal="left"/>
    </xf>
    <xf numFmtId="0" fontId="7" fillId="0" borderId="27" xfId="0" applyFont="1" applyBorder="1"/>
    <xf numFmtId="43" fontId="7" fillId="0" borderId="27" xfId="2" applyFont="1" applyBorder="1"/>
    <xf numFmtId="0" fontId="7" fillId="2" borderId="1" xfId="0" applyFont="1" applyFill="1" applyBorder="1" applyAlignment="1">
      <alignment horizontal="center" wrapText="1"/>
    </xf>
    <xf numFmtId="43" fontId="7" fillId="2" borderId="1" xfId="2" applyFont="1" applyFill="1" applyBorder="1" applyAlignment="1">
      <alignment horizontal="center" wrapText="1"/>
    </xf>
    <xf numFmtId="0" fontId="0" fillId="0" borderId="1" xfId="0" applyBorder="1" applyAlignment="1">
      <alignment horizontal="left"/>
    </xf>
    <xf numFmtId="0" fontId="0" fillId="0" borderId="12" xfId="0" applyBorder="1" applyAlignment="1">
      <alignment horizontal="left"/>
    </xf>
    <xf numFmtId="0" fontId="9" fillId="0" borderId="0" xfId="4" applyFont="1"/>
    <xf numFmtId="0" fontId="0" fillId="0" borderId="1" xfId="0" applyFill="1" applyBorder="1" applyAlignment="1">
      <alignment horizontal="left"/>
    </xf>
    <xf numFmtId="0" fontId="8" fillId="0" borderId="0" xfId="0" applyFont="1" applyAlignment="1">
      <alignment horizontal="right"/>
    </xf>
    <xf numFmtId="43" fontId="0" fillId="0" borderId="0" xfId="0" applyNumberFormat="1"/>
    <xf numFmtId="43" fontId="0" fillId="0" borderId="1" xfId="2" applyFont="1" applyFill="1" applyBorder="1"/>
    <xf numFmtId="43" fontId="0" fillId="0" borderId="6" xfId="2" applyFont="1" applyFill="1" applyBorder="1"/>
    <xf numFmtId="0" fontId="0" fillId="0" borderId="6" xfId="0" applyFill="1" applyBorder="1"/>
    <xf numFmtId="0" fontId="8" fillId="0" borderId="14" xfId="0" applyFont="1" applyBorder="1" applyAlignment="1"/>
    <xf numFmtId="0" fontId="8" fillId="0" borderId="14" xfId="0" applyFont="1" applyBorder="1" applyAlignment="1">
      <alignment horizontal="right"/>
    </xf>
    <xf numFmtId="14" fontId="0" fillId="0" borderId="0" xfId="0" applyNumberFormat="1"/>
    <xf numFmtId="43" fontId="0" fillId="0" borderId="12" xfId="2" applyFont="1" applyFill="1" applyBorder="1"/>
    <xf numFmtId="0" fontId="0" fillId="0" borderId="0" xfId="0" applyAlignment="1">
      <alignment horizontal="right"/>
    </xf>
    <xf numFmtId="10" fontId="0" fillId="0" borderId="1" xfId="3" applyNumberFormat="1" applyFont="1" applyBorder="1"/>
    <xf numFmtId="44" fontId="9" fillId="0" borderId="0" xfId="1" applyFont="1" applyFill="1" applyBorder="1"/>
    <xf numFmtId="44" fontId="9" fillId="0" borderId="0" xfId="1" applyFont="1" applyFill="1"/>
    <xf numFmtId="43" fontId="7" fillId="3" borderId="1" xfId="2" applyFont="1" applyFill="1" applyBorder="1"/>
    <xf numFmtId="165" fontId="7" fillId="0" borderId="1" xfId="1" applyNumberFormat="1" applyFont="1" applyBorder="1"/>
    <xf numFmtId="165" fontId="0" fillId="0" borderId="0" xfId="1" applyNumberFormat="1" applyFont="1"/>
    <xf numFmtId="165" fontId="7" fillId="2" borderId="1" xfId="1" applyNumberFormat="1" applyFont="1" applyFill="1" applyBorder="1" applyAlignment="1">
      <alignment horizontal="center" wrapText="1"/>
    </xf>
    <xf numFmtId="165" fontId="0" fillId="0" borderId="1" xfId="1" applyNumberFormat="1" applyFont="1" applyBorder="1"/>
    <xf numFmtId="165" fontId="0" fillId="0" borderId="12" xfId="1" applyNumberFormat="1" applyFont="1" applyBorder="1"/>
    <xf numFmtId="165" fontId="7" fillId="0" borderId="12" xfId="1" applyNumberFormat="1" applyFont="1" applyBorder="1"/>
    <xf numFmtId="165" fontId="7" fillId="0" borderId="27" xfId="1" applyNumberFormat="1" applyFont="1" applyBorder="1"/>
    <xf numFmtId="165" fontId="0" fillId="0" borderId="6" xfId="1" applyNumberFormat="1" applyFont="1" applyFill="1" applyBorder="1"/>
    <xf numFmtId="165" fontId="0" fillId="0" borderId="2" xfId="1" applyNumberFormat="1" applyFont="1" applyBorder="1"/>
    <xf numFmtId="165" fontId="0" fillId="0" borderId="14" xfId="1" applyNumberFormat="1" applyFont="1" applyBorder="1"/>
    <xf numFmtId="165" fontId="0" fillId="0" borderId="7" xfId="1" applyNumberFormat="1" applyFont="1" applyFill="1" applyBorder="1"/>
    <xf numFmtId="165" fontId="0" fillId="0" borderId="9" xfId="1" applyNumberFormat="1" applyFont="1" applyBorder="1"/>
    <xf numFmtId="165" fontId="0" fillId="0" borderId="11" xfId="1" applyNumberFormat="1" applyFont="1" applyBorder="1"/>
    <xf numFmtId="44" fontId="7" fillId="0" borderId="18" xfId="1" applyFont="1" applyFill="1" applyBorder="1" applyAlignment="1">
      <alignment horizontal="left"/>
    </xf>
    <xf numFmtId="0" fontId="7" fillId="0" borderId="8" xfId="0" applyFont="1" applyBorder="1" applyAlignment="1">
      <alignment horizontal="left"/>
    </xf>
    <xf numFmtId="44" fontId="7" fillId="0" borderId="1" xfId="1" applyNumberFormat="1" applyFont="1" applyBorder="1"/>
    <xf numFmtId="44" fontId="0" fillId="0" borderId="0" xfId="0" applyNumberFormat="1"/>
    <xf numFmtId="0" fontId="9" fillId="0" borderId="0" xfId="4" applyFont="1" applyFill="1"/>
    <xf numFmtId="43" fontId="21" fillId="0" borderId="12" xfId="2" applyFont="1" applyBorder="1" applyAlignment="1">
      <alignment horizontal="center"/>
    </xf>
    <xf numFmtId="39" fontId="20" fillId="0" borderId="3" xfId="2" applyNumberFormat="1" applyFont="1" applyBorder="1" applyAlignment="1">
      <alignment horizontal="center"/>
    </xf>
    <xf numFmtId="39" fontId="20" fillId="0" borderId="30" xfId="2" applyNumberFormat="1" applyFont="1" applyBorder="1" applyAlignment="1">
      <alignment horizontal="center"/>
    </xf>
    <xf numFmtId="10" fontId="20" fillId="0" borderId="3" xfId="3" applyNumberFormat="1" applyFont="1" applyBorder="1" applyAlignment="1">
      <alignment horizontal="center"/>
    </xf>
    <xf numFmtId="39" fontId="20" fillId="0" borderId="3" xfId="2" applyNumberFormat="1" applyFont="1" applyFill="1" applyBorder="1" applyAlignment="1">
      <alignment horizontal="center"/>
    </xf>
    <xf numFmtId="0" fontId="7" fillId="0" borderId="8" xfId="0" applyFont="1" applyFill="1" applyBorder="1" applyAlignment="1">
      <alignment horizontal="right"/>
    </xf>
    <xf numFmtId="0" fontId="7" fillId="0" borderId="6" xfId="0" applyFont="1" applyFill="1" applyBorder="1"/>
    <xf numFmtId="0" fontId="7" fillId="0" borderId="2" xfId="0" applyFont="1" applyFill="1" applyBorder="1"/>
    <xf numFmtId="43" fontId="0" fillId="0" borderId="2" xfId="2" applyFont="1" applyFill="1" applyBorder="1"/>
    <xf numFmtId="43" fontId="0" fillId="0" borderId="3" xfId="2" applyFont="1" applyFill="1" applyBorder="1"/>
    <xf numFmtId="0" fontId="5" fillId="0" borderId="0" xfId="0" applyFont="1"/>
    <xf numFmtId="43" fontId="5" fillId="0" borderId="0" xfId="2" applyFont="1"/>
    <xf numFmtId="44" fontId="5" fillId="0" borderId="0" xfId="1" applyFont="1"/>
    <xf numFmtId="0" fontId="23" fillId="0" borderId="1" xfId="0" applyFont="1" applyBorder="1"/>
    <xf numFmtId="165" fontId="23" fillId="0" borderId="1" xfId="1" applyNumberFormat="1" applyFont="1" applyBorder="1"/>
    <xf numFmtId="0" fontId="23" fillId="0" borderId="1" xfId="2" applyNumberFormat="1" applyFont="1" applyBorder="1"/>
    <xf numFmtId="0" fontId="23" fillId="0" borderId="1" xfId="2" applyNumberFormat="1" applyFont="1" applyBorder="1" applyAlignment="1">
      <alignment horizontal="left"/>
    </xf>
    <xf numFmtId="0" fontId="23" fillId="2" borderId="1" xfId="2" applyNumberFormat="1" applyFont="1" applyFill="1" applyBorder="1"/>
    <xf numFmtId="0" fontId="23" fillId="0" borderId="0" xfId="2" applyNumberFormat="1" applyFont="1" applyBorder="1"/>
    <xf numFmtId="0" fontId="5" fillId="0" borderId="0" xfId="2" applyNumberFormat="1" applyFont="1" applyBorder="1"/>
    <xf numFmtId="0" fontId="5" fillId="0" borderId="1" xfId="0" applyFont="1" applyBorder="1"/>
    <xf numFmtId="165" fontId="5" fillId="0" borderId="1" xfId="1" applyNumberFormat="1" applyFont="1" applyFill="1" applyBorder="1"/>
    <xf numFmtId="0" fontId="5" fillId="0" borderId="1" xfId="0" applyNumberFormat="1" applyFont="1" applyBorder="1"/>
    <xf numFmtId="0" fontId="5" fillId="0" borderId="1" xfId="2" applyNumberFormat="1" applyFont="1" applyBorder="1" applyAlignment="1">
      <alignment horizontal="left"/>
    </xf>
    <xf numFmtId="0" fontId="5" fillId="0" borderId="1" xfId="2" applyNumberFormat="1" applyFont="1" applyBorder="1"/>
    <xf numFmtId="0" fontId="5" fillId="2" borderId="1" xfId="2" applyNumberFormat="1" applyFont="1" applyFill="1" applyBorder="1"/>
    <xf numFmtId="0" fontId="5" fillId="0" borderId="1" xfId="0" applyNumberFormat="1" applyFont="1" applyBorder="1" applyAlignment="1">
      <alignment horizontal="left"/>
    </xf>
    <xf numFmtId="0" fontId="5" fillId="0" borderId="1" xfId="0" applyFont="1" applyFill="1" applyBorder="1"/>
    <xf numFmtId="0" fontId="5" fillId="0" borderId="1" xfId="2" applyNumberFormat="1" applyFont="1" applyFill="1" applyBorder="1"/>
    <xf numFmtId="0" fontId="5" fillId="0" borderId="1" xfId="2" applyNumberFormat="1" applyFont="1" applyFill="1" applyBorder="1" applyAlignment="1">
      <alignment horizontal="left"/>
    </xf>
    <xf numFmtId="0" fontId="5" fillId="0" borderId="0" xfId="2" applyNumberFormat="1" applyFont="1" applyFill="1" applyBorder="1"/>
    <xf numFmtId="0" fontId="5" fillId="0" borderId="0" xfId="0" applyNumberFormat="1" applyFont="1" applyBorder="1"/>
    <xf numFmtId="44" fontId="5" fillId="0" borderId="1" xfId="1" applyFont="1" applyFill="1" applyBorder="1"/>
    <xf numFmtId="0" fontId="5" fillId="0" borderId="1" xfId="1" applyNumberFormat="1" applyFont="1" applyFill="1" applyBorder="1" applyAlignment="1">
      <alignment horizontal="left"/>
    </xf>
    <xf numFmtId="44" fontId="5" fillId="0" borderId="0" xfId="1" applyFont="1" applyFill="1" applyBorder="1"/>
    <xf numFmtId="165" fontId="5" fillId="0" borderId="1" xfId="1" applyNumberFormat="1" applyFont="1" applyBorder="1"/>
    <xf numFmtId="0" fontId="5" fillId="0" borderId="0" xfId="0" applyNumberFormat="1" applyFont="1"/>
    <xf numFmtId="165" fontId="5" fillId="0" borderId="0" xfId="1" applyNumberFormat="1" applyFont="1"/>
    <xf numFmtId="0" fontId="5" fillId="0" borderId="0" xfId="0" applyNumberFormat="1" applyFont="1" applyAlignment="1">
      <alignment horizontal="left"/>
    </xf>
    <xf numFmtId="0" fontId="5" fillId="2" borderId="0" xfId="0" applyNumberFormat="1" applyFont="1" applyFill="1"/>
    <xf numFmtId="0" fontId="8" fillId="0" borderId="0" xfId="0" applyFont="1" applyFill="1" applyAlignment="1">
      <alignment horizontal="left"/>
    </xf>
    <xf numFmtId="0" fontId="25" fillId="0" borderId="0" xfId="0" applyFont="1" applyAlignment="1">
      <alignment horizontal="right"/>
    </xf>
    <xf numFmtId="0" fontId="0" fillId="0" borderId="0" xfId="0" applyAlignment="1"/>
    <xf numFmtId="43" fontId="20" fillId="5" borderId="3" xfId="2" applyFont="1" applyFill="1" applyBorder="1"/>
    <xf numFmtId="43" fontId="20" fillId="5" borderId="1" xfId="2" applyFont="1" applyFill="1" applyBorder="1"/>
    <xf numFmtId="0" fontId="21" fillId="0" borderId="3" xfId="0" applyFont="1" applyBorder="1" applyAlignment="1">
      <alignment horizontal="right"/>
    </xf>
    <xf numFmtId="0" fontId="21" fillId="0" borderId="1" xfId="0" applyFont="1" applyBorder="1" applyAlignment="1">
      <alignment horizontal="right"/>
    </xf>
    <xf numFmtId="164" fontId="7" fillId="0" borderId="1" xfId="2" applyNumberFormat="1" applyFont="1" applyFill="1" applyBorder="1" applyAlignment="1">
      <alignment horizontal="center"/>
    </xf>
    <xf numFmtId="43" fontId="7" fillId="0" borderId="1" xfId="2" applyFont="1" applyFill="1" applyBorder="1"/>
    <xf numFmtId="43" fontId="7" fillId="0" borderId="2" xfId="2" applyFont="1" applyFill="1" applyBorder="1"/>
    <xf numFmtId="43" fontId="7" fillId="0" borderId="3" xfId="2" applyFont="1" applyFill="1" applyBorder="1"/>
    <xf numFmtId="0" fontId="0" fillId="0" borderId="0" xfId="0" applyFill="1"/>
    <xf numFmtId="43" fontId="0" fillId="0" borderId="0" xfId="2" applyFont="1" applyFill="1"/>
    <xf numFmtId="0" fontId="7" fillId="0" borderId="1" xfId="2" applyNumberFormat="1" applyFont="1" applyFill="1" applyBorder="1" applyAlignment="1">
      <alignment horizontal="left"/>
    </xf>
    <xf numFmtId="1" fontId="0" fillId="0" borderId="1" xfId="2" applyNumberFormat="1" applyFont="1" applyFill="1" applyBorder="1" applyAlignment="1">
      <alignment horizontal="center"/>
    </xf>
    <xf numFmtId="1" fontId="0" fillId="0" borderId="1" xfId="2" applyNumberFormat="1" applyFont="1" applyFill="1" applyBorder="1" applyAlignment="1">
      <alignment horizontal="center" vertical="top"/>
    </xf>
    <xf numFmtId="164" fontId="0" fillId="0" borderId="0" xfId="2" applyNumberFormat="1" applyFont="1" applyFill="1" applyAlignment="1">
      <alignment horizontal="center"/>
    </xf>
    <xf numFmtId="0" fontId="7" fillId="0" borderId="12" xfId="0" applyFont="1" applyFill="1" applyBorder="1"/>
    <xf numFmtId="0" fontId="0" fillId="0" borderId="28" xfId="0" applyFill="1" applyBorder="1"/>
    <xf numFmtId="0" fontId="0" fillId="0" borderId="0" xfId="0" applyFill="1" applyBorder="1"/>
    <xf numFmtId="0" fontId="0" fillId="0" borderId="29" xfId="0" applyFill="1" applyBorder="1"/>
    <xf numFmtId="0" fontId="7" fillId="0" borderId="3" xfId="0" applyFont="1" applyFill="1" applyBorder="1"/>
    <xf numFmtId="0" fontId="7" fillId="0" borderId="30" xfId="0" applyFont="1" applyFill="1" applyBorder="1"/>
    <xf numFmtId="0" fontId="28" fillId="6" borderId="1" xfId="0" applyFont="1" applyFill="1" applyBorder="1"/>
    <xf numFmtId="43" fontId="28" fillId="6" borderId="1" xfId="2" applyFont="1" applyFill="1" applyBorder="1"/>
    <xf numFmtId="0" fontId="20" fillId="5" borderId="3" xfId="0" applyFont="1" applyFill="1" applyBorder="1" applyAlignment="1">
      <alignment horizontal="left"/>
    </xf>
    <xf numFmtId="0" fontId="20" fillId="0" borderId="1" xfId="0" applyFont="1" applyFill="1" applyBorder="1" applyAlignment="1">
      <alignment horizontal="left"/>
    </xf>
    <xf numFmtId="0" fontId="20" fillId="5" borderId="1" xfId="0" applyFont="1" applyFill="1" applyBorder="1" applyAlignment="1">
      <alignment horizontal="left"/>
    </xf>
    <xf numFmtId="0" fontId="20" fillId="0" borderId="0" xfId="0" applyFont="1" applyAlignment="1">
      <alignment horizontal="left"/>
    </xf>
    <xf numFmtId="166" fontId="20" fillId="5" borderId="1" xfId="0" applyNumberFormat="1" applyFont="1" applyFill="1" applyBorder="1" applyAlignment="1">
      <alignment horizontal="left"/>
    </xf>
    <xf numFmtId="4" fontId="20" fillId="5" borderId="1" xfId="0" applyNumberFormat="1" applyFont="1" applyFill="1" applyBorder="1" applyAlignment="1">
      <alignment horizontal="left"/>
    </xf>
    <xf numFmtId="0" fontId="29" fillId="0" borderId="0" xfId="0" applyFont="1"/>
    <xf numFmtId="0" fontId="22" fillId="0" borderId="24" xfId="0" applyFont="1" applyBorder="1"/>
    <xf numFmtId="43" fontId="22" fillId="0" borderId="26" xfId="2" applyFont="1" applyBorder="1"/>
    <xf numFmtId="0" fontId="22" fillId="0" borderId="6" xfId="0" applyFont="1" applyBorder="1"/>
    <xf numFmtId="43" fontId="22" fillId="0" borderId="6" xfId="2" applyFont="1" applyBorder="1"/>
    <xf numFmtId="0" fontId="27" fillId="0" borderId="0" xfId="0" applyFont="1" applyFill="1" applyAlignment="1"/>
    <xf numFmtId="41" fontId="22" fillId="0" borderId="25" xfId="2" applyNumberFormat="1" applyFont="1" applyBorder="1"/>
    <xf numFmtId="41" fontId="20" fillId="0" borderId="3" xfId="2" applyNumberFormat="1" applyFont="1" applyBorder="1"/>
    <xf numFmtId="41" fontId="20" fillId="0" borderId="1" xfId="2" applyNumberFormat="1" applyFont="1" applyBorder="1"/>
    <xf numFmtId="41" fontId="20" fillId="5" borderId="1" xfId="2" applyNumberFormat="1" applyFont="1" applyFill="1" applyBorder="1"/>
    <xf numFmtId="41" fontId="20" fillId="0" borderId="0" xfId="0" applyNumberFormat="1" applyFont="1"/>
    <xf numFmtId="1" fontId="7" fillId="0" borderId="1" xfId="2" applyNumberFormat="1" applyFont="1" applyFill="1" applyBorder="1" applyAlignment="1">
      <alignment horizontal="center"/>
    </xf>
    <xf numFmtId="1" fontId="7" fillId="0" borderId="1" xfId="0" applyNumberFormat="1" applyFont="1" applyFill="1" applyBorder="1"/>
    <xf numFmtId="1" fontId="7" fillId="0" borderId="1" xfId="2" applyNumberFormat="1" applyFont="1" applyFill="1" applyBorder="1"/>
    <xf numFmtId="1" fontId="7" fillId="0" borderId="2" xfId="2" applyNumberFormat="1" applyFont="1" applyFill="1" applyBorder="1"/>
    <xf numFmtId="1" fontId="7" fillId="0" borderId="3" xfId="2" applyNumberFormat="1" applyFont="1" applyFill="1" applyBorder="1"/>
    <xf numFmtId="1" fontId="28" fillId="6" borderId="1" xfId="0" applyNumberFormat="1" applyFont="1" applyFill="1" applyBorder="1"/>
    <xf numFmtId="1" fontId="0" fillId="0" borderId="0" xfId="0" applyNumberFormat="1" applyFill="1"/>
    <xf numFmtId="0" fontId="27" fillId="0" borderId="0" xfId="0" applyFont="1" applyFill="1" applyAlignment="1">
      <alignment horizontal="center"/>
    </xf>
    <xf numFmtId="0" fontId="20" fillId="0" borderId="0" xfId="0" applyFont="1" applyFill="1"/>
    <xf numFmtId="167" fontId="20" fillId="5" borderId="1" xfId="0" applyNumberFormat="1" applyFont="1" applyFill="1" applyBorder="1" applyAlignment="1">
      <alignment horizontal="left"/>
    </xf>
    <xf numFmtId="0" fontId="31" fillId="0" borderId="0" xfId="0" applyFont="1"/>
    <xf numFmtId="0" fontId="4" fillId="0" borderId="1" xfId="1" applyNumberFormat="1" applyFont="1" applyFill="1" applyBorder="1" applyAlignment="1">
      <alignment horizontal="left"/>
    </xf>
    <xf numFmtId="0" fontId="3" fillId="0" borderId="1" xfId="1" applyNumberFormat="1" applyFont="1" applyFill="1" applyBorder="1" applyAlignment="1">
      <alignment horizontal="left"/>
    </xf>
    <xf numFmtId="49" fontId="20" fillId="0" borderId="0" xfId="0" applyNumberFormat="1" applyFont="1" applyFill="1" applyAlignment="1">
      <alignment horizontal="left"/>
    </xf>
    <xf numFmtId="49" fontId="22" fillId="0" borderId="24" xfId="0" applyNumberFormat="1" applyFont="1" applyBorder="1" applyAlignment="1">
      <alignment horizontal="left"/>
    </xf>
    <xf numFmtId="49" fontId="21" fillId="0" borderId="3" xfId="0" applyNumberFormat="1" applyFont="1" applyBorder="1" applyAlignment="1">
      <alignment horizontal="left"/>
    </xf>
    <xf numFmtId="49" fontId="20" fillId="0" borderId="0" xfId="0" applyNumberFormat="1" applyFont="1" applyAlignment="1">
      <alignment horizontal="left"/>
    </xf>
    <xf numFmtId="0" fontId="20" fillId="0" borderId="0" xfId="0" applyFont="1" applyFill="1" applyAlignment="1">
      <alignment horizontal="left"/>
    </xf>
    <xf numFmtId="41" fontId="22" fillId="0" borderId="25" xfId="2" applyNumberFormat="1" applyFont="1" applyBorder="1" applyAlignment="1">
      <alignment horizontal="left"/>
    </xf>
    <xf numFmtId="41" fontId="20" fillId="0" borderId="3" xfId="2" applyNumberFormat="1" applyFont="1" applyBorder="1" applyAlignment="1">
      <alignment horizontal="left"/>
    </xf>
    <xf numFmtId="41" fontId="20" fillId="0" borderId="1" xfId="2" applyNumberFormat="1" applyFont="1" applyBorder="1" applyAlignment="1">
      <alignment horizontal="left"/>
    </xf>
    <xf numFmtId="43" fontId="20" fillId="0" borderId="1" xfId="2" applyNumberFormat="1" applyFont="1" applyBorder="1"/>
    <xf numFmtId="43" fontId="20" fillId="0" borderId="0" xfId="0" applyNumberFormat="1" applyFont="1"/>
    <xf numFmtId="49" fontId="20" fillId="0" borderId="1" xfId="0" applyNumberFormat="1" applyFont="1" applyBorder="1" applyAlignment="1">
      <alignment horizontal="left"/>
    </xf>
    <xf numFmtId="43" fontId="22" fillId="0" borderId="26" xfId="2" applyNumberFormat="1" applyFont="1" applyBorder="1" applyAlignment="1">
      <alignment horizontal="center"/>
    </xf>
    <xf numFmtId="43" fontId="22" fillId="0" borderId="25" xfId="2" applyFont="1" applyBorder="1" applyAlignment="1">
      <alignment horizontal="center"/>
    </xf>
    <xf numFmtId="0" fontId="21" fillId="0" borderId="37" xfId="0" applyFont="1" applyBorder="1" applyAlignment="1"/>
    <xf numFmtId="10" fontId="21" fillId="0" borderId="38" xfId="3" applyNumberFormat="1" applyFont="1" applyBorder="1" applyAlignment="1">
      <alignment horizontal="center"/>
    </xf>
    <xf numFmtId="0" fontId="2" fillId="0" borderId="1" xfId="2" applyNumberFormat="1" applyFont="1" applyBorder="1"/>
    <xf numFmtId="0" fontId="0" fillId="0" borderId="1" xfId="0" applyNumberFormat="1" applyBorder="1" applyAlignment="1">
      <alignment horizontal="left"/>
    </xf>
    <xf numFmtId="0" fontId="24" fillId="0" borderId="0" xfId="0" applyFont="1" applyAlignment="1">
      <alignment horizontal="right"/>
    </xf>
    <xf numFmtId="0" fontId="24" fillId="0" borderId="0" xfId="0" applyFont="1" applyAlignment="1">
      <alignment horizontal="right" wrapText="1"/>
    </xf>
    <xf numFmtId="0" fontId="33" fillId="0" borderId="0" xfId="0" applyFont="1" applyAlignment="1">
      <alignment horizontal="left" vertical="center"/>
    </xf>
    <xf numFmtId="0" fontId="1" fillId="0" borderId="1" xfId="0" applyNumberFormat="1" applyFont="1" applyBorder="1" applyAlignment="1">
      <alignment horizontal="left"/>
    </xf>
    <xf numFmtId="0" fontId="27" fillId="0" borderId="31" xfId="0" applyFont="1" applyFill="1" applyBorder="1" applyAlignment="1">
      <alignment horizontal="center"/>
    </xf>
    <xf numFmtId="0" fontId="27" fillId="0" borderId="33" xfId="0" applyFont="1" applyFill="1" applyBorder="1" applyAlignment="1">
      <alignment horizontal="center"/>
    </xf>
    <xf numFmtId="0" fontId="27" fillId="0" borderId="32" xfId="0" applyFont="1" applyFill="1" applyBorder="1" applyAlignment="1">
      <alignment horizontal="center"/>
    </xf>
    <xf numFmtId="0" fontId="27" fillId="3" borderId="0" xfId="0" applyFont="1" applyFill="1" applyAlignment="1">
      <alignment horizontal="center"/>
    </xf>
    <xf numFmtId="0" fontId="21" fillId="0" borderId="39" xfId="0" applyFont="1" applyBorder="1" applyAlignment="1">
      <alignment horizontal="center"/>
    </xf>
    <xf numFmtId="0" fontId="21" fillId="0" borderId="40" xfId="0" applyFont="1" applyBorder="1" applyAlignment="1">
      <alignment horizontal="center"/>
    </xf>
    <xf numFmtId="0" fontId="22" fillId="3" borderId="31" xfId="0" applyFont="1" applyFill="1" applyBorder="1" applyAlignment="1">
      <alignment horizontal="center"/>
    </xf>
    <xf numFmtId="0" fontId="22" fillId="3" borderId="32" xfId="0" applyFont="1" applyFill="1" applyBorder="1" applyAlignment="1">
      <alignment horizontal="center"/>
    </xf>
    <xf numFmtId="0" fontId="21" fillId="0" borderId="37" xfId="0" applyFont="1" applyBorder="1" applyAlignment="1">
      <alignment horizontal="center"/>
    </xf>
    <xf numFmtId="0" fontId="21" fillId="0" borderId="38" xfId="0" applyFont="1" applyBorder="1" applyAlignment="1">
      <alignment horizontal="center"/>
    </xf>
    <xf numFmtId="0" fontId="22" fillId="3" borderId="35" xfId="0" applyFont="1" applyFill="1" applyBorder="1" applyAlignment="1">
      <alignment horizontal="center" vertical="center"/>
    </xf>
    <xf numFmtId="0" fontId="22" fillId="3" borderId="36" xfId="0" applyFont="1" applyFill="1" applyBorder="1" applyAlignment="1">
      <alignment horizontal="center" vertical="center"/>
    </xf>
    <xf numFmtId="0" fontId="30" fillId="0" borderId="0" xfId="0" applyFont="1" applyAlignment="1">
      <alignment horizontal="center" vertical="top" wrapText="1"/>
    </xf>
    <xf numFmtId="0" fontId="30" fillId="0" borderId="0" xfId="0" applyFont="1" applyAlignment="1">
      <alignment horizontal="center" wrapText="1"/>
    </xf>
    <xf numFmtId="14" fontId="26" fillId="0" borderId="0" xfId="0" applyNumberFormat="1" applyFont="1" applyAlignment="1">
      <alignment horizontal="left"/>
    </xf>
    <xf numFmtId="166" fontId="26" fillId="0" borderId="0" xfId="1" applyNumberFormat="1" applyFont="1" applyAlignment="1">
      <alignment horizontal="left"/>
    </xf>
    <xf numFmtId="4" fontId="26" fillId="0" borderId="0" xfId="2" applyNumberFormat="1" applyFont="1" applyAlignment="1">
      <alignment horizontal="left"/>
    </xf>
    <xf numFmtId="0" fontId="26" fillId="0" borderId="0" xfId="0" applyFont="1" applyAlignment="1">
      <alignment horizontal="left"/>
    </xf>
    <xf numFmtId="1" fontId="26" fillId="0" borderId="0" xfId="0" applyNumberFormat="1" applyFont="1" applyAlignment="1">
      <alignment horizontal="left"/>
    </xf>
    <xf numFmtId="0" fontId="8" fillId="0" borderId="0" xfId="0" applyFont="1" applyFill="1" applyAlignment="1">
      <alignment horizontal="left"/>
    </xf>
    <xf numFmtId="14" fontId="8" fillId="0" borderId="14" xfId="0" applyNumberFormat="1" applyFont="1" applyFill="1" applyBorder="1" applyAlignment="1">
      <alignment horizontal="left"/>
    </xf>
    <xf numFmtId="0" fontId="8" fillId="0" borderId="0" xfId="0" applyFont="1" applyAlignment="1">
      <alignment horizontal="center"/>
    </xf>
    <xf numFmtId="0" fontId="16" fillId="0" borderId="15" xfId="4" applyFont="1" applyBorder="1" applyAlignment="1">
      <alignment horizontal="center"/>
    </xf>
    <xf numFmtId="0" fontId="14" fillId="4" borderId="16" xfId="4" applyFont="1" applyFill="1" applyBorder="1" applyAlignment="1">
      <alignment horizontal="center"/>
    </xf>
    <xf numFmtId="0" fontId="14" fillId="4" borderId="17" xfId="4" applyFont="1" applyFill="1" applyBorder="1" applyAlignment="1">
      <alignment horizontal="center"/>
    </xf>
    <xf numFmtId="0" fontId="14" fillId="4" borderId="18" xfId="4" applyFont="1" applyFill="1" applyBorder="1" applyAlignment="1">
      <alignment horizontal="center"/>
    </xf>
    <xf numFmtId="4" fontId="9" fillId="4" borderId="16" xfId="4" applyNumberFormat="1" applyFill="1" applyBorder="1" applyAlignment="1">
      <alignment horizontal="center"/>
    </xf>
    <xf numFmtId="4" fontId="9" fillId="4" borderId="18" xfId="4" applyNumberFormat="1" applyFill="1" applyBorder="1" applyAlignment="1">
      <alignment horizontal="center"/>
    </xf>
    <xf numFmtId="0" fontId="9" fillId="4" borderId="16" xfId="4" applyFill="1" applyBorder="1" applyAlignment="1">
      <alignment horizontal="left"/>
    </xf>
    <xf numFmtId="0" fontId="9" fillId="4" borderId="17" xfId="4" applyFill="1" applyBorder="1" applyAlignment="1">
      <alignment horizontal="left"/>
    </xf>
    <xf numFmtId="0" fontId="9" fillId="4" borderId="18" xfId="4" applyFill="1" applyBorder="1" applyAlignment="1">
      <alignment horizontal="left"/>
    </xf>
    <xf numFmtId="0" fontId="18" fillId="0" borderId="0" xfId="4" applyFont="1" applyAlignment="1">
      <alignment horizontal="left" wrapText="1"/>
    </xf>
    <xf numFmtId="0" fontId="19" fillId="0" borderId="0" xfId="4" applyFont="1"/>
    <xf numFmtId="0" fontId="14" fillId="0" borderId="0" xfId="4" applyFont="1" applyAlignment="1">
      <alignment horizontal="right"/>
    </xf>
    <xf numFmtId="14" fontId="17" fillId="0" borderId="14" xfId="4" applyNumberFormat="1" applyFont="1" applyBorder="1" applyAlignment="1">
      <alignment horizontal="center"/>
    </xf>
    <xf numFmtId="0" fontId="9" fillId="0" borderId="14" xfId="4" applyBorder="1" applyAlignment="1">
      <alignment horizontal="center"/>
    </xf>
    <xf numFmtId="0" fontId="9" fillId="0" borderId="22" xfId="4" applyBorder="1" applyAlignment="1">
      <alignment horizontal="left"/>
    </xf>
    <xf numFmtId="0" fontId="9" fillId="0" borderId="14" xfId="4" applyBorder="1" applyAlignment="1">
      <alignment horizontal="left"/>
    </xf>
    <xf numFmtId="0" fontId="9" fillId="0" borderId="23" xfId="4" applyBorder="1" applyAlignment="1">
      <alignment horizontal="left"/>
    </xf>
    <xf numFmtId="4" fontId="9" fillId="0" borderId="22" xfId="4" applyNumberFormat="1" applyFill="1" applyBorder="1" applyAlignment="1">
      <alignment horizontal="center"/>
    </xf>
    <xf numFmtId="4" fontId="9" fillId="0" borderId="23" xfId="4" applyNumberFormat="1" applyFill="1" applyBorder="1" applyAlignment="1">
      <alignment horizontal="center"/>
    </xf>
    <xf numFmtId="0" fontId="9" fillId="0" borderId="4" xfId="4" applyBorder="1" applyAlignment="1">
      <alignment horizontal="left"/>
    </xf>
    <xf numFmtId="0" fontId="9" fillId="0" borderId="0" xfId="4" applyBorder="1" applyAlignment="1">
      <alignment horizontal="left"/>
    </xf>
    <xf numFmtId="0" fontId="9" fillId="0" borderId="21" xfId="4" applyBorder="1" applyAlignment="1">
      <alignment horizontal="left"/>
    </xf>
    <xf numFmtId="4" fontId="9" fillId="0" borderId="4" xfId="4" applyNumberFormat="1" applyFill="1" applyBorder="1" applyAlignment="1">
      <alignment horizontal="center"/>
    </xf>
    <xf numFmtId="4" fontId="9" fillId="0" borderId="21" xfId="4" applyNumberFormat="1" applyFill="1" applyBorder="1" applyAlignment="1">
      <alignment horizontal="center"/>
    </xf>
    <xf numFmtId="0" fontId="17" fillId="0" borderId="4" xfId="4" applyFont="1" applyBorder="1" applyAlignment="1">
      <alignment horizontal="left"/>
    </xf>
    <xf numFmtId="0" fontId="9" fillId="0" borderId="19" xfId="4" applyBorder="1" applyAlignment="1">
      <alignment horizontal="left"/>
    </xf>
    <xf numFmtId="0" fontId="9" fillId="0" borderId="15" xfId="4" applyBorder="1" applyAlignment="1">
      <alignment horizontal="left"/>
    </xf>
    <xf numFmtId="0" fontId="9" fillId="0" borderId="20" xfId="4" applyBorder="1" applyAlignment="1">
      <alignment horizontal="left"/>
    </xf>
    <xf numFmtId="4" fontId="9" fillId="0" borderId="19" xfId="4" applyNumberFormat="1" applyFill="1" applyBorder="1" applyAlignment="1">
      <alignment horizontal="center"/>
    </xf>
    <xf numFmtId="4" fontId="9" fillId="0" borderId="20" xfId="4" applyNumberFormat="1" applyFill="1" applyBorder="1" applyAlignment="1">
      <alignment horizontal="center"/>
    </xf>
    <xf numFmtId="0" fontId="14" fillId="0" borderId="0" xfId="4" applyFont="1" applyBorder="1" applyAlignment="1">
      <alignment horizontal="right"/>
    </xf>
    <xf numFmtId="0" fontId="15" fillId="0" borderId="0" xfId="4" applyFont="1" applyBorder="1" applyAlignment="1">
      <alignment horizontal="center"/>
    </xf>
    <xf numFmtId="14" fontId="9" fillId="0" borderId="14" xfId="4" applyNumberFormat="1" applyFill="1" applyBorder="1" applyAlignment="1">
      <alignment horizontal="center"/>
    </xf>
    <xf numFmtId="0" fontId="13" fillId="0" borderId="0" xfId="4" applyFont="1" applyAlignment="1">
      <alignment horizontal="center"/>
    </xf>
    <xf numFmtId="0" fontId="15" fillId="0" borderId="14" xfId="4" applyFont="1" applyBorder="1" applyAlignment="1">
      <alignment horizontal="center"/>
    </xf>
    <xf numFmtId="0" fontId="15" fillId="0" borderId="14" xfId="4" applyFont="1" applyFill="1" applyBorder="1" applyAlignment="1">
      <alignment horizontal="center"/>
    </xf>
    <xf numFmtId="44" fontId="0" fillId="0" borderId="1" xfId="1" applyFont="1" applyBorder="1" applyAlignment="1">
      <alignment horizontal="left"/>
    </xf>
    <xf numFmtId="0" fontId="0" fillId="0" borderId="5" xfId="0" applyBorder="1" applyAlignment="1">
      <alignment horizontal="right"/>
    </xf>
    <xf numFmtId="0" fontId="0" fillId="0" borderId="34" xfId="0" applyFont="1" applyBorder="1" applyAlignment="1">
      <alignment horizontal="right"/>
    </xf>
    <xf numFmtId="44" fontId="0" fillId="0" borderId="6" xfId="1" applyFont="1" applyBorder="1"/>
  </cellXfs>
  <cellStyles count="6">
    <cellStyle name="Comma" xfId="2" builtinId="3"/>
    <cellStyle name="Comma 2" xfId="5"/>
    <cellStyle name="Currency" xfId="1" builtinId="4"/>
    <cellStyle name="Normal" xfId="0" builtinId="0"/>
    <cellStyle name="Normal 2" xfId="4"/>
    <cellStyle name="Percent" xfId="3" builtinId="5"/>
  </cellStyles>
  <dxfs count="14">
    <dxf>
      <fill>
        <patternFill>
          <bgColor rgb="FFFF0000"/>
        </patternFill>
      </fill>
    </dxf>
    <dxf>
      <fill>
        <patternFill>
          <bgColor rgb="FFFF0000"/>
        </patternFill>
      </fill>
    </dxf>
    <dxf>
      <fill>
        <patternFill>
          <bgColor rgb="FFFFFF0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DAF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5.wmf"/><Relationship Id="rId2" Type="http://schemas.openxmlformats.org/officeDocument/2006/relationships/image" Target="../media/image4.jpeg"/><Relationship Id="rId1" Type="http://schemas.openxmlformats.org/officeDocument/2006/relationships/image" Target="../media/image3.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15</xdr:row>
          <xdr:rowOff>85725</xdr:rowOff>
        </xdr:from>
        <xdr:to>
          <xdr:col>3</xdr:col>
          <xdr:colOff>495300</xdr:colOff>
          <xdr:row>21</xdr:row>
          <xdr:rowOff>114300</xdr:rowOff>
        </xdr:to>
        <xdr:sp macro="" textlink="">
          <xdr:nvSpPr>
            <xdr:cNvPr id="1026" name="Button 2" hidden="1">
              <a:extLst>
                <a:ext uri="{63B3BB69-23CF-44E3-9099-C40C66FF867C}">
                  <a14:compatExt spid="_x0000_s1026"/>
                </a:ext>
                <a:ext uri="{FF2B5EF4-FFF2-40B4-BE49-F238E27FC236}">
                  <a16:creationId xmlns=""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MONTHLY</a:t>
              </a:r>
            </a:p>
            <a:p>
              <a:pPr algn="ctr" rtl="0">
                <a:defRPr sz="1000"/>
              </a:pPr>
              <a:r>
                <a:rPr lang="en-US" sz="1100" b="0" i="0" u="none" strike="noStrike" baseline="0">
                  <a:solidFill>
                    <a:srgbClr val="000000"/>
                  </a:solidFill>
                  <a:latin typeface="Calibri"/>
                  <a:cs typeface="Calibri"/>
                </a:rPr>
                <a:t>CONSOLIDATION</a:t>
              </a:r>
            </a:p>
            <a:p>
              <a:pPr algn="ctr" rtl="0">
                <a:defRPr sz="1000"/>
              </a:pPr>
              <a:r>
                <a:rPr lang="en-US" sz="1100" b="0" i="0" u="none" strike="noStrike" baseline="0">
                  <a:solidFill>
                    <a:srgbClr val="000000"/>
                  </a:solidFill>
                  <a:latin typeface="Calibri"/>
                  <a:cs typeface="Calibri"/>
                </a:rPr>
                <a:t>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xdr:row>
          <xdr:rowOff>9525</xdr:rowOff>
        </xdr:from>
        <xdr:to>
          <xdr:col>3</xdr:col>
          <xdr:colOff>533400</xdr:colOff>
          <xdr:row>7</xdr:row>
          <xdr:rowOff>66675</xdr:rowOff>
        </xdr:to>
        <xdr:sp macro="" textlink="">
          <xdr:nvSpPr>
            <xdr:cNvPr id="1027" name="Button 3" hidden="1">
              <a:extLst>
                <a:ext uri="{63B3BB69-23CF-44E3-9099-C40C66FF867C}">
                  <a14:compatExt spid="_x0000_s1027"/>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MACRO</a:t>
              </a:r>
            </a:p>
            <a:p>
              <a:pPr algn="ctr" rtl="0">
                <a:defRPr sz="1000"/>
              </a:pPr>
              <a:r>
                <a:rPr lang="en-US" sz="1100" b="0" i="0" u="none" strike="noStrike" baseline="0">
                  <a:solidFill>
                    <a:srgbClr val="000000"/>
                  </a:solidFill>
                  <a:latin typeface="Calibri"/>
                  <a:cs typeface="Calibri"/>
                </a:rPr>
                <a:t>TO ADD</a:t>
              </a:r>
            </a:p>
            <a:p>
              <a:pPr algn="ctr" rtl="0">
                <a:defRPr sz="1000"/>
              </a:pPr>
              <a:r>
                <a:rPr lang="en-US" sz="1100" b="0" i="0" u="none" strike="noStrike" baseline="0">
                  <a:solidFill>
                    <a:srgbClr val="000000"/>
                  </a:solidFill>
                  <a:latin typeface="Calibri"/>
                  <a:cs typeface="Calibri"/>
                </a:rPr>
                <a:t>TEMPLATES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228600</xdr:rowOff>
    </xdr:from>
    <xdr:to>
      <xdr:col>3</xdr:col>
      <xdr:colOff>228600</xdr:colOff>
      <xdr:row>2</xdr:row>
      <xdr:rowOff>0</xdr:rowOff>
    </xdr:to>
    <xdr:pic>
      <xdr:nvPicPr>
        <xdr:cNvPr id="2" name="Picture 1">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95750" y="685800"/>
          <a:ext cx="228600" cy="228600"/>
        </a:xfrm>
        <a:prstGeom prst="rect">
          <a:avLst/>
        </a:prstGeom>
      </xdr:spPr>
    </xdr:pic>
    <xdr:clientData/>
  </xdr:twoCellAnchor>
  <xdr:twoCellAnchor editAs="oneCell">
    <xdr:from>
      <xdr:col>3</xdr:col>
      <xdr:colOff>0</xdr:colOff>
      <xdr:row>2</xdr:row>
      <xdr:rowOff>228600</xdr:rowOff>
    </xdr:from>
    <xdr:to>
      <xdr:col>3</xdr:col>
      <xdr:colOff>228600</xdr:colOff>
      <xdr:row>3</xdr:row>
      <xdr:rowOff>0</xdr:rowOff>
    </xdr:to>
    <xdr:pic>
      <xdr:nvPicPr>
        <xdr:cNvPr id="3" name="Picture 2">
          <a:extLst>
            <a:ext uri="{FF2B5EF4-FFF2-40B4-BE49-F238E27FC236}">
              <a16:creationId xmlns=""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95750" y="1143000"/>
          <a:ext cx="228600" cy="228600"/>
        </a:xfrm>
        <a:prstGeom prst="rect">
          <a:avLst/>
        </a:prstGeom>
      </xdr:spPr>
    </xdr:pic>
    <xdr:clientData/>
  </xdr:twoCellAnchor>
  <xdr:twoCellAnchor editAs="oneCell">
    <xdr:from>
      <xdr:col>3</xdr:col>
      <xdr:colOff>0</xdr:colOff>
      <xdr:row>4</xdr:row>
      <xdr:rowOff>228600</xdr:rowOff>
    </xdr:from>
    <xdr:to>
      <xdr:col>3</xdr:col>
      <xdr:colOff>228600</xdr:colOff>
      <xdr:row>5</xdr:row>
      <xdr:rowOff>0</xdr:rowOff>
    </xdr:to>
    <xdr:pic>
      <xdr:nvPicPr>
        <xdr:cNvPr id="4" name="Picture 3">
          <a:extLst>
            <a:ext uri="{FF2B5EF4-FFF2-40B4-BE49-F238E27FC236}">
              <a16:creationId xmlns=""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95750" y="2057400"/>
          <a:ext cx="228600" cy="228600"/>
        </a:xfrm>
        <a:prstGeom prst="rect">
          <a:avLst/>
        </a:prstGeom>
      </xdr:spPr>
    </xdr:pic>
    <xdr:clientData/>
  </xdr:twoCellAnchor>
  <xdr:twoCellAnchor editAs="oneCell">
    <xdr:from>
      <xdr:col>3</xdr:col>
      <xdr:colOff>0</xdr:colOff>
      <xdr:row>5</xdr:row>
      <xdr:rowOff>228600</xdr:rowOff>
    </xdr:from>
    <xdr:to>
      <xdr:col>3</xdr:col>
      <xdr:colOff>228600</xdr:colOff>
      <xdr:row>6</xdr:row>
      <xdr:rowOff>0</xdr:rowOff>
    </xdr:to>
    <xdr:pic>
      <xdr:nvPicPr>
        <xdr:cNvPr id="5" name="Picture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95750" y="2514600"/>
          <a:ext cx="228600" cy="228600"/>
        </a:xfrm>
        <a:prstGeom prst="rect">
          <a:avLst/>
        </a:prstGeom>
      </xdr:spPr>
    </xdr:pic>
    <xdr:clientData/>
  </xdr:twoCellAnchor>
  <xdr:twoCellAnchor editAs="oneCell">
    <xdr:from>
      <xdr:col>3</xdr:col>
      <xdr:colOff>0</xdr:colOff>
      <xdr:row>7</xdr:row>
      <xdr:rowOff>219075</xdr:rowOff>
    </xdr:from>
    <xdr:to>
      <xdr:col>3</xdr:col>
      <xdr:colOff>228600</xdr:colOff>
      <xdr:row>7</xdr:row>
      <xdr:rowOff>447675</xdr:rowOff>
    </xdr:to>
    <xdr:pic>
      <xdr:nvPicPr>
        <xdr:cNvPr id="6" name="Picture 5">
          <a:extLst>
            <a:ext uri="{FF2B5EF4-FFF2-40B4-BE49-F238E27FC236}">
              <a16:creationId xmlns=""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95750" y="3419475"/>
          <a:ext cx="228600" cy="228600"/>
        </a:xfrm>
        <a:prstGeom prst="rect">
          <a:avLst/>
        </a:prstGeom>
      </xdr:spPr>
    </xdr:pic>
    <xdr:clientData/>
  </xdr:twoCellAnchor>
  <xdr:twoCellAnchor editAs="oneCell">
    <xdr:from>
      <xdr:col>3</xdr:col>
      <xdr:colOff>0</xdr:colOff>
      <xdr:row>8</xdr:row>
      <xdr:rowOff>228600</xdr:rowOff>
    </xdr:from>
    <xdr:to>
      <xdr:col>3</xdr:col>
      <xdr:colOff>228600</xdr:colOff>
      <xdr:row>9</xdr:row>
      <xdr:rowOff>0</xdr:rowOff>
    </xdr:to>
    <xdr:pic>
      <xdr:nvPicPr>
        <xdr:cNvPr id="7" name="Picture 6">
          <a:extLst>
            <a:ext uri="{FF2B5EF4-FFF2-40B4-BE49-F238E27FC236}">
              <a16:creationId xmlns="" xmlns:a16="http://schemas.microsoft.com/office/drawing/2014/main" id="{00000000-0008-0000-0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95750" y="3886200"/>
          <a:ext cx="228600" cy="228600"/>
        </a:xfrm>
        <a:prstGeom prst="rect">
          <a:avLst/>
        </a:prstGeom>
      </xdr:spPr>
    </xdr:pic>
    <xdr:clientData/>
  </xdr:twoCellAnchor>
  <xdr:twoCellAnchor editAs="oneCell">
    <xdr:from>
      <xdr:col>3</xdr:col>
      <xdr:colOff>0</xdr:colOff>
      <xdr:row>9</xdr:row>
      <xdr:rowOff>228600</xdr:rowOff>
    </xdr:from>
    <xdr:to>
      <xdr:col>3</xdr:col>
      <xdr:colOff>228600</xdr:colOff>
      <xdr:row>10</xdr:row>
      <xdr:rowOff>0</xdr:rowOff>
    </xdr:to>
    <xdr:pic>
      <xdr:nvPicPr>
        <xdr:cNvPr id="8" name="Picture 7">
          <a:extLst>
            <a:ext uri="{FF2B5EF4-FFF2-40B4-BE49-F238E27FC236}">
              <a16:creationId xmlns=""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95750" y="4343400"/>
          <a:ext cx="228600" cy="228600"/>
        </a:xfrm>
        <a:prstGeom prst="rect">
          <a:avLst/>
        </a:prstGeom>
      </xdr:spPr>
    </xdr:pic>
    <xdr:clientData/>
  </xdr:twoCellAnchor>
  <xdr:twoCellAnchor editAs="oneCell">
    <xdr:from>
      <xdr:col>3</xdr:col>
      <xdr:colOff>0</xdr:colOff>
      <xdr:row>6</xdr:row>
      <xdr:rowOff>0</xdr:rowOff>
    </xdr:from>
    <xdr:to>
      <xdr:col>3</xdr:col>
      <xdr:colOff>228600</xdr:colOff>
      <xdr:row>7</xdr:row>
      <xdr:rowOff>0</xdr:rowOff>
    </xdr:to>
    <xdr:pic>
      <xdr:nvPicPr>
        <xdr:cNvPr id="9" name="Picture 8">
          <a:extLst>
            <a:ext uri="{FF2B5EF4-FFF2-40B4-BE49-F238E27FC236}">
              <a16:creationId xmlns="" xmlns:a16="http://schemas.microsoft.com/office/drawing/2014/main" id="{00000000-0008-0000-02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143375" y="2381250"/>
          <a:ext cx="228600" cy="457200"/>
        </a:xfrm>
        <a:prstGeom prst="rect">
          <a:avLst/>
        </a:prstGeom>
      </xdr:spPr>
    </xdr:pic>
    <xdr:clientData/>
  </xdr:twoCellAnchor>
  <xdr:twoCellAnchor editAs="oneCell">
    <xdr:from>
      <xdr:col>3</xdr:col>
      <xdr:colOff>0</xdr:colOff>
      <xdr:row>3</xdr:row>
      <xdr:rowOff>0</xdr:rowOff>
    </xdr:from>
    <xdr:to>
      <xdr:col>3</xdr:col>
      <xdr:colOff>228600</xdr:colOff>
      <xdr:row>4</xdr:row>
      <xdr:rowOff>0</xdr:rowOff>
    </xdr:to>
    <xdr:pic>
      <xdr:nvPicPr>
        <xdr:cNvPr id="10" name="Picture 9">
          <a:extLst>
            <a:ext uri="{FF2B5EF4-FFF2-40B4-BE49-F238E27FC236}">
              <a16:creationId xmlns="" xmlns:a16="http://schemas.microsoft.com/office/drawing/2014/main" id="{00000000-0008-0000-02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0" y="1371600"/>
          <a:ext cx="228600" cy="457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4</xdr:row>
      <xdr:rowOff>57150</xdr:rowOff>
    </xdr:from>
    <xdr:to>
      <xdr:col>3</xdr:col>
      <xdr:colOff>619125</xdr:colOff>
      <xdr:row>8</xdr:row>
      <xdr:rowOff>142875</xdr:rowOff>
    </xdr:to>
    <xdr:pic>
      <xdr:nvPicPr>
        <xdr:cNvPr id="2" name="Picture 1" descr="logo_c">
          <a:extLst>
            <a:ext uri="{FF2B5EF4-FFF2-40B4-BE49-F238E27FC236}">
              <a16:creationId xmlns=""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lum bright="20000"/>
          <a:extLst>
            <a:ext uri="{28A0092B-C50C-407E-A947-70E740481C1C}">
              <a14:useLocalDpi xmlns:a14="http://schemas.microsoft.com/office/drawing/2010/main" val="0"/>
            </a:ext>
          </a:extLst>
        </a:blip>
        <a:srcRect/>
        <a:stretch>
          <a:fillRect/>
        </a:stretch>
      </xdr:blipFill>
      <xdr:spPr bwMode="auto">
        <a:xfrm>
          <a:off x="685800" y="704850"/>
          <a:ext cx="1323975"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314325</xdr:colOff>
      <xdr:row>51</xdr:row>
      <xdr:rowOff>0</xdr:rowOff>
    </xdr:from>
    <xdr:to>
      <xdr:col>3</xdr:col>
      <xdr:colOff>514350</xdr:colOff>
      <xdr:row>53</xdr:row>
      <xdr:rowOff>133350</xdr:rowOff>
    </xdr:to>
    <xdr:pic>
      <xdr:nvPicPr>
        <xdr:cNvPr id="3" name="Picture 2" descr="apra1_green">
          <a:extLst>
            <a:ext uri="{FF2B5EF4-FFF2-40B4-BE49-F238E27FC236}">
              <a16:creationId xmlns=""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90600" y="8658225"/>
          <a:ext cx="9144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76200</xdr:colOff>
      <xdr:row>51</xdr:row>
      <xdr:rowOff>9525</xdr:rowOff>
    </xdr:from>
    <xdr:to>
      <xdr:col>14</xdr:col>
      <xdr:colOff>28575</xdr:colOff>
      <xdr:row>54</xdr:row>
      <xdr:rowOff>0</xdr:rowOff>
    </xdr:to>
    <xdr:pic>
      <xdr:nvPicPr>
        <xdr:cNvPr id="4" name="Picture 3" descr="j0215342">
          <a:extLst>
            <a:ext uri="{FF2B5EF4-FFF2-40B4-BE49-F238E27FC236}">
              <a16:creationId xmlns=""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286750" y="8667750"/>
          <a:ext cx="46672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47625</xdr:colOff>
      <xdr:row>18</xdr:row>
      <xdr:rowOff>133350</xdr:rowOff>
    </xdr:from>
    <xdr:to>
      <xdr:col>12</xdr:col>
      <xdr:colOff>571500</xdr:colOff>
      <xdr:row>22</xdr:row>
      <xdr:rowOff>9525</xdr:rowOff>
    </xdr:to>
    <xdr:pic>
      <xdr:nvPicPr>
        <xdr:cNvPr id="5" name="Picture 3">
          <a:extLst>
            <a:ext uri="{FF2B5EF4-FFF2-40B4-BE49-F238E27FC236}">
              <a16:creationId xmlns="" xmlns:a16="http://schemas.microsoft.com/office/drawing/2014/main" id="{00000000-0008-0000-08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038850" y="3876675"/>
          <a:ext cx="19526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
  <sheetViews>
    <sheetView tabSelected="1" workbookViewId="0"/>
  </sheetViews>
  <sheetFormatPr defaultRowHeight="15" x14ac:dyDescent="0.25"/>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01CheckinConsolidator">
                <anchor moveWithCells="1" sizeWithCells="1">
                  <from>
                    <xdr:col>1</xdr:col>
                    <xdr:colOff>85725</xdr:colOff>
                    <xdr:row>15</xdr:row>
                    <xdr:rowOff>85725</xdr:rowOff>
                  </from>
                  <to>
                    <xdr:col>3</xdr:col>
                    <xdr:colOff>495300</xdr:colOff>
                    <xdr:row>21</xdr:row>
                    <xdr:rowOff>114300</xdr:rowOff>
                  </to>
                </anchor>
              </controlPr>
            </control>
          </mc:Choice>
        </mc:AlternateContent>
        <mc:AlternateContent xmlns:mc="http://schemas.openxmlformats.org/markup-compatibility/2006">
          <mc:Choice Requires="x14">
            <control shapeId="1027" r:id="rId5" name="Button 3">
              <controlPr defaultSize="0" print="0" autoFill="0" autoPict="0" macro="[0]!Template">
                <anchor moveWithCells="1" sizeWithCells="1">
                  <from>
                    <xdr:col>1</xdr:col>
                    <xdr:colOff>114300</xdr:colOff>
                    <xdr:row>1</xdr:row>
                    <xdr:rowOff>9525</xdr:rowOff>
                  </from>
                  <to>
                    <xdr:col>3</xdr:col>
                    <xdr:colOff>533400</xdr:colOff>
                    <xdr:row>7</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06"/>
  <sheetViews>
    <sheetView workbookViewId="0">
      <selection activeCell="B6" sqref="B6"/>
    </sheetView>
  </sheetViews>
  <sheetFormatPr defaultColWidth="9.140625" defaultRowHeight="14.25" x14ac:dyDescent="0.2"/>
  <cols>
    <col min="1" max="1" width="23.5703125" style="32" bestFit="1" customWidth="1"/>
    <col min="2" max="2" width="20.140625" style="160" bestFit="1" customWidth="1"/>
    <col min="3" max="3" width="6.7109375" style="32" customWidth="1"/>
    <col min="4" max="4" width="10.5703125" style="32" bestFit="1" customWidth="1"/>
    <col min="5" max="5" width="19" style="32" bestFit="1" customWidth="1"/>
    <col min="6" max="6" width="18.7109375" style="32" bestFit="1" customWidth="1"/>
    <col min="7" max="7" width="16.140625" style="32" customWidth="1"/>
    <col min="8" max="8" width="6.7109375" style="32" customWidth="1"/>
    <col min="9" max="9" width="25.7109375" style="32" bestFit="1" customWidth="1"/>
    <col min="10" max="10" width="8.140625" style="173" bestFit="1" customWidth="1"/>
    <col min="11" max="11" width="12.7109375" style="32" bestFit="1" customWidth="1"/>
    <col min="12" max="12" width="6.7109375" style="32" customWidth="1"/>
    <col min="13" max="13" width="24.85546875" style="190" bestFit="1" customWidth="1"/>
    <col min="14" max="14" width="20.140625" style="160" bestFit="1" customWidth="1"/>
    <col min="15" max="15" width="19.42578125" style="196" bestFit="1" customWidth="1"/>
    <col min="16" max="16" width="13.85546875" style="196" bestFit="1" customWidth="1"/>
    <col min="17" max="16384" width="9.140625" style="32"/>
  </cols>
  <sheetData>
    <row r="1" spans="1:16" ht="22.5" x14ac:dyDescent="0.45">
      <c r="A1" s="211" t="s">
        <v>279</v>
      </c>
      <c r="B1" s="211"/>
      <c r="C1" s="211"/>
      <c r="D1" s="211"/>
      <c r="E1" s="211"/>
      <c r="F1" s="211"/>
      <c r="G1" s="211"/>
      <c r="H1" s="211"/>
      <c r="I1" s="211"/>
      <c r="J1" s="211"/>
      <c r="K1" s="211"/>
      <c r="L1" s="211"/>
      <c r="M1" s="211"/>
      <c r="N1" s="211"/>
      <c r="O1" s="211"/>
      <c r="P1" s="211"/>
    </row>
    <row r="2" spans="1:16" ht="22.5" x14ac:dyDescent="0.45">
      <c r="A2" s="211" t="s">
        <v>280</v>
      </c>
      <c r="B2" s="211"/>
      <c r="C2" s="211"/>
      <c r="D2" s="211"/>
      <c r="E2" s="211"/>
      <c r="F2" s="211"/>
      <c r="G2" s="211"/>
      <c r="H2" s="211"/>
      <c r="I2" s="211"/>
      <c r="J2" s="211"/>
      <c r="K2" s="211"/>
      <c r="L2" s="211"/>
      <c r="M2" s="211"/>
      <c r="N2" s="211"/>
      <c r="O2" s="211"/>
      <c r="P2" s="211"/>
    </row>
    <row r="3" spans="1:16" s="182" customFormat="1" ht="23.25" thickBot="1" x14ac:dyDescent="0.5">
      <c r="A3" s="181"/>
      <c r="B3" s="181"/>
      <c r="C3" s="181"/>
      <c r="D3" s="181"/>
      <c r="E3" s="181"/>
      <c r="F3" s="181"/>
      <c r="G3" s="181"/>
      <c r="H3" s="181"/>
      <c r="I3" s="181"/>
      <c r="J3" s="181"/>
      <c r="K3" s="181"/>
      <c r="M3" s="187"/>
      <c r="N3" s="191"/>
    </row>
    <row r="4" spans="1:16" s="168" customFormat="1" ht="23.25" thickBot="1" x14ac:dyDescent="0.5">
      <c r="A4" s="208" t="s">
        <v>309</v>
      </c>
      <c r="B4" s="210"/>
      <c r="D4" s="208" t="s">
        <v>308</v>
      </c>
      <c r="E4" s="209"/>
      <c r="F4" s="209"/>
      <c r="G4" s="210"/>
      <c r="I4" s="208" t="s">
        <v>283</v>
      </c>
      <c r="J4" s="209"/>
      <c r="K4" s="210"/>
      <c r="M4" s="208" t="s">
        <v>311</v>
      </c>
      <c r="N4" s="209"/>
      <c r="O4" s="209"/>
      <c r="P4" s="210"/>
    </row>
    <row r="5" spans="1:16" s="163" customFormat="1" ht="19.5" thickBot="1" x14ac:dyDescent="0.45">
      <c r="A5" s="214" t="s">
        <v>306</v>
      </c>
      <c r="B5" s="215"/>
      <c r="D5" s="164" t="s">
        <v>18</v>
      </c>
      <c r="E5" s="199" t="s">
        <v>317</v>
      </c>
      <c r="F5" s="199" t="s">
        <v>84</v>
      </c>
      <c r="G5" s="198" t="s">
        <v>318</v>
      </c>
      <c r="I5" s="164" t="s">
        <v>307</v>
      </c>
      <c r="J5" s="169" t="s">
        <v>64</v>
      </c>
      <c r="K5" s="165" t="s">
        <v>21</v>
      </c>
      <c r="M5" s="188" t="s">
        <v>312</v>
      </c>
      <c r="N5" s="192" t="s">
        <v>313</v>
      </c>
      <c r="O5" s="165" t="s">
        <v>314</v>
      </c>
      <c r="P5" s="165" t="s">
        <v>315</v>
      </c>
    </row>
    <row r="6" spans="1:16" ht="18.75" x14ac:dyDescent="0.4">
      <c r="A6" s="137" t="s">
        <v>224</v>
      </c>
      <c r="B6" s="157" t="s">
        <v>298</v>
      </c>
      <c r="D6" s="166" t="s">
        <v>21</v>
      </c>
      <c r="E6" s="167">
        <f>SUM(E7:E206)</f>
        <v>0</v>
      </c>
      <c r="F6" s="167">
        <f t="shared" ref="F6:G6" si="0">SUM(F7:F206)</f>
        <v>0</v>
      </c>
      <c r="G6" s="167">
        <f t="shared" si="0"/>
        <v>0</v>
      </c>
      <c r="I6" s="39" t="s">
        <v>75</v>
      </c>
      <c r="J6" s="170"/>
      <c r="K6" s="40">
        <f>K10-K7-K8</f>
        <v>0</v>
      </c>
      <c r="M6" s="189" t="s">
        <v>21</v>
      </c>
      <c r="N6" s="193"/>
      <c r="O6" s="41">
        <f>SUM(O7:O100000)</f>
        <v>0</v>
      </c>
      <c r="P6" s="41">
        <f>SUM(P7:P100000)</f>
        <v>0</v>
      </c>
    </row>
    <row r="7" spans="1:16" ht="15" x14ac:dyDescent="0.25">
      <c r="A7" s="138" t="s">
        <v>223</v>
      </c>
      <c r="B7" s="158" t="str">
        <f>VLOOKUP(B6,REFCE!I:M,4,FALSE)</f>
        <v>FACILITY</v>
      </c>
      <c r="D7" s="39">
        <v>1</v>
      </c>
      <c r="E7" s="135"/>
      <c r="F7" s="135"/>
      <c r="G7" s="41">
        <f>ROUND((E7-F7),2)</f>
        <v>0</v>
      </c>
      <c r="I7" s="33" t="s">
        <v>79</v>
      </c>
      <c r="J7" s="171"/>
      <c r="K7" s="36">
        <f>(SUM(K11:K42))</f>
        <v>0</v>
      </c>
      <c r="M7" s="197"/>
      <c r="N7" s="194"/>
      <c r="O7" s="195"/>
      <c r="P7" s="195"/>
    </row>
    <row r="8" spans="1:16" ht="15" x14ac:dyDescent="0.25">
      <c r="A8" s="138" t="s">
        <v>299</v>
      </c>
      <c r="B8" s="159" t="str">
        <f>""</f>
        <v/>
      </c>
      <c r="D8" s="33">
        <v>2</v>
      </c>
      <c r="E8" s="136"/>
      <c r="F8" s="136"/>
      <c r="G8" s="41">
        <f t="shared" ref="G8:G71" si="1">ROUND((E8-F8),2)</f>
        <v>0</v>
      </c>
      <c r="I8" s="33" t="s">
        <v>20</v>
      </c>
      <c r="J8" s="171"/>
      <c r="K8" s="36">
        <f>(SUM(K43:K101))</f>
        <v>0</v>
      </c>
    </row>
    <row r="9" spans="1:16" ht="15" x14ac:dyDescent="0.25">
      <c r="A9" s="138" t="s">
        <v>300</v>
      </c>
      <c r="B9" s="183"/>
      <c r="D9" s="33">
        <v>3</v>
      </c>
      <c r="E9" s="136"/>
      <c r="F9" s="136"/>
      <c r="G9" s="41">
        <f t="shared" si="1"/>
        <v>0</v>
      </c>
      <c r="I9" s="33" t="s">
        <v>67</v>
      </c>
      <c r="J9" s="171"/>
      <c r="K9" s="36">
        <f>E6</f>
        <v>0</v>
      </c>
    </row>
    <row r="10" spans="1:16" ht="15" x14ac:dyDescent="0.25">
      <c r="A10" s="138" t="s">
        <v>301</v>
      </c>
      <c r="B10" s="159" t="str">
        <f>""</f>
        <v/>
      </c>
      <c r="D10" s="33">
        <v>4</v>
      </c>
      <c r="E10" s="136"/>
      <c r="F10" s="136"/>
      <c r="G10" s="41">
        <f t="shared" si="1"/>
        <v>0</v>
      </c>
      <c r="I10" s="33" t="s">
        <v>19</v>
      </c>
      <c r="J10" s="171"/>
      <c r="K10" s="36">
        <f>F6</f>
        <v>0</v>
      </c>
    </row>
    <row r="11" spans="1:16" ht="15" x14ac:dyDescent="0.25">
      <c r="A11" s="138" t="s">
        <v>302</v>
      </c>
      <c r="B11" s="159" t="str">
        <f>""</f>
        <v/>
      </c>
      <c r="D11" s="33">
        <v>5</v>
      </c>
      <c r="E11" s="136"/>
      <c r="F11" s="136"/>
      <c r="G11" s="41">
        <f t="shared" si="1"/>
        <v>0</v>
      </c>
      <c r="I11" s="33" t="s">
        <v>71</v>
      </c>
      <c r="J11" s="171" t="str">
        <f>IF(K11="","",1)</f>
        <v/>
      </c>
      <c r="K11" s="136"/>
    </row>
    <row r="12" spans="1:16" ht="15" x14ac:dyDescent="0.25">
      <c r="A12" s="138" t="s">
        <v>303</v>
      </c>
      <c r="B12" s="159" t="str">
        <f>""</f>
        <v/>
      </c>
      <c r="D12" s="33">
        <v>6</v>
      </c>
      <c r="E12" s="136"/>
      <c r="F12" s="136"/>
      <c r="G12" s="41">
        <f t="shared" si="1"/>
        <v>0</v>
      </c>
      <c r="I12" s="33" t="s">
        <v>70</v>
      </c>
      <c r="J12" s="171" t="str">
        <f t="shared" ref="J12:J42" si="2">IF(K12="","",1)</f>
        <v/>
      </c>
      <c r="K12" s="136"/>
    </row>
    <row r="13" spans="1:16" ht="15" x14ac:dyDescent="0.25">
      <c r="A13" s="138" t="s">
        <v>304</v>
      </c>
      <c r="B13" s="159" t="str">
        <f>""</f>
        <v/>
      </c>
      <c r="D13" s="33">
        <v>7</v>
      </c>
      <c r="E13" s="136"/>
      <c r="F13" s="136"/>
      <c r="G13" s="41">
        <f t="shared" si="1"/>
        <v>0</v>
      </c>
      <c r="I13" s="33" t="s">
        <v>274</v>
      </c>
      <c r="J13" s="171" t="str">
        <f t="shared" si="2"/>
        <v/>
      </c>
      <c r="K13" s="136"/>
    </row>
    <row r="14" spans="1:16" ht="15" x14ac:dyDescent="0.25">
      <c r="A14" s="138" t="s">
        <v>305</v>
      </c>
      <c r="B14" s="162" t="str">
        <f>""</f>
        <v/>
      </c>
      <c r="D14" s="33">
        <v>8</v>
      </c>
      <c r="E14" s="136"/>
      <c r="F14" s="136"/>
      <c r="G14" s="41">
        <f t="shared" si="1"/>
        <v>0</v>
      </c>
      <c r="I14" s="33" t="s">
        <v>149</v>
      </c>
      <c r="J14" s="171" t="str">
        <f t="shared" si="2"/>
        <v/>
      </c>
      <c r="K14" s="136"/>
    </row>
    <row r="15" spans="1:16" ht="15" x14ac:dyDescent="0.25">
      <c r="A15" s="138" t="s">
        <v>333</v>
      </c>
      <c r="B15" s="161"/>
      <c r="D15" s="33">
        <v>9</v>
      </c>
      <c r="E15" s="136"/>
      <c r="F15" s="136"/>
      <c r="G15" s="41">
        <f t="shared" si="1"/>
        <v>0</v>
      </c>
      <c r="I15" s="33" t="s">
        <v>150</v>
      </c>
      <c r="J15" s="171" t="str">
        <f t="shared" si="2"/>
        <v/>
      </c>
      <c r="K15" s="136"/>
    </row>
    <row r="16" spans="1:16" ht="15" x14ac:dyDescent="0.25">
      <c r="A16" s="138" t="s">
        <v>316</v>
      </c>
      <c r="B16" s="161"/>
      <c r="D16" s="33">
        <v>10</v>
      </c>
      <c r="E16" s="136"/>
      <c r="F16" s="136"/>
      <c r="G16" s="41">
        <f t="shared" si="1"/>
        <v>0</v>
      </c>
      <c r="I16" s="33" t="s">
        <v>151</v>
      </c>
      <c r="J16" s="171" t="str">
        <f t="shared" si="2"/>
        <v/>
      </c>
      <c r="K16" s="136"/>
    </row>
    <row r="17" spans="1:11" ht="15" x14ac:dyDescent="0.25">
      <c r="A17" s="138" t="s">
        <v>320</v>
      </c>
      <c r="B17" s="157" t="s">
        <v>298</v>
      </c>
      <c r="D17" s="33">
        <v>11</v>
      </c>
      <c r="E17" s="136"/>
      <c r="F17" s="136"/>
      <c r="G17" s="41">
        <f t="shared" si="1"/>
        <v>0</v>
      </c>
      <c r="I17" s="33" t="s">
        <v>152</v>
      </c>
      <c r="J17" s="171" t="str">
        <f t="shared" si="2"/>
        <v/>
      </c>
      <c r="K17" s="136"/>
    </row>
    <row r="18" spans="1:11" ht="15.75" thickBot="1" x14ac:dyDescent="0.3">
      <c r="D18" s="33">
        <v>12</v>
      </c>
      <c r="E18" s="136"/>
      <c r="F18" s="136"/>
      <c r="G18" s="41">
        <f t="shared" si="1"/>
        <v>0</v>
      </c>
      <c r="I18" s="33" t="s">
        <v>153</v>
      </c>
      <c r="J18" s="171" t="str">
        <f t="shared" si="2"/>
        <v/>
      </c>
      <c r="K18" s="136"/>
    </row>
    <row r="19" spans="1:11" ht="15.75" customHeight="1" thickTop="1" x14ac:dyDescent="0.25">
      <c r="A19" s="218" t="s">
        <v>319</v>
      </c>
      <c r="B19" s="219"/>
      <c r="D19" s="33">
        <v>13</v>
      </c>
      <c r="E19" s="136"/>
      <c r="F19" s="136"/>
      <c r="G19" s="41">
        <f t="shared" si="1"/>
        <v>0</v>
      </c>
      <c r="I19" s="33" t="s">
        <v>154</v>
      </c>
      <c r="J19" s="171" t="str">
        <f t="shared" si="2"/>
        <v/>
      </c>
      <c r="K19" s="136"/>
    </row>
    <row r="20" spans="1:11" ht="15" x14ac:dyDescent="0.25">
      <c r="A20" s="216" t="str">
        <f>IF(UNLOAD!F12&gt;0.02,"CHECK UNLOAD WEIGHTS",IF(UNLOAD!F12&lt;-0.02,"CHECK UNLOAD WEIGHTS",""))</f>
        <v>CHECK UNLOAD WEIGHTS</v>
      </c>
      <c r="B20" s="217"/>
      <c r="D20" s="33">
        <v>14</v>
      </c>
      <c r="E20" s="136"/>
      <c r="F20" s="136"/>
      <c r="G20" s="41">
        <f t="shared" si="1"/>
        <v>0</v>
      </c>
      <c r="I20" s="33" t="s">
        <v>155</v>
      </c>
      <c r="J20" s="171" t="str">
        <f t="shared" si="2"/>
        <v/>
      </c>
      <c r="K20" s="136"/>
    </row>
    <row r="21" spans="1:11" ht="15" x14ac:dyDescent="0.25">
      <c r="A21" s="200" t="str">
        <f>IF(UNLOAD!F12&gt;0.02,"OUT OF TOLERANCE",IF(UNLOAD!F12&lt;-0.02,"OUT OF TOLERANCE",""))</f>
        <v>OUT OF TOLERANCE</v>
      </c>
      <c r="B21" s="201">
        <f>IF(UNLOAD!F12&gt;0.02,UNLOAD!F12,IF(UNLOAD!F12&lt;-0.02, UNLOAD!F12,""))</f>
        <v>1</v>
      </c>
      <c r="D21" s="33">
        <v>15</v>
      </c>
      <c r="E21" s="136"/>
      <c r="F21" s="136"/>
      <c r="G21" s="41">
        <f t="shared" si="1"/>
        <v>0</v>
      </c>
      <c r="I21" s="33" t="s">
        <v>156</v>
      </c>
      <c r="J21" s="171" t="str">
        <f t="shared" si="2"/>
        <v/>
      </c>
      <c r="K21" s="136"/>
    </row>
    <row r="22" spans="1:11" ht="15.75" thickBot="1" x14ac:dyDescent="0.3">
      <c r="A22" s="212" t="str">
        <f>IF(K6&lt;&gt;0,"CHECK CHECK-IN WEIGHTS","")</f>
        <v/>
      </c>
      <c r="B22" s="213"/>
      <c r="D22" s="33">
        <v>16</v>
      </c>
      <c r="E22" s="136"/>
      <c r="F22" s="136"/>
      <c r="G22" s="41">
        <f t="shared" si="1"/>
        <v>0</v>
      </c>
      <c r="I22" s="33" t="s">
        <v>157</v>
      </c>
      <c r="J22" s="171" t="str">
        <f t="shared" si="2"/>
        <v/>
      </c>
      <c r="K22" s="136"/>
    </row>
    <row r="23" spans="1:11" ht="15.75" thickTop="1" x14ac:dyDescent="0.25">
      <c r="D23" s="33">
        <v>17</v>
      </c>
      <c r="E23" s="136"/>
      <c r="F23" s="136"/>
      <c r="G23" s="41">
        <f t="shared" si="1"/>
        <v>0</v>
      </c>
      <c r="I23" s="33" t="s">
        <v>158</v>
      </c>
      <c r="J23" s="171" t="str">
        <f t="shared" si="2"/>
        <v/>
      </c>
      <c r="K23" s="136"/>
    </row>
    <row r="24" spans="1:11" ht="15" x14ac:dyDescent="0.25">
      <c r="D24" s="33">
        <v>18</v>
      </c>
      <c r="E24" s="136"/>
      <c r="F24" s="136"/>
      <c r="G24" s="41">
        <f t="shared" si="1"/>
        <v>0</v>
      </c>
      <c r="I24" s="33" t="s">
        <v>159</v>
      </c>
      <c r="J24" s="171" t="str">
        <f t="shared" si="2"/>
        <v/>
      </c>
      <c r="K24" s="136"/>
    </row>
    <row r="25" spans="1:11" ht="15" x14ac:dyDescent="0.25">
      <c r="D25" s="33">
        <v>19</v>
      </c>
      <c r="E25" s="136"/>
      <c r="F25" s="136"/>
      <c r="G25" s="41">
        <f t="shared" si="1"/>
        <v>0</v>
      </c>
      <c r="I25" s="33" t="s">
        <v>160</v>
      </c>
      <c r="J25" s="171" t="str">
        <f t="shared" si="2"/>
        <v/>
      </c>
      <c r="K25" s="136"/>
    </row>
    <row r="26" spans="1:11" ht="15" x14ac:dyDescent="0.25">
      <c r="D26" s="33">
        <v>20</v>
      </c>
      <c r="E26" s="136"/>
      <c r="F26" s="136"/>
      <c r="G26" s="41">
        <f t="shared" si="1"/>
        <v>0</v>
      </c>
      <c r="I26" s="33" t="s">
        <v>161</v>
      </c>
      <c r="J26" s="171" t="str">
        <f t="shared" si="2"/>
        <v/>
      </c>
      <c r="K26" s="136"/>
    </row>
    <row r="27" spans="1:11" ht="15" x14ac:dyDescent="0.25">
      <c r="D27" s="33">
        <v>21</v>
      </c>
      <c r="E27" s="136"/>
      <c r="F27" s="136"/>
      <c r="G27" s="41">
        <f t="shared" si="1"/>
        <v>0</v>
      </c>
      <c r="I27" s="33" t="s">
        <v>136</v>
      </c>
      <c r="J27" s="171" t="str">
        <f t="shared" si="2"/>
        <v/>
      </c>
      <c r="K27" s="136"/>
    </row>
    <row r="28" spans="1:11" ht="15" x14ac:dyDescent="0.25">
      <c r="D28" s="33">
        <v>22</v>
      </c>
      <c r="E28" s="136"/>
      <c r="F28" s="136"/>
      <c r="G28" s="41">
        <f t="shared" si="1"/>
        <v>0</v>
      </c>
      <c r="I28" s="33" t="s">
        <v>137</v>
      </c>
      <c r="J28" s="171" t="str">
        <f t="shared" si="2"/>
        <v/>
      </c>
      <c r="K28" s="136"/>
    </row>
    <row r="29" spans="1:11" ht="15" x14ac:dyDescent="0.25">
      <c r="D29" s="33">
        <v>23</v>
      </c>
      <c r="E29" s="136"/>
      <c r="F29" s="136"/>
      <c r="G29" s="41">
        <f t="shared" si="1"/>
        <v>0</v>
      </c>
      <c r="I29" s="33" t="s">
        <v>138</v>
      </c>
      <c r="J29" s="171" t="str">
        <f t="shared" si="2"/>
        <v/>
      </c>
      <c r="K29" s="136"/>
    </row>
    <row r="30" spans="1:11" ht="15" x14ac:dyDescent="0.25">
      <c r="D30" s="33">
        <v>24</v>
      </c>
      <c r="E30" s="136"/>
      <c r="F30" s="136"/>
      <c r="G30" s="41">
        <f t="shared" si="1"/>
        <v>0</v>
      </c>
      <c r="I30" s="33" t="s">
        <v>139</v>
      </c>
      <c r="J30" s="171" t="str">
        <f t="shared" si="2"/>
        <v/>
      </c>
      <c r="K30" s="136"/>
    </row>
    <row r="31" spans="1:11" ht="15" x14ac:dyDescent="0.25">
      <c r="D31" s="33">
        <v>25</v>
      </c>
      <c r="E31" s="136"/>
      <c r="F31" s="136"/>
      <c r="G31" s="41">
        <f t="shared" si="1"/>
        <v>0</v>
      </c>
      <c r="I31" s="33" t="s">
        <v>140</v>
      </c>
      <c r="J31" s="171" t="str">
        <f t="shared" si="2"/>
        <v/>
      </c>
      <c r="K31" s="136"/>
    </row>
    <row r="32" spans="1:11" ht="15" x14ac:dyDescent="0.25">
      <c r="D32" s="33">
        <v>26</v>
      </c>
      <c r="E32" s="136"/>
      <c r="F32" s="136"/>
      <c r="G32" s="41">
        <f t="shared" si="1"/>
        <v>0</v>
      </c>
      <c r="I32" s="33" t="s">
        <v>141</v>
      </c>
      <c r="J32" s="171" t="str">
        <f t="shared" si="2"/>
        <v/>
      </c>
      <c r="K32" s="136"/>
    </row>
    <row r="33" spans="4:11" ht="15" x14ac:dyDescent="0.25">
      <c r="D33" s="33">
        <v>27</v>
      </c>
      <c r="E33" s="136"/>
      <c r="F33" s="136"/>
      <c r="G33" s="41">
        <f t="shared" si="1"/>
        <v>0</v>
      </c>
      <c r="I33" s="33" t="s">
        <v>142</v>
      </c>
      <c r="J33" s="171" t="str">
        <f t="shared" si="2"/>
        <v/>
      </c>
      <c r="K33" s="136"/>
    </row>
    <row r="34" spans="4:11" ht="15" x14ac:dyDescent="0.25">
      <c r="D34" s="33">
        <v>28</v>
      </c>
      <c r="E34" s="136"/>
      <c r="F34" s="136"/>
      <c r="G34" s="41">
        <f t="shared" si="1"/>
        <v>0</v>
      </c>
      <c r="I34" s="33" t="s">
        <v>143</v>
      </c>
      <c r="J34" s="171" t="str">
        <f t="shared" si="2"/>
        <v/>
      </c>
      <c r="K34" s="136"/>
    </row>
    <row r="35" spans="4:11" ht="15" x14ac:dyDescent="0.25">
      <c r="D35" s="33">
        <v>29</v>
      </c>
      <c r="E35" s="136"/>
      <c r="F35" s="136"/>
      <c r="G35" s="41">
        <f t="shared" si="1"/>
        <v>0</v>
      </c>
      <c r="I35" s="33" t="s">
        <v>144</v>
      </c>
      <c r="J35" s="171" t="str">
        <f t="shared" si="2"/>
        <v/>
      </c>
      <c r="K35" s="136"/>
    </row>
    <row r="36" spans="4:11" ht="15" x14ac:dyDescent="0.25">
      <c r="D36" s="33">
        <v>30</v>
      </c>
      <c r="E36" s="136"/>
      <c r="F36" s="136"/>
      <c r="G36" s="41">
        <f t="shared" si="1"/>
        <v>0</v>
      </c>
      <c r="I36" s="33" t="s">
        <v>145</v>
      </c>
      <c r="J36" s="171" t="str">
        <f t="shared" si="2"/>
        <v/>
      </c>
      <c r="K36" s="136"/>
    </row>
    <row r="37" spans="4:11" ht="15" x14ac:dyDescent="0.25">
      <c r="D37" s="33">
        <v>31</v>
      </c>
      <c r="E37" s="136"/>
      <c r="F37" s="136"/>
      <c r="G37" s="41">
        <f t="shared" si="1"/>
        <v>0</v>
      </c>
      <c r="I37" s="33" t="s">
        <v>146</v>
      </c>
      <c r="J37" s="171" t="str">
        <f t="shared" si="2"/>
        <v/>
      </c>
      <c r="K37" s="136"/>
    </row>
    <row r="38" spans="4:11" ht="15" x14ac:dyDescent="0.25">
      <c r="D38" s="33">
        <v>32</v>
      </c>
      <c r="E38" s="136"/>
      <c r="F38" s="136"/>
      <c r="G38" s="41">
        <f t="shared" si="1"/>
        <v>0</v>
      </c>
      <c r="I38" s="33" t="s">
        <v>147</v>
      </c>
      <c r="J38" s="171" t="str">
        <f t="shared" si="2"/>
        <v/>
      </c>
      <c r="K38" s="136"/>
    </row>
    <row r="39" spans="4:11" ht="15" x14ac:dyDescent="0.25">
      <c r="D39" s="33">
        <v>33</v>
      </c>
      <c r="E39" s="136"/>
      <c r="F39" s="136"/>
      <c r="G39" s="41">
        <f t="shared" si="1"/>
        <v>0</v>
      </c>
      <c r="I39" s="33" t="s">
        <v>148</v>
      </c>
      <c r="J39" s="171" t="str">
        <f t="shared" si="2"/>
        <v/>
      </c>
      <c r="K39" s="136"/>
    </row>
    <row r="40" spans="4:11" ht="15" x14ac:dyDescent="0.25">
      <c r="D40" s="33">
        <v>34</v>
      </c>
      <c r="E40" s="136"/>
      <c r="F40" s="136"/>
      <c r="G40" s="41">
        <f t="shared" si="1"/>
        <v>0</v>
      </c>
      <c r="I40" s="33" t="s">
        <v>254</v>
      </c>
      <c r="J40" s="171" t="str">
        <f t="shared" si="2"/>
        <v/>
      </c>
      <c r="K40" s="136"/>
    </row>
    <row r="41" spans="4:11" ht="15" x14ac:dyDescent="0.25">
      <c r="D41" s="33">
        <v>35</v>
      </c>
      <c r="E41" s="136"/>
      <c r="F41" s="136"/>
      <c r="G41" s="41">
        <f t="shared" si="1"/>
        <v>0</v>
      </c>
      <c r="I41" s="33" t="s">
        <v>255</v>
      </c>
      <c r="J41" s="171" t="str">
        <f t="shared" si="2"/>
        <v/>
      </c>
      <c r="K41" s="136"/>
    </row>
    <row r="42" spans="4:11" ht="15" x14ac:dyDescent="0.25">
      <c r="D42" s="33">
        <v>36</v>
      </c>
      <c r="E42" s="136"/>
      <c r="F42" s="136"/>
      <c r="G42" s="41">
        <f t="shared" si="1"/>
        <v>0</v>
      </c>
      <c r="I42" s="33" t="s">
        <v>54</v>
      </c>
      <c r="J42" s="171" t="str">
        <f t="shared" si="2"/>
        <v/>
      </c>
      <c r="K42" s="136"/>
    </row>
    <row r="43" spans="4:11" ht="15" x14ac:dyDescent="0.25">
      <c r="D43" s="33">
        <v>37</v>
      </c>
      <c r="E43" s="136"/>
      <c r="F43" s="136"/>
      <c r="G43" s="41">
        <f t="shared" si="1"/>
        <v>0</v>
      </c>
      <c r="I43" s="33" t="s">
        <v>42</v>
      </c>
      <c r="J43" s="172" t="str">
        <f>""</f>
        <v/>
      </c>
      <c r="K43" s="136"/>
    </row>
    <row r="44" spans="4:11" ht="15" x14ac:dyDescent="0.25">
      <c r="D44" s="33">
        <v>38</v>
      </c>
      <c r="E44" s="136"/>
      <c r="F44" s="136"/>
      <c r="G44" s="41">
        <f t="shared" si="1"/>
        <v>0</v>
      </c>
      <c r="I44" s="33" t="s">
        <v>43</v>
      </c>
      <c r="J44" s="172" t="str">
        <f>""</f>
        <v/>
      </c>
      <c r="K44" s="136"/>
    </row>
    <row r="45" spans="4:11" ht="15" x14ac:dyDescent="0.25">
      <c r="D45" s="33">
        <v>39</v>
      </c>
      <c r="E45" s="136"/>
      <c r="F45" s="136"/>
      <c r="G45" s="41">
        <f t="shared" si="1"/>
        <v>0</v>
      </c>
      <c r="I45" s="33" t="s">
        <v>259</v>
      </c>
      <c r="J45" s="172" t="str">
        <f>""</f>
        <v/>
      </c>
      <c r="K45" s="136"/>
    </row>
    <row r="46" spans="4:11" ht="15" x14ac:dyDescent="0.25">
      <c r="D46" s="33">
        <v>40</v>
      </c>
      <c r="E46" s="136"/>
      <c r="F46" s="136"/>
      <c r="G46" s="41">
        <f t="shared" si="1"/>
        <v>0</v>
      </c>
      <c r="I46" s="33" t="s">
        <v>198</v>
      </c>
      <c r="J46" s="172" t="str">
        <f>""</f>
        <v/>
      </c>
      <c r="K46" s="136"/>
    </row>
    <row r="47" spans="4:11" ht="15" x14ac:dyDescent="0.25">
      <c r="D47" s="33">
        <v>41</v>
      </c>
      <c r="E47" s="136"/>
      <c r="F47" s="136"/>
      <c r="G47" s="41">
        <f t="shared" si="1"/>
        <v>0</v>
      </c>
      <c r="I47" s="33" t="s">
        <v>271</v>
      </c>
      <c r="J47" s="172" t="str">
        <f>""</f>
        <v/>
      </c>
      <c r="K47" s="136"/>
    </row>
    <row r="48" spans="4:11" ht="15" x14ac:dyDescent="0.25">
      <c r="D48" s="33">
        <v>42</v>
      </c>
      <c r="E48" s="136"/>
      <c r="F48" s="136"/>
      <c r="G48" s="41">
        <f t="shared" si="1"/>
        <v>0</v>
      </c>
      <c r="I48" s="33" t="s">
        <v>272</v>
      </c>
      <c r="J48" s="172" t="str">
        <f>""</f>
        <v/>
      </c>
      <c r="K48" s="136"/>
    </row>
    <row r="49" spans="4:11" ht="15" x14ac:dyDescent="0.25">
      <c r="D49" s="33">
        <v>43</v>
      </c>
      <c r="E49" s="136"/>
      <c r="F49" s="136"/>
      <c r="G49" s="41">
        <f t="shared" si="1"/>
        <v>0</v>
      </c>
      <c r="I49" s="33" t="s">
        <v>263</v>
      </c>
      <c r="J49" s="172" t="str">
        <f>""</f>
        <v/>
      </c>
      <c r="K49" s="136"/>
    </row>
    <row r="50" spans="4:11" ht="15" x14ac:dyDescent="0.25">
      <c r="D50" s="33">
        <v>44</v>
      </c>
      <c r="E50" s="136"/>
      <c r="F50" s="136"/>
      <c r="G50" s="41">
        <f t="shared" si="1"/>
        <v>0</v>
      </c>
      <c r="I50" s="33" t="s">
        <v>250</v>
      </c>
      <c r="J50" s="172" t="str">
        <f>""</f>
        <v/>
      </c>
      <c r="K50" s="136"/>
    </row>
    <row r="51" spans="4:11" ht="15" x14ac:dyDescent="0.25">
      <c r="D51" s="33">
        <v>45</v>
      </c>
      <c r="E51" s="136"/>
      <c r="F51" s="136"/>
      <c r="G51" s="41">
        <f t="shared" si="1"/>
        <v>0</v>
      </c>
      <c r="I51" s="33" t="s">
        <v>130</v>
      </c>
      <c r="J51" s="172" t="str">
        <f>""</f>
        <v/>
      </c>
      <c r="K51" s="136"/>
    </row>
    <row r="52" spans="4:11" ht="15" x14ac:dyDescent="0.25">
      <c r="D52" s="33">
        <v>46</v>
      </c>
      <c r="E52" s="136"/>
      <c r="F52" s="136"/>
      <c r="G52" s="41">
        <f t="shared" si="1"/>
        <v>0</v>
      </c>
      <c r="I52" s="33" t="s">
        <v>166</v>
      </c>
      <c r="J52" s="172" t="str">
        <f>""</f>
        <v/>
      </c>
      <c r="K52" s="136"/>
    </row>
    <row r="53" spans="4:11" ht="15" x14ac:dyDescent="0.25">
      <c r="D53" s="33">
        <v>47</v>
      </c>
      <c r="E53" s="136"/>
      <c r="F53" s="136"/>
      <c r="G53" s="41">
        <f t="shared" si="1"/>
        <v>0</v>
      </c>
      <c r="I53" s="33" t="s">
        <v>44</v>
      </c>
      <c r="J53" s="172" t="str">
        <f>""</f>
        <v/>
      </c>
      <c r="K53" s="136"/>
    </row>
    <row r="54" spans="4:11" ht="15" x14ac:dyDescent="0.25">
      <c r="D54" s="33">
        <v>48</v>
      </c>
      <c r="E54" s="136"/>
      <c r="F54" s="136"/>
      <c r="G54" s="41">
        <f t="shared" si="1"/>
        <v>0</v>
      </c>
      <c r="I54" s="33" t="s">
        <v>202</v>
      </c>
      <c r="J54" s="172" t="str">
        <f>""</f>
        <v/>
      </c>
      <c r="K54" s="136"/>
    </row>
    <row r="55" spans="4:11" ht="15" x14ac:dyDescent="0.25">
      <c r="D55" s="33">
        <v>49</v>
      </c>
      <c r="E55" s="136"/>
      <c r="F55" s="136"/>
      <c r="G55" s="41">
        <f t="shared" si="1"/>
        <v>0</v>
      </c>
      <c r="I55" s="33" t="s">
        <v>68</v>
      </c>
      <c r="J55" s="172" t="str">
        <f>""</f>
        <v/>
      </c>
      <c r="K55" s="136"/>
    </row>
    <row r="56" spans="4:11" ht="15" x14ac:dyDescent="0.25">
      <c r="D56" s="33">
        <v>50</v>
      </c>
      <c r="E56" s="136"/>
      <c r="F56" s="136"/>
      <c r="G56" s="41">
        <f t="shared" si="1"/>
        <v>0</v>
      </c>
      <c r="I56" s="33" t="s">
        <v>206</v>
      </c>
      <c r="J56" s="172" t="str">
        <f>""</f>
        <v/>
      </c>
      <c r="K56" s="136"/>
    </row>
    <row r="57" spans="4:11" ht="15" x14ac:dyDescent="0.25">
      <c r="D57" s="33">
        <v>51</v>
      </c>
      <c r="E57" s="136"/>
      <c r="F57" s="136"/>
      <c r="G57" s="41">
        <f t="shared" si="1"/>
        <v>0</v>
      </c>
      <c r="I57" s="33" t="s">
        <v>69</v>
      </c>
      <c r="J57" s="172" t="str">
        <f>""</f>
        <v/>
      </c>
      <c r="K57" s="136"/>
    </row>
    <row r="58" spans="4:11" ht="15" x14ac:dyDescent="0.25">
      <c r="D58" s="33">
        <v>52</v>
      </c>
      <c r="E58" s="136"/>
      <c r="F58" s="136"/>
      <c r="G58" s="41">
        <f t="shared" si="1"/>
        <v>0</v>
      </c>
      <c r="I58" s="33" t="s">
        <v>127</v>
      </c>
      <c r="J58" s="172" t="str">
        <f>""</f>
        <v/>
      </c>
      <c r="K58" s="136"/>
    </row>
    <row r="59" spans="4:11" ht="15" x14ac:dyDescent="0.25">
      <c r="D59" s="33">
        <v>53</v>
      </c>
      <c r="E59" s="136"/>
      <c r="F59" s="136"/>
      <c r="G59" s="41">
        <f t="shared" si="1"/>
        <v>0</v>
      </c>
      <c r="I59" s="33" t="s">
        <v>200</v>
      </c>
      <c r="J59" s="172" t="str">
        <f>""</f>
        <v/>
      </c>
      <c r="K59" s="136"/>
    </row>
    <row r="60" spans="4:11" ht="15" x14ac:dyDescent="0.25">
      <c r="D60" s="33">
        <v>54</v>
      </c>
      <c r="E60" s="136"/>
      <c r="F60" s="136"/>
      <c r="G60" s="41">
        <f t="shared" si="1"/>
        <v>0</v>
      </c>
      <c r="I60" s="33" t="s">
        <v>77</v>
      </c>
      <c r="J60" s="172" t="str">
        <f>""</f>
        <v/>
      </c>
      <c r="K60" s="136"/>
    </row>
    <row r="61" spans="4:11" ht="15" x14ac:dyDescent="0.25">
      <c r="D61" s="33">
        <v>55</v>
      </c>
      <c r="E61" s="136"/>
      <c r="F61" s="136"/>
      <c r="G61" s="41">
        <f t="shared" si="1"/>
        <v>0</v>
      </c>
      <c r="I61" s="33" t="s">
        <v>46</v>
      </c>
      <c r="J61" s="172" t="str">
        <f>""</f>
        <v/>
      </c>
      <c r="K61" s="136"/>
    </row>
    <row r="62" spans="4:11" ht="15" x14ac:dyDescent="0.25">
      <c r="D62" s="33">
        <v>56</v>
      </c>
      <c r="E62" s="136"/>
      <c r="F62" s="136"/>
      <c r="G62" s="41">
        <f t="shared" si="1"/>
        <v>0</v>
      </c>
      <c r="I62" s="33" t="s">
        <v>74</v>
      </c>
      <c r="J62" s="172" t="str">
        <f>""</f>
        <v/>
      </c>
      <c r="K62" s="136"/>
    </row>
    <row r="63" spans="4:11" ht="15" x14ac:dyDescent="0.25">
      <c r="D63" s="33">
        <v>57</v>
      </c>
      <c r="E63" s="136"/>
      <c r="F63" s="136"/>
      <c r="G63" s="41">
        <f t="shared" si="1"/>
        <v>0</v>
      </c>
      <c r="I63" s="33" t="s">
        <v>251</v>
      </c>
      <c r="J63" s="172" t="str">
        <f>""</f>
        <v/>
      </c>
      <c r="K63" s="136"/>
    </row>
    <row r="64" spans="4:11" ht="15" x14ac:dyDescent="0.25">
      <c r="D64" s="33">
        <v>58</v>
      </c>
      <c r="E64" s="136"/>
      <c r="F64" s="136"/>
      <c r="G64" s="41">
        <f t="shared" si="1"/>
        <v>0</v>
      </c>
      <c r="I64" s="33" t="s">
        <v>193</v>
      </c>
      <c r="J64" s="172" t="str">
        <f>""</f>
        <v/>
      </c>
      <c r="K64" s="136"/>
    </row>
    <row r="65" spans="4:11" ht="15" x14ac:dyDescent="0.25">
      <c r="D65" s="33">
        <v>59</v>
      </c>
      <c r="E65" s="136"/>
      <c r="F65" s="136"/>
      <c r="G65" s="41">
        <f t="shared" si="1"/>
        <v>0</v>
      </c>
      <c r="I65" s="33" t="s">
        <v>73</v>
      </c>
      <c r="J65" s="172" t="str">
        <f>""</f>
        <v/>
      </c>
      <c r="K65" s="136"/>
    </row>
    <row r="66" spans="4:11" ht="15" x14ac:dyDescent="0.25">
      <c r="D66" s="33">
        <v>60</v>
      </c>
      <c r="E66" s="136"/>
      <c r="F66" s="136"/>
      <c r="G66" s="41">
        <f t="shared" si="1"/>
        <v>0</v>
      </c>
      <c r="I66" s="33" t="s">
        <v>204</v>
      </c>
      <c r="J66" s="172" t="str">
        <f>""</f>
        <v/>
      </c>
      <c r="K66" s="136"/>
    </row>
    <row r="67" spans="4:11" ht="15" x14ac:dyDescent="0.25">
      <c r="D67" s="33">
        <v>61</v>
      </c>
      <c r="E67" s="136"/>
      <c r="F67" s="136"/>
      <c r="G67" s="41">
        <f t="shared" si="1"/>
        <v>0</v>
      </c>
      <c r="I67" s="33" t="s">
        <v>252</v>
      </c>
      <c r="J67" s="172" t="str">
        <f>""</f>
        <v/>
      </c>
      <c r="K67" s="136"/>
    </row>
    <row r="68" spans="4:11" ht="15" x14ac:dyDescent="0.25">
      <c r="D68" s="33">
        <v>62</v>
      </c>
      <c r="E68" s="136"/>
      <c r="F68" s="136"/>
      <c r="G68" s="41">
        <f t="shared" si="1"/>
        <v>0</v>
      </c>
      <c r="I68" s="33" t="s">
        <v>47</v>
      </c>
      <c r="J68" s="172" t="str">
        <f>""</f>
        <v/>
      </c>
      <c r="K68" s="136"/>
    </row>
    <row r="69" spans="4:11" ht="15" x14ac:dyDescent="0.25">
      <c r="D69" s="33">
        <v>63</v>
      </c>
      <c r="E69" s="136"/>
      <c r="F69" s="136"/>
      <c r="G69" s="41">
        <f t="shared" si="1"/>
        <v>0</v>
      </c>
      <c r="I69" s="33" t="s">
        <v>48</v>
      </c>
      <c r="J69" s="172" t="str">
        <f>""</f>
        <v/>
      </c>
      <c r="K69" s="136"/>
    </row>
    <row r="70" spans="4:11" ht="15" x14ac:dyDescent="0.25">
      <c r="D70" s="33">
        <v>64</v>
      </c>
      <c r="E70" s="136"/>
      <c r="F70" s="136"/>
      <c r="G70" s="41">
        <f t="shared" si="1"/>
        <v>0</v>
      </c>
      <c r="I70" s="33" t="s">
        <v>195</v>
      </c>
      <c r="J70" s="172" t="str">
        <f>""</f>
        <v/>
      </c>
      <c r="K70" s="136"/>
    </row>
    <row r="71" spans="4:11" ht="15" x14ac:dyDescent="0.25">
      <c r="D71" s="33">
        <v>65</v>
      </c>
      <c r="E71" s="136"/>
      <c r="F71" s="136"/>
      <c r="G71" s="41">
        <f t="shared" si="1"/>
        <v>0</v>
      </c>
      <c r="I71" s="33" t="s">
        <v>50</v>
      </c>
      <c r="J71" s="172" t="str">
        <f>""</f>
        <v/>
      </c>
      <c r="K71" s="136"/>
    </row>
    <row r="72" spans="4:11" ht="15" x14ac:dyDescent="0.25">
      <c r="D72" s="33">
        <v>66</v>
      </c>
      <c r="E72" s="136"/>
      <c r="F72" s="136"/>
      <c r="G72" s="41">
        <f t="shared" ref="G72:G135" si="3">ROUND((E72-F72),2)</f>
        <v>0</v>
      </c>
      <c r="I72" s="33" t="s">
        <v>51</v>
      </c>
      <c r="J72" s="172" t="str">
        <f>""</f>
        <v/>
      </c>
      <c r="K72" s="136"/>
    </row>
    <row r="73" spans="4:11" ht="15" x14ac:dyDescent="0.25">
      <c r="D73" s="33">
        <v>67</v>
      </c>
      <c r="E73" s="136"/>
      <c r="F73" s="136"/>
      <c r="G73" s="41">
        <f t="shared" si="3"/>
        <v>0</v>
      </c>
      <c r="I73" s="33" t="s">
        <v>253</v>
      </c>
      <c r="J73" s="172" t="str">
        <f>""</f>
        <v/>
      </c>
      <c r="K73" s="136"/>
    </row>
    <row r="74" spans="4:11" ht="15" x14ac:dyDescent="0.25">
      <c r="D74" s="33">
        <v>68</v>
      </c>
      <c r="E74" s="136"/>
      <c r="F74" s="136"/>
      <c r="G74" s="41">
        <f t="shared" si="3"/>
        <v>0</v>
      </c>
      <c r="I74" s="33" t="s">
        <v>76</v>
      </c>
      <c r="J74" s="172" t="str">
        <f>""</f>
        <v/>
      </c>
      <c r="K74" s="136"/>
    </row>
    <row r="75" spans="4:11" ht="15" x14ac:dyDescent="0.25">
      <c r="D75" s="33">
        <v>69</v>
      </c>
      <c r="E75" s="136"/>
      <c r="F75" s="136"/>
      <c r="G75" s="41">
        <f t="shared" si="3"/>
        <v>0</v>
      </c>
      <c r="I75" s="33" t="s">
        <v>78</v>
      </c>
      <c r="J75" s="172" t="str">
        <f>""</f>
        <v/>
      </c>
      <c r="K75" s="136"/>
    </row>
    <row r="76" spans="4:11" ht="15" x14ac:dyDescent="0.25">
      <c r="D76" s="33">
        <v>70</v>
      </c>
      <c r="E76" s="136"/>
      <c r="F76" s="136"/>
      <c r="G76" s="41">
        <f t="shared" si="3"/>
        <v>0</v>
      </c>
      <c r="I76" s="33" t="s">
        <v>135</v>
      </c>
      <c r="J76" s="172" t="str">
        <f>""</f>
        <v/>
      </c>
      <c r="K76" s="136"/>
    </row>
    <row r="77" spans="4:11" ht="15" x14ac:dyDescent="0.25">
      <c r="D77" s="33">
        <v>71</v>
      </c>
      <c r="E77" s="136"/>
      <c r="F77" s="136"/>
      <c r="G77" s="41">
        <f t="shared" si="3"/>
        <v>0</v>
      </c>
      <c r="I77" s="33" t="s">
        <v>52</v>
      </c>
      <c r="J77" s="172" t="str">
        <f>""</f>
        <v/>
      </c>
      <c r="K77" s="136"/>
    </row>
    <row r="78" spans="4:11" ht="15" x14ac:dyDescent="0.25">
      <c r="D78" s="33">
        <v>72</v>
      </c>
      <c r="E78" s="136"/>
      <c r="F78" s="136"/>
      <c r="G78" s="41">
        <f t="shared" si="3"/>
        <v>0</v>
      </c>
      <c r="I78" s="33" t="s">
        <v>72</v>
      </c>
      <c r="J78" s="172" t="str">
        <f>""</f>
        <v/>
      </c>
      <c r="K78" s="136"/>
    </row>
    <row r="79" spans="4:11" ht="15" x14ac:dyDescent="0.25">
      <c r="D79" s="33">
        <v>73</v>
      </c>
      <c r="E79" s="136"/>
      <c r="F79" s="136"/>
      <c r="G79" s="41">
        <f t="shared" si="3"/>
        <v>0</v>
      </c>
      <c r="I79" s="33" t="s">
        <v>53</v>
      </c>
      <c r="J79" s="172" t="str">
        <f>""</f>
        <v/>
      </c>
      <c r="K79" s="136"/>
    </row>
    <row r="80" spans="4:11" ht="15" x14ac:dyDescent="0.25">
      <c r="D80" s="33">
        <v>74</v>
      </c>
      <c r="E80" s="136"/>
      <c r="F80" s="136"/>
      <c r="G80" s="41">
        <f t="shared" si="3"/>
        <v>0</v>
      </c>
      <c r="I80" s="33" t="s">
        <v>226</v>
      </c>
      <c r="J80" s="172" t="str">
        <f>""</f>
        <v/>
      </c>
      <c r="K80" s="136"/>
    </row>
    <row r="81" spans="4:11" ht="15" x14ac:dyDescent="0.25">
      <c r="D81" s="33">
        <v>75</v>
      </c>
      <c r="E81" s="136"/>
      <c r="F81" s="136"/>
      <c r="G81" s="41">
        <f t="shared" si="3"/>
        <v>0</v>
      </c>
      <c r="I81" s="33" t="s">
        <v>227</v>
      </c>
      <c r="J81" s="172" t="str">
        <f>""</f>
        <v/>
      </c>
      <c r="K81" s="136"/>
    </row>
    <row r="82" spans="4:11" ht="15" x14ac:dyDescent="0.25">
      <c r="D82" s="33">
        <v>76</v>
      </c>
      <c r="E82" s="136"/>
      <c r="F82" s="136"/>
      <c r="G82" s="41">
        <f t="shared" si="3"/>
        <v>0</v>
      </c>
      <c r="I82" s="33" t="s">
        <v>208</v>
      </c>
      <c r="J82" s="172" t="str">
        <f>""</f>
        <v/>
      </c>
      <c r="K82" s="136"/>
    </row>
    <row r="83" spans="4:11" ht="15" x14ac:dyDescent="0.25">
      <c r="D83" s="33">
        <v>77</v>
      </c>
      <c r="E83" s="136"/>
      <c r="F83" s="136"/>
      <c r="G83" s="41">
        <f t="shared" si="3"/>
        <v>0</v>
      </c>
      <c r="I83" s="33" t="s">
        <v>262</v>
      </c>
      <c r="J83" s="172" t="str">
        <f>""</f>
        <v/>
      </c>
      <c r="K83" s="136"/>
    </row>
    <row r="84" spans="4:11" ht="15" x14ac:dyDescent="0.25">
      <c r="D84" s="33">
        <v>78</v>
      </c>
      <c r="E84" s="136"/>
      <c r="F84" s="136"/>
      <c r="G84" s="41">
        <f t="shared" si="3"/>
        <v>0</v>
      </c>
      <c r="I84" s="33" t="s">
        <v>133</v>
      </c>
      <c r="J84" s="172" t="str">
        <f>""</f>
        <v/>
      </c>
      <c r="K84" s="136"/>
    </row>
    <row r="85" spans="4:11" ht="15" x14ac:dyDescent="0.25">
      <c r="D85" s="33">
        <v>79</v>
      </c>
      <c r="E85" s="136"/>
      <c r="F85" s="136"/>
      <c r="G85" s="41">
        <f t="shared" si="3"/>
        <v>0</v>
      </c>
      <c r="I85" s="33" t="s">
        <v>134</v>
      </c>
      <c r="J85" s="172" t="str">
        <f>""</f>
        <v/>
      </c>
      <c r="K85" s="136"/>
    </row>
    <row r="86" spans="4:11" ht="15" x14ac:dyDescent="0.25">
      <c r="D86" s="33">
        <v>80</v>
      </c>
      <c r="E86" s="136"/>
      <c r="F86" s="136"/>
      <c r="G86" s="41">
        <f t="shared" si="3"/>
        <v>0</v>
      </c>
      <c r="I86" s="33" t="s">
        <v>45</v>
      </c>
      <c r="J86" s="172" t="str">
        <f>""</f>
        <v/>
      </c>
      <c r="K86" s="136"/>
    </row>
    <row r="87" spans="4:11" ht="15" x14ac:dyDescent="0.25">
      <c r="D87" s="33">
        <v>81</v>
      </c>
      <c r="E87" s="136"/>
      <c r="F87" s="136"/>
      <c r="G87" s="41">
        <f t="shared" si="3"/>
        <v>0</v>
      </c>
      <c r="I87" s="33" t="s">
        <v>49</v>
      </c>
      <c r="J87" s="172" t="str">
        <f>""</f>
        <v/>
      </c>
      <c r="K87" s="136"/>
    </row>
    <row r="88" spans="4:11" ht="15" x14ac:dyDescent="0.25">
      <c r="D88" s="33">
        <v>82</v>
      </c>
      <c r="E88" s="136"/>
      <c r="F88" s="136"/>
      <c r="G88" s="41">
        <f t="shared" si="3"/>
        <v>0</v>
      </c>
      <c r="I88" s="33" t="s">
        <v>277</v>
      </c>
      <c r="J88" s="172" t="str">
        <f>""</f>
        <v/>
      </c>
      <c r="K88" s="136"/>
    </row>
    <row r="89" spans="4:11" ht="15" x14ac:dyDescent="0.25">
      <c r="D89" s="33">
        <v>83</v>
      </c>
      <c r="E89" s="136"/>
      <c r="F89" s="136"/>
      <c r="G89" s="41">
        <f t="shared" si="3"/>
        <v>0</v>
      </c>
    </row>
    <row r="90" spans="4:11" ht="15" x14ac:dyDescent="0.25">
      <c r="D90" s="33">
        <v>84</v>
      </c>
      <c r="E90" s="136"/>
      <c r="F90" s="136"/>
      <c r="G90" s="41">
        <f t="shared" si="3"/>
        <v>0</v>
      </c>
    </row>
    <row r="91" spans="4:11" ht="15" x14ac:dyDescent="0.25">
      <c r="D91" s="33">
        <v>85</v>
      </c>
      <c r="E91" s="136"/>
      <c r="F91" s="136"/>
      <c r="G91" s="41">
        <f t="shared" si="3"/>
        <v>0</v>
      </c>
    </row>
    <row r="92" spans="4:11" ht="15" x14ac:dyDescent="0.25">
      <c r="D92" s="33">
        <v>86</v>
      </c>
      <c r="E92" s="136"/>
      <c r="F92" s="136"/>
      <c r="G92" s="41">
        <f t="shared" si="3"/>
        <v>0</v>
      </c>
    </row>
    <row r="93" spans="4:11" ht="15" x14ac:dyDescent="0.25">
      <c r="D93" s="33">
        <v>87</v>
      </c>
      <c r="E93" s="136"/>
      <c r="F93" s="136"/>
      <c r="G93" s="41">
        <f t="shared" si="3"/>
        <v>0</v>
      </c>
    </row>
    <row r="94" spans="4:11" ht="15" x14ac:dyDescent="0.25">
      <c r="D94" s="33">
        <v>88</v>
      </c>
      <c r="E94" s="136"/>
      <c r="F94" s="136"/>
      <c r="G94" s="41">
        <f t="shared" si="3"/>
        <v>0</v>
      </c>
    </row>
    <row r="95" spans="4:11" ht="15" x14ac:dyDescent="0.25">
      <c r="D95" s="33">
        <v>89</v>
      </c>
      <c r="E95" s="136"/>
      <c r="F95" s="136"/>
      <c r="G95" s="41">
        <f t="shared" si="3"/>
        <v>0</v>
      </c>
    </row>
    <row r="96" spans="4:11" ht="15" x14ac:dyDescent="0.25">
      <c r="D96" s="33">
        <v>90</v>
      </c>
      <c r="E96" s="136"/>
      <c r="F96" s="136"/>
      <c r="G96" s="41">
        <f t="shared" si="3"/>
        <v>0</v>
      </c>
    </row>
    <row r="97" spans="4:7" ht="15" x14ac:dyDescent="0.25">
      <c r="D97" s="33">
        <v>91</v>
      </c>
      <c r="E97" s="136"/>
      <c r="F97" s="136"/>
      <c r="G97" s="41">
        <f t="shared" si="3"/>
        <v>0</v>
      </c>
    </row>
    <row r="98" spans="4:7" ht="15" x14ac:dyDescent="0.25">
      <c r="D98" s="33">
        <v>92</v>
      </c>
      <c r="E98" s="136"/>
      <c r="F98" s="136"/>
      <c r="G98" s="41">
        <f t="shared" si="3"/>
        <v>0</v>
      </c>
    </row>
    <row r="99" spans="4:7" ht="15" x14ac:dyDescent="0.25">
      <c r="D99" s="33">
        <v>93</v>
      </c>
      <c r="E99" s="136"/>
      <c r="F99" s="136"/>
      <c r="G99" s="41">
        <f t="shared" si="3"/>
        <v>0</v>
      </c>
    </row>
    <row r="100" spans="4:7" ht="15" x14ac:dyDescent="0.25">
      <c r="D100" s="33">
        <v>94</v>
      </c>
      <c r="E100" s="136"/>
      <c r="F100" s="136"/>
      <c r="G100" s="41">
        <f t="shared" si="3"/>
        <v>0</v>
      </c>
    </row>
    <row r="101" spans="4:7" ht="15" x14ac:dyDescent="0.25">
      <c r="D101" s="33">
        <v>95</v>
      </c>
      <c r="E101" s="136"/>
      <c r="F101" s="136"/>
      <c r="G101" s="41">
        <f t="shared" si="3"/>
        <v>0</v>
      </c>
    </row>
    <row r="102" spans="4:7" ht="15" x14ac:dyDescent="0.25">
      <c r="D102" s="33">
        <v>96</v>
      </c>
      <c r="E102" s="136"/>
      <c r="F102" s="136"/>
      <c r="G102" s="41">
        <f t="shared" si="3"/>
        <v>0</v>
      </c>
    </row>
    <row r="103" spans="4:7" ht="15" x14ac:dyDescent="0.25">
      <c r="D103" s="33">
        <v>97</v>
      </c>
      <c r="E103" s="136"/>
      <c r="F103" s="136"/>
      <c r="G103" s="41">
        <f t="shared" si="3"/>
        <v>0</v>
      </c>
    </row>
    <row r="104" spans="4:7" ht="15" x14ac:dyDescent="0.25">
      <c r="D104" s="33">
        <v>98</v>
      </c>
      <c r="E104" s="136"/>
      <c r="F104" s="136"/>
      <c r="G104" s="41">
        <f t="shared" si="3"/>
        <v>0</v>
      </c>
    </row>
    <row r="105" spans="4:7" ht="15" x14ac:dyDescent="0.25">
      <c r="D105" s="33">
        <v>99</v>
      </c>
      <c r="E105" s="136"/>
      <c r="F105" s="136"/>
      <c r="G105" s="41">
        <f t="shared" si="3"/>
        <v>0</v>
      </c>
    </row>
    <row r="106" spans="4:7" ht="15" x14ac:dyDescent="0.25">
      <c r="D106" s="33">
        <v>100</v>
      </c>
      <c r="E106" s="136"/>
      <c r="F106" s="136"/>
      <c r="G106" s="41">
        <f t="shared" si="3"/>
        <v>0</v>
      </c>
    </row>
    <row r="107" spans="4:7" ht="15" x14ac:dyDescent="0.25">
      <c r="D107" s="33">
        <v>101</v>
      </c>
      <c r="E107" s="136"/>
      <c r="F107" s="136"/>
      <c r="G107" s="41">
        <f t="shared" si="3"/>
        <v>0</v>
      </c>
    </row>
    <row r="108" spans="4:7" ht="15" x14ac:dyDescent="0.25">
      <c r="D108" s="33">
        <v>102</v>
      </c>
      <c r="E108" s="136"/>
      <c r="F108" s="136"/>
      <c r="G108" s="41">
        <f t="shared" si="3"/>
        <v>0</v>
      </c>
    </row>
    <row r="109" spans="4:7" ht="15" x14ac:dyDescent="0.25">
      <c r="D109" s="33">
        <v>103</v>
      </c>
      <c r="E109" s="136"/>
      <c r="F109" s="136"/>
      <c r="G109" s="41">
        <f t="shared" si="3"/>
        <v>0</v>
      </c>
    </row>
    <row r="110" spans="4:7" ht="15" x14ac:dyDescent="0.25">
      <c r="D110" s="33">
        <v>104</v>
      </c>
      <c r="E110" s="136"/>
      <c r="F110" s="136"/>
      <c r="G110" s="41">
        <f t="shared" si="3"/>
        <v>0</v>
      </c>
    </row>
    <row r="111" spans="4:7" ht="15" x14ac:dyDescent="0.25">
      <c r="D111" s="33">
        <v>105</v>
      </c>
      <c r="E111" s="136"/>
      <c r="F111" s="136"/>
      <c r="G111" s="41">
        <f t="shared" si="3"/>
        <v>0</v>
      </c>
    </row>
    <row r="112" spans="4:7" ht="15" x14ac:dyDescent="0.25">
      <c r="D112" s="33">
        <v>106</v>
      </c>
      <c r="E112" s="136"/>
      <c r="F112" s="136"/>
      <c r="G112" s="41">
        <f t="shared" si="3"/>
        <v>0</v>
      </c>
    </row>
    <row r="113" spans="4:7" ht="15" x14ac:dyDescent="0.25">
      <c r="D113" s="33">
        <v>107</v>
      </c>
      <c r="E113" s="136"/>
      <c r="F113" s="136"/>
      <c r="G113" s="41">
        <f t="shared" si="3"/>
        <v>0</v>
      </c>
    </row>
    <row r="114" spans="4:7" ht="15" x14ac:dyDescent="0.25">
      <c r="D114" s="33">
        <v>108</v>
      </c>
      <c r="E114" s="136"/>
      <c r="F114" s="136"/>
      <c r="G114" s="41">
        <f t="shared" si="3"/>
        <v>0</v>
      </c>
    </row>
    <row r="115" spans="4:7" ht="15" x14ac:dyDescent="0.25">
      <c r="D115" s="33">
        <v>109</v>
      </c>
      <c r="E115" s="136"/>
      <c r="F115" s="136"/>
      <c r="G115" s="41">
        <f t="shared" si="3"/>
        <v>0</v>
      </c>
    </row>
    <row r="116" spans="4:7" ht="15" x14ac:dyDescent="0.25">
      <c r="D116" s="33">
        <v>110</v>
      </c>
      <c r="E116" s="136"/>
      <c r="F116" s="136"/>
      <c r="G116" s="41">
        <f t="shared" si="3"/>
        <v>0</v>
      </c>
    </row>
    <row r="117" spans="4:7" ht="15" x14ac:dyDescent="0.25">
      <c r="D117" s="33">
        <v>111</v>
      </c>
      <c r="E117" s="136"/>
      <c r="F117" s="136"/>
      <c r="G117" s="41">
        <f t="shared" si="3"/>
        <v>0</v>
      </c>
    </row>
    <row r="118" spans="4:7" ht="15" x14ac:dyDescent="0.25">
      <c r="D118" s="33">
        <v>112</v>
      </c>
      <c r="E118" s="136"/>
      <c r="F118" s="136"/>
      <c r="G118" s="41">
        <f t="shared" si="3"/>
        <v>0</v>
      </c>
    </row>
    <row r="119" spans="4:7" ht="15" x14ac:dyDescent="0.25">
      <c r="D119" s="33">
        <v>113</v>
      </c>
      <c r="E119" s="136"/>
      <c r="F119" s="136"/>
      <c r="G119" s="41">
        <f t="shared" si="3"/>
        <v>0</v>
      </c>
    </row>
    <row r="120" spans="4:7" ht="15" x14ac:dyDescent="0.25">
      <c r="D120" s="33">
        <v>114</v>
      </c>
      <c r="E120" s="136"/>
      <c r="F120" s="136"/>
      <c r="G120" s="41">
        <f t="shared" si="3"/>
        <v>0</v>
      </c>
    </row>
    <row r="121" spans="4:7" ht="15" x14ac:dyDescent="0.25">
      <c r="D121" s="33">
        <v>115</v>
      </c>
      <c r="E121" s="136"/>
      <c r="F121" s="136"/>
      <c r="G121" s="41">
        <f t="shared" si="3"/>
        <v>0</v>
      </c>
    </row>
    <row r="122" spans="4:7" ht="15" x14ac:dyDescent="0.25">
      <c r="D122" s="33">
        <v>116</v>
      </c>
      <c r="E122" s="136"/>
      <c r="F122" s="136"/>
      <c r="G122" s="41">
        <f t="shared" si="3"/>
        <v>0</v>
      </c>
    </row>
    <row r="123" spans="4:7" ht="15" x14ac:dyDescent="0.25">
      <c r="D123" s="33">
        <v>117</v>
      </c>
      <c r="E123" s="136"/>
      <c r="F123" s="136"/>
      <c r="G123" s="41">
        <f t="shared" si="3"/>
        <v>0</v>
      </c>
    </row>
    <row r="124" spans="4:7" ht="15" x14ac:dyDescent="0.25">
      <c r="D124" s="33">
        <v>118</v>
      </c>
      <c r="E124" s="136"/>
      <c r="F124" s="136"/>
      <c r="G124" s="41">
        <f t="shared" si="3"/>
        <v>0</v>
      </c>
    </row>
    <row r="125" spans="4:7" ht="15" x14ac:dyDescent="0.25">
      <c r="D125" s="33">
        <v>119</v>
      </c>
      <c r="E125" s="136"/>
      <c r="F125" s="136"/>
      <c r="G125" s="41">
        <f t="shared" si="3"/>
        <v>0</v>
      </c>
    </row>
    <row r="126" spans="4:7" ht="15" x14ac:dyDescent="0.25">
      <c r="D126" s="33">
        <v>120</v>
      </c>
      <c r="E126" s="136"/>
      <c r="F126" s="136"/>
      <c r="G126" s="41">
        <f t="shared" si="3"/>
        <v>0</v>
      </c>
    </row>
    <row r="127" spans="4:7" ht="15" x14ac:dyDescent="0.25">
      <c r="D127" s="33">
        <v>121</v>
      </c>
      <c r="E127" s="136"/>
      <c r="F127" s="136"/>
      <c r="G127" s="41">
        <f t="shared" si="3"/>
        <v>0</v>
      </c>
    </row>
    <row r="128" spans="4:7" ht="15" x14ac:dyDescent="0.25">
      <c r="D128" s="33">
        <v>122</v>
      </c>
      <c r="E128" s="136"/>
      <c r="F128" s="136"/>
      <c r="G128" s="41">
        <f t="shared" si="3"/>
        <v>0</v>
      </c>
    </row>
    <row r="129" spans="4:7" ht="15" x14ac:dyDescent="0.25">
      <c r="D129" s="33">
        <v>123</v>
      </c>
      <c r="E129" s="136"/>
      <c r="F129" s="136"/>
      <c r="G129" s="41">
        <f t="shared" si="3"/>
        <v>0</v>
      </c>
    </row>
    <row r="130" spans="4:7" ht="15" x14ac:dyDescent="0.25">
      <c r="D130" s="33">
        <v>124</v>
      </c>
      <c r="E130" s="136"/>
      <c r="F130" s="136"/>
      <c r="G130" s="41">
        <f t="shared" si="3"/>
        <v>0</v>
      </c>
    </row>
    <row r="131" spans="4:7" ht="15" x14ac:dyDescent="0.25">
      <c r="D131" s="33">
        <v>125</v>
      </c>
      <c r="E131" s="136"/>
      <c r="F131" s="136"/>
      <c r="G131" s="41">
        <f t="shared" si="3"/>
        <v>0</v>
      </c>
    </row>
    <row r="132" spans="4:7" ht="15" x14ac:dyDescent="0.25">
      <c r="D132" s="33">
        <v>126</v>
      </c>
      <c r="E132" s="136"/>
      <c r="F132" s="136"/>
      <c r="G132" s="41">
        <f t="shared" si="3"/>
        <v>0</v>
      </c>
    </row>
    <row r="133" spans="4:7" ht="15" x14ac:dyDescent="0.25">
      <c r="D133" s="33">
        <v>127</v>
      </c>
      <c r="E133" s="136"/>
      <c r="F133" s="136"/>
      <c r="G133" s="41">
        <f t="shared" si="3"/>
        <v>0</v>
      </c>
    </row>
    <row r="134" spans="4:7" ht="15" x14ac:dyDescent="0.25">
      <c r="D134" s="33">
        <v>128</v>
      </c>
      <c r="E134" s="136"/>
      <c r="F134" s="136"/>
      <c r="G134" s="41">
        <f t="shared" si="3"/>
        <v>0</v>
      </c>
    </row>
    <row r="135" spans="4:7" ht="15" x14ac:dyDescent="0.25">
      <c r="D135" s="33">
        <v>129</v>
      </c>
      <c r="E135" s="136"/>
      <c r="F135" s="136"/>
      <c r="G135" s="41">
        <f t="shared" si="3"/>
        <v>0</v>
      </c>
    </row>
    <row r="136" spans="4:7" ht="15" x14ac:dyDescent="0.25">
      <c r="D136" s="33">
        <v>130</v>
      </c>
      <c r="E136" s="136"/>
      <c r="F136" s="136"/>
      <c r="G136" s="41">
        <f t="shared" ref="G136:G199" si="4">ROUND((E136-F136),2)</f>
        <v>0</v>
      </c>
    </row>
    <row r="137" spans="4:7" ht="15" x14ac:dyDescent="0.25">
      <c r="D137" s="33">
        <v>131</v>
      </c>
      <c r="E137" s="136"/>
      <c r="F137" s="136"/>
      <c r="G137" s="41">
        <f t="shared" si="4"/>
        <v>0</v>
      </c>
    </row>
    <row r="138" spans="4:7" ht="15" x14ac:dyDescent="0.25">
      <c r="D138" s="33">
        <v>132</v>
      </c>
      <c r="E138" s="136"/>
      <c r="F138" s="136"/>
      <c r="G138" s="41">
        <f t="shared" si="4"/>
        <v>0</v>
      </c>
    </row>
    <row r="139" spans="4:7" ht="15" x14ac:dyDescent="0.25">
      <c r="D139" s="33">
        <v>133</v>
      </c>
      <c r="E139" s="136"/>
      <c r="F139" s="136"/>
      <c r="G139" s="41">
        <f t="shared" si="4"/>
        <v>0</v>
      </c>
    </row>
    <row r="140" spans="4:7" ht="15" x14ac:dyDescent="0.25">
      <c r="D140" s="33">
        <v>134</v>
      </c>
      <c r="E140" s="136"/>
      <c r="F140" s="136"/>
      <c r="G140" s="41">
        <f t="shared" si="4"/>
        <v>0</v>
      </c>
    </row>
    <row r="141" spans="4:7" ht="15" x14ac:dyDescent="0.25">
      <c r="D141" s="33">
        <v>135</v>
      </c>
      <c r="E141" s="136"/>
      <c r="F141" s="136"/>
      <c r="G141" s="41">
        <f t="shared" si="4"/>
        <v>0</v>
      </c>
    </row>
    <row r="142" spans="4:7" ht="15" x14ac:dyDescent="0.25">
      <c r="D142" s="33">
        <v>136</v>
      </c>
      <c r="E142" s="136"/>
      <c r="F142" s="136"/>
      <c r="G142" s="41">
        <f t="shared" si="4"/>
        <v>0</v>
      </c>
    </row>
    <row r="143" spans="4:7" ht="15" x14ac:dyDescent="0.25">
      <c r="D143" s="33">
        <v>137</v>
      </c>
      <c r="E143" s="136"/>
      <c r="F143" s="136"/>
      <c r="G143" s="41">
        <f t="shared" si="4"/>
        <v>0</v>
      </c>
    </row>
    <row r="144" spans="4:7" ht="15" x14ac:dyDescent="0.25">
      <c r="D144" s="33">
        <v>138</v>
      </c>
      <c r="E144" s="136"/>
      <c r="F144" s="136"/>
      <c r="G144" s="41">
        <f t="shared" si="4"/>
        <v>0</v>
      </c>
    </row>
    <row r="145" spans="4:7" ht="15" x14ac:dyDescent="0.25">
      <c r="D145" s="33">
        <v>139</v>
      </c>
      <c r="E145" s="136"/>
      <c r="F145" s="136"/>
      <c r="G145" s="41">
        <f t="shared" si="4"/>
        <v>0</v>
      </c>
    </row>
    <row r="146" spans="4:7" ht="15" x14ac:dyDescent="0.25">
      <c r="D146" s="33">
        <v>140</v>
      </c>
      <c r="E146" s="136"/>
      <c r="F146" s="136"/>
      <c r="G146" s="41">
        <f t="shared" si="4"/>
        <v>0</v>
      </c>
    </row>
    <row r="147" spans="4:7" ht="15" x14ac:dyDescent="0.25">
      <c r="D147" s="33">
        <v>141</v>
      </c>
      <c r="E147" s="136"/>
      <c r="F147" s="136"/>
      <c r="G147" s="41">
        <f t="shared" si="4"/>
        <v>0</v>
      </c>
    </row>
    <row r="148" spans="4:7" ht="15" x14ac:dyDescent="0.25">
      <c r="D148" s="33">
        <v>142</v>
      </c>
      <c r="E148" s="136"/>
      <c r="F148" s="136"/>
      <c r="G148" s="41">
        <f t="shared" si="4"/>
        <v>0</v>
      </c>
    </row>
    <row r="149" spans="4:7" ht="15" x14ac:dyDescent="0.25">
      <c r="D149" s="33">
        <v>143</v>
      </c>
      <c r="E149" s="136"/>
      <c r="F149" s="136"/>
      <c r="G149" s="41">
        <f t="shared" si="4"/>
        <v>0</v>
      </c>
    </row>
    <row r="150" spans="4:7" ht="15" x14ac:dyDescent="0.25">
      <c r="D150" s="33">
        <v>144</v>
      </c>
      <c r="E150" s="136"/>
      <c r="F150" s="136"/>
      <c r="G150" s="41">
        <f t="shared" si="4"/>
        <v>0</v>
      </c>
    </row>
    <row r="151" spans="4:7" ht="15" x14ac:dyDescent="0.25">
      <c r="D151" s="33">
        <v>145</v>
      </c>
      <c r="E151" s="136"/>
      <c r="F151" s="136"/>
      <c r="G151" s="41">
        <f t="shared" si="4"/>
        <v>0</v>
      </c>
    </row>
    <row r="152" spans="4:7" ht="15" x14ac:dyDescent="0.25">
      <c r="D152" s="33">
        <v>146</v>
      </c>
      <c r="E152" s="136"/>
      <c r="F152" s="136"/>
      <c r="G152" s="41">
        <f t="shared" si="4"/>
        <v>0</v>
      </c>
    </row>
    <row r="153" spans="4:7" ht="15" x14ac:dyDescent="0.25">
      <c r="D153" s="33">
        <v>147</v>
      </c>
      <c r="E153" s="136"/>
      <c r="F153" s="136"/>
      <c r="G153" s="41">
        <f t="shared" si="4"/>
        <v>0</v>
      </c>
    </row>
    <row r="154" spans="4:7" ht="15" x14ac:dyDescent="0.25">
      <c r="D154" s="33">
        <v>148</v>
      </c>
      <c r="E154" s="136"/>
      <c r="F154" s="136"/>
      <c r="G154" s="41">
        <f t="shared" si="4"/>
        <v>0</v>
      </c>
    </row>
    <row r="155" spans="4:7" ht="15" x14ac:dyDescent="0.25">
      <c r="D155" s="33">
        <v>149</v>
      </c>
      <c r="E155" s="136"/>
      <c r="F155" s="136"/>
      <c r="G155" s="41">
        <f t="shared" si="4"/>
        <v>0</v>
      </c>
    </row>
    <row r="156" spans="4:7" ht="15" x14ac:dyDescent="0.25">
      <c r="D156" s="33">
        <v>150</v>
      </c>
      <c r="E156" s="136"/>
      <c r="F156" s="136"/>
      <c r="G156" s="41">
        <f t="shared" si="4"/>
        <v>0</v>
      </c>
    </row>
    <row r="157" spans="4:7" ht="15" x14ac:dyDescent="0.25">
      <c r="D157" s="33">
        <v>151</v>
      </c>
      <c r="E157" s="136"/>
      <c r="F157" s="136"/>
      <c r="G157" s="41">
        <f t="shared" si="4"/>
        <v>0</v>
      </c>
    </row>
    <row r="158" spans="4:7" ht="15" x14ac:dyDescent="0.25">
      <c r="D158" s="33">
        <v>152</v>
      </c>
      <c r="E158" s="136"/>
      <c r="F158" s="136"/>
      <c r="G158" s="41">
        <f t="shared" si="4"/>
        <v>0</v>
      </c>
    </row>
    <row r="159" spans="4:7" ht="15" x14ac:dyDescent="0.25">
      <c r="D159" s="33">
        <v>153</v>
      </c>
      <c r="E159" s="136"/>
      <c r="F159" s="136"/>
      <c r="G159" s="41">
        <f t="shared" si="4"/>
        <v>0</v>
      </c>
    </row>
    <row r="160" spans="4:7" ht="15" x14ac:dyDescent="0.25">
      <c r="D160" s="33">
        <v>154</v>
      </c>
      <c r="E160" s="136"/>
      <c r="F160" s="136"/>
      <c r="G160" s="41">
        <f t="shared" si="4"/>
        <v>0</v>
      </c>
    </row>
    <row r="161" spans="4:7" ht="15" x14ac:dyDescent="0.25">
      <c r="D161" s="33">
        <v>155</v>
      </c>
      <c r="E161" s="136"/>
      <c r="F161" s="136"/>
      <c r="G161" s="41">
        <f t="shared" si="4"/>
        <v>0</v>
      </c>
    </row>
    <row r="162" spans="4:7" ht="15" x14ac:dyDescent="0.25">
      <c r="D162" s="33">
        <v>156</v>
      </c>
      <c r="E162" s="136"/>
      <c r="F162" s="136"/>
      <c r="G162" s="41">
        <f t="shared" si="4"/>
        <v>0</v>
      </c>
    </row>
    <row r="163" spans="4:7" ht="15" x14ac:dyDescent="0.25">
      <c r="D163" s="33">
        <v>157</v>
      </c>
      <c r="E163" s="136"/>
      <c r="F163" s="136"/>
      <c r="G163" s="41">
        <f t="shared" si="4"/>
        <v>0</v>
      </c>
    </row>
    <row r="164" spans="4:7" ht="15" x14ac:dyDescent="0.25">
      <c r="D164" s="33">
        <v>158</v>
      </c>
      <c r="E164" s="136"/>
      <c r="F164" s="136"/>
      <c r="G164" s="41">
        <f t="shared" si="4"/>
        <v>0</v>
      </c>
    </row>
    <row r="165" spans="4:7" ht="15" x14ac:dyDescent="0.25">
      <c r="D165" s="33">
        <v>159</v>
      </c>
      <c r="E165" s="136"/>
      <c r="F165" s="136"/>
      <c r="G165" s="41">
        <f t="shared" si="4"/>
        <v>0</v>
      </c>
    </row>
    <row r="166" spans="4:7" ht="15" x14ac:dyDescent="0.25">
      <c r="D166" s="33">
        <v>160</v>
      </c>
      <c r="E166" s="136"/>
      <c r="F166" s="136"/>
      <c r="G166" s="41">
        <f t="shared" si="4"/>
        <v>0</v>
      </c>
    </row>
    <row r="167" spans="4:7" ht="15" x14ac:dyDescent="0.25">
      <c r="D167" s="33">
        <v>161</v>
      </c>
      <c r="E167" s="136"/>
      <c r="F167" s="136"/>
      <c r="G167" s="41">
        <f t="shared" si="4"/>
        <v>0</v>
      </c>
    </row>
    <row r="168" spans="4:7" ht="15" x14ac:dyDescent="0.25">
      <c r="D168" s="33">
        <v>162</v>
      </c>
      <c r="E168" s="136"/>
      <c r="F168" s="136"/>
      <c r="G168" s="41">
        <f t="shared" si="4"/>
        <v>0</v>
      </c>
    </row>
    <row r="169" spans="4:7" ht="15" x14ac:dyDescent="0.25">
      <c r="D169" s="33">
        <v>163</v>
      </c>
      <c r="E169" s="136"/>
      <c r="F169" s="136"/>
      <c r="G169" s="41">
        <f t="shared" si="4"/>
        <v>0</v>
      </c>
    </row>
    <row r="170" spans="4:7" ht="15" x14ac:dyDescent="0.25">
      <c r="D170" s="33">
        <v>164</v>
      </c>
      <c r="E170" s="136"/>
      <c r="F170" s="136"/>
      <c r="G170" s="41">
        <f t="shared" si="4"/>
        <v>0</v>
      </c>
    </row>
    <row r="171" spans="4:7" ht="15" x14ac:dyDescent="0.25">
      <c r="D171" s="33">
        <v>165</v>
      </c>
      <c r="E171" s="136"/>
      <c r="F171" s="136"/>
      <c r="G171" s="41">
        <f t="shared" si="4"/>
        <v>0</v>
      </c>
    </row>
    <row r="172" spans="4:7" ht="15" x14ac:dyDescent="0.25">
      <c r="D172" s="33">
        <v>166</v>
      </c>
      <c r="E172" s="136"/>
      <c r="F172" s="136"/>
      <c r="G172" s="41">
        <f t="shared" si="4"/>
        <v>0</v>
      </c>
    </row>
    <row r="173" spans="4:7" ht="15" x14ac:dyDescent="0.25">
      <c r="D173" s="33">
        <v>167</v>
      </c>
      <c r="E173" s="136"/>
      <c r="F173" s="136"/>
      <c r="G173" s="41">
        <f t="shared" si="4"/>
        <v>0</v>
      </c>
    </row>
    <row r="174" spans="4:7" ht="15" x14ac:dyDescent="0.25">
      <c r="D174" s="33">
        <v>168</v>
      </c>
      <c r="E174" s="136"/>
      <c r="F174" s="136"/>
      <c r="G174" s="41">
        <f t="shared" si="4"/>
        <v>0</v>
      </c>
    </row>
    <row r="175" spans="4:7" ht="15" x14ac:dyDescent="0.25">
      <c r="D175" s="33">
        <v>169</v>
      </c>
      <c r="E175" s="136"/>
      <c r="F175" s="136"/>
      <c r="G175" s="41">
        <f t="shared" si="4"/>
        <v>0</v>
      </c>
    </row>
    <row r="176" spans="4:7" ht="15" x14ac:dyDescent="0.25">
      <c r="D176" s="33">
        <v>170</v>
      </c>
      <c r="E176" s="136"/>
      <c r="F176" s="136"/>
      <c r="G176" s="41">
        <f t="shared" si="4"/>
        <v>0</v>
      </c>
    </row>
    <row r="177" spans="4:7" ht="15" x14ac:dyDescent="0.25">
      <c r="D177" s="33">
        <v>171</v>
      </c>
      <c r="E177" s="136"/>
      <c r="F177" s="136"/>
      <c r="G177" s="41">
        <f t="shared" si="4"/>
        <v>0</v>
      </c>
    </row>
    <row r="178" spans="4:7" ht="15" x14ac:dyDescent="0.25">
      <c r="D178" s="33">
        <v>172</v>
      </c>
      <c r="E178" s="136"/>
      <c r="F178" s="136"/>
      <c r="G178" s="41">
        <f t="shared" si="4"/>
        <v>0</v>
      </c>
    </row>
    <row r="179" spans="4:7" ht="15" x14ac:dyDescent="0.25">
      <c r="D179" s="33">
        <v>173</v>
      </c>
      <c r="E179" s="136"/>
      <c r="F179" s="136"/>
      <c r="G179" s="41">
        <f t="shared" si="4"/>
        <v>0</v>
      </c>
    </row>
    <row r="180" spans="4:7" ht="15" x14ac:dyDescent="0.25">
      <c r="D180" s="33">
        <v>174</v>
      </c>
      <c r="E180" s="136"/>
      <c r="F180" s="136"/>
      <c r="G180" s="41">
        <f t="shared" si="4"/>
        <v>0</v>
      </c>
    </row>
    <row r="181" spans="4:7" ht="15" x14ac:dyDescent="0.25">
      <c r="D181" s="33">
        <v>175</v>
      </c>
      <c r="E181" s="136"/>
      <c r="F181" s="136"/>
      <c r="G181" s="41">
        <f t="shared" si="4"/>
        <v>0</v>
      </c>
    </row>
    <row r="182" spans="4:7" ht="15" x14ac:dyDescent="0.25">
      <c r="D182" s="33">
        <v>176</v>
      </c>
      <c r="E182" s="136"/>
      <c r="F182" s="136"/>
      <c r="G182" s="41">
        <f t="shared" si="4"/>
        <v>0</v>
      </c>
    </row>
    <row r="183" spans="4:7" ht="15" x14ac:dyDescent="0.25">
      <c r="D183" s="33">
        <v>177</v>
      </c>
      <c r="E183" s="136"/>
      <c r="F183" s="136"/>
      <c r="G183" s="41">
        <f t="shared" si="4"/>
        <v>0</v>
      </c>
    </row>
    <row r="184" spans="4:7" ht="15" x14ac:dyDescent="0.25">
      <c r="D184" s="33">
        <v>178</v>
      </c>
      <c r="E184" s="136"/>
      <c r="F184" s="136"/>
      <c r="G184" s="41">
        <f t="shared" si="4"/>
        <v>0</v>
      </c>
    </row>
    <row r="185" spans="4:7" ht="15" x14ac:dyDescent="0.25">
      <c r="D185" s="33">
        <v>179</v>
      </c>
      <c r="E185" s="136"/>
      <c r="F185" s="136"/>
      <c r="G185" s="41">
        <f t="shared" si="4"/>
        <v>0</v>
      </c>
    </row>
    <row r="186" spans="4:7" ht="15" x14ac:dyDescent="0.25">
      <c r="D186" s="33">
        <v>180</v>
      </c>
      <c r="E186" s="136"/>
      <c r="F186" s="136"/>
      <c r="G186" s="41">
        <f t="shared" si="4"/>
        <v>0</v>
      </c>
    </row>
    <row r="187" spans="4:7" ht="15" x14ac:dyDescent="0.25">
      <c r="D187" s="33">
        <v>181</v>
      </c>
      <c r="E187" s="136"/>
      <c r="F187" s="136"/>
      <c r="G187" s="41">
        <f t="shared" si="4"/>
        <v>0</v>
      </c>
    </row>
    <row r="188" spans="4:7" ht="15" x14ac:dyDescent="0.25">
      <c r="D188" s="33">
        <v>182</v>
      </c>
      <c r="E188" s="136"/>
      <c r="F188" s="136"/>
      <c r="G188" s="41">
        <f t="shared" si="4"/>
        <v>0</v>
      </c>
    </row>
    <row r="189" spans="4:7" ht="15" x14ac:dyDescent="0.25">
      <c r="D189" s="33">
        <v>183</v>
      </c>
      <c r="E189" s="136"/>
      <c r="F189" s="136"/>
      <c r="G189" s="41">
        <f t="shared" si="4"/>
        <v>0</v>
      </c>
    </row>
    <row r="190" spans="4:7" ht="15" x14ac:dyDescent="0.25">
      <c r="D190" s="33">
        <v>184</v>
      </c>
      <c r="E190" s="136"/>
      <c r="F190" s="136"/>
      <c r="G190" s="41">
        <f t="shared" si="4"/>
        <v>0</v>
      </c>
    </row>
    <row r="191" spans="4:7" ht="15" x14ac:dyDescent="0.25">
      <c r="D191" s="33">
        <v>185</v>
      </c>
      <c r="E191" s="136"/>
      <c r="F191" s="136"/>
      <c r="G191" s="41">
        <f t="shared" si="4"/>
        <v>0</v>
      </c>
    </row>
    <row r="192" spans="4:7" ht="15" x14ac:dyDescent="0.25">
      <c r="D192" s="33">
        <v>186</v>
      </c>
      <c r="E192" s="136"/>
      <c r="F192" s="136"/>
      <c r="G192" s="41">
        <f t="shared" si="4"/>
        <v>0</v>
      </c>
    </row>
    <row r="193" spans="4:7" ht="15" x14ac:dyDescent="0.25">
      <c r="D193" s="33">
        <v>187</v>
      </c>
      <c r="E193" s="136"/>
      <c r="F193" s="136"/>
      <c r="G193" s="41">
        <f t="shared" si="4"/>
        <v>0</v>
      </c>
    </row>
    <row r="194" spans="4:7" ht="15" x14ac:dyDescent="0.25">
      <c r="D194" s="33">
        <v>188</v>
      </c>
      <c r="E194" s="136"/>
      <c r="F194" s="136"/>
      <c r="G194" s="41">
        <f t="shared" si="4"/>
        <v>0</v>
      </c>
    </row>
    <row r="195" spans="4:7" ht="15" x14ac:dyDescent="0.25">
      <c r="D195" s="33">
        <v>189</v>
      </c>
      <c r="E195" s="136"/>
      <c r="F195" s="136"/>
      <c r="G195" s="41">
        <f t="shared" si="4"/>
        <v>0</v>
      </c>
    </row>
    <row r="196" spans="4:7" ht="15" x14ac:dyDescent="0.25">
      <c r="D196" s="33">
        <v>190</v>
      </c>
      <c r="E196" s="136"/>
      <c r="F196" s="136"/>
      <c r="G196" s="41">
        <f t="shared" si="4"/>
        <v>0</v>
      </c>
    </row>
    <row r="197" spans="4:7" ht="15" x14ac:dyDescent="0.25">
      <c r="D197" s="33">
        <v>191</v>
      </c>
      <c r="E197" s="136"/>
      <c r="F197" s="136"/>
      <c r="G197" s="41">
        <f t="shared" si="4"/>
        <v>0</v>
      </c>
    </row>
    <row r="198" spans="4:7" ht="15" x14ac:dyDescent="0.25">
      <c r="D198" s="33">
        <v>192</v>
      </c>
      <c r="E198" s="136"/>
      <c r="F198" s="136"/>
      <c r="G198" s="41">
        <f t="shared" si="4"/>
        <v>0</v>
      </c>
    </row>
    <row r="199" spans="4:7" ht="15" x14ac:dyDescent="0.25">
      <c r="D199" s="33">
        <v>193</v>
      </c>
      <c r="E199" s="136"/>
      <c r="F199" s="136"/>
      <c r="G199" s="41">
        <f t="shared" si="4"/>
        <v>0</v>
      </c>
    </row>
    <row r="200" spans="4:7" ht="15" x14ac:dyDescent="0.25">
      <c r="D200" s="33">
        <v>194</v>
      </c>
      <c r="E200" s="136"/>
      <c r="F200" s="136"/>
      <c r="G200" s="41">
        <f t="shared" ref="G200:G206" si="5">ROUND((E200-F200),2)</f>
        <v>0</v>
      </c>
    </row>
    <row r="201" spans="4:7" ht="15" x14ac:dyDescent="0.25">
      <c r="D201" s="33">
        <v>195</v>
      </c>
      <c r="E201" s="136"/>
      <c r="F201" s="136"/>
      <c r="G201" s="41">
        <f t="shared" si="5"/>
        <v>0</v>
      </c>
    </row>
    <row r="202" spans="4:7" ht="15" x14ac:dyDescent="0.25">
      <c r="D202" s="33">
        <v>196</v>
      </c>
      <c r="E202" s="136"/>
      <c r="F202" s="136"/>
      <c r="G202" s="41">
        <f t="shared" si="5"/>
        <v>0</v>
      </c>
    </row>
    <row r="203" spans="4:7" ht="15" x14ac:dyDescent="0.25">
      <c r="D203" s="33">
        <v>197</v>
      </c>
      <c r="E203" s="136"/>
      <c r="F203" s="136"/>
      <c r="G203" s="41">
        <f t="shared" si="5"/>
        <v>0</v>
      </c>
    </row>
    <row r="204" spans="4:7" ht="15" x14ac:dyDescent="0.25">
      <c r="D204" s="33">
        <v>198</v>
      </c>
      <c r="E204" s="136"/>
      <c r="F204" s="136"/>
      <c r="G204" s="41">
        <f t="shared" si="5"/>
        <v>0</v>
      </c>
    </row>
    <row r="205" spans="4:7" ht="15" x14ac:dyDescent="0.25">
      <c r="D205" s="33">
        <v>199</v>
      </c>
      <c r="E205" s="136"/>
      <c r="F205" s="136"/>
      <c r="G205" s="41">
        <f t="shared" si="5"/>
        <v>0</v>
      </c>
    </row>
    <row r="206" spans="4:7" ht="15" x14ac:dyDescent="0.25">
      <c r="D206" s="33">
        <v>200</v>
      </c>
      <c r="E206" s="136"/>
      <c r="F206" s="136"/>
      <c r="G206" s="41">
        <f t="shared" si="5"/>
        <v>0</v>
      </c>
    </row>
  </sheetData>
  <mergeCells count="10">
    <mergeCell ref="M4:P4"/>
    <mergeCell ref="A1:P1"/>
    <mergeCell ref="A2:P2"/>
    <mergeCell ref="A22:B22"/>
    <mergeCell ref="A5:B5"/>
    <mergeCell ref="A20:B20"/>
    <mergeCell ref="D4:G4"/>
    <mergeCell ref="I4:K4"/>
    <mergeCell ref="A4:B4"/>
    <mergeCell ref="A19:B19"/>
  </mergeCells>
  <conditionalFormatting sqref="A20">
    <cfRule type="expression" dxfId="13" priority="10">
      <formula>$A$20="CHECK UNLOAD WEIGHTS"</formula>
    </cfRule>
  </conditionalFormatting>
  <conditionalFormatting sqref="K6">
    <cfRule type="expression" dxfId="12" priority="8">
      <formula>$K$6&lt;&gt;0</formula>
    </cfRule>
  </conditionalFormatting>
  <conditionalFormatting sqref="A22:B22">
    <cfRule type="expression" dxfId="11" priority="7">
      <formula>$A$22="CHECK CHECK-IN WEIGHTS"</formula>
    </cfRule>
  </conditionalFormatting>
  <conditionalFormatting sqref="O6">
    <cfRule type="expression" dxfId="10" priority="4">
      <formula>"&lt;&gt;$P$6"</formula>
    </cfRule>
  </conditionalFormatting>
  <conditionalFormatting sqref="P6">
    <cfRule type="expression" dxfId="9" priority="3">
      <formula>"&lt;&gt;$O$6"</formula>
    </cfRule>
  </conditionalFormatting>
  <conditionalFormatting sqref="A21">
    <cfRule type="expression" dxfId="8" priority="2">
      <formula>$A$20="CHECK UNLOAD WEIGHTS"</formula>
    </cfRule>
  </conditionalFormatting>
  <conditionalFormatting sqref="B21">
    <cfRule type="expression" dxfId="7" priority="1">
      <formula>$A$20="CHECK UNLOAD WEIGHTS"</formula>
    </cfRule>
  </conditionalFormatting>
  <dataValidations count="1">
    <dataValidation type="list" allowBlank="1" showErrorMessage="1" errorTitle="INVALID LOCATION" error="PLEASE USE THE DROP DOWN MENU" sqref="B6 B17">
      <formula1>LOCATION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D20"/>
  <sheetViews>
    <sheetView workbookViewId="0">
      <selection sqref="A1:D1"/>
    </sheetView>
  </sheetViews>
  <sheetFormatPr defaultRowHeight="15" x14ac:dyDescent="0.25"/>
  <cols>
    <col min="1" max="1" width="41.85546875" bestFit="1" customWidth="1"/>
    <col min="2" max="2" width="17.28515625" style="134" customWidth="1"/>
    <col min="3" max="3" width="0.7109375" style="134" hidden="1" customWidth="1"/>
    <col min="4" max="4" width="25" customWidth="1"/>
  </cols>
  <sheetData>
    <row r="1" spans="1:4" s="184" customFormat="1" ht="36" customHeight="1" x14ac:dyDescent="0.65">
      <c r="A1" s="220" t="s">
        <v>297</v>
      </c>
      <c r="B1" s="220"/>
      <c r="C1" s="220"/>
      <c r="D1" s="220"/>
    </row>
    <row r="2" spans="1:4" ht="36" customHeight="1" x14ac:dyDescent="0.4">
      <c r="A2" s="133" t="s">
        <v>281</v>
      </c>
      <c r="B2" s="204" t="s">
        <v>326</v>
      </c>
      <c r="C2" s="204"/>
      <c r="D2" s="206"/>
    </row>
    <row r="3" spans="1:4" ht="36" customHeight="1" x14ac:dyDescent="0.4">
      <c r="A3" s="133" t="s">
        <v>282</v>
      </c>
      <c r="B3" s="204" t="s">
        <v>327</v>
      </c>
      <c r="C3" s="204"/>
      <c r="D3" s="206"/>
    </row>
    <row r="4" spans="1:4" ht="36" customHeight="1" x14ac:dyDescent="0.4">
      <c r="A4" s="133" t="s">
        <v>331</v>
      </c>
      <c r="B4" s="205" t="s">
        <v>332</v>
      </c>
      <c r="C4" s="204"/>
      <c r="D4" s="206"/>
    </row>
    <row r="5" spans="1:4" ht="36" customHeight="1" x14ac:dyDescent="0.4">
      <c r="A5" s="133" t="s">
        <v>283</v>
      </c>
      <c r="B5" s="204" t="s">
        <v>329</v>
      </c>
      <c r="C5" s="204"/>
      <c r="D5" s="206"/>
    </row>
    <row r="6" spans="1:4" ht="36" customHeight="1" x14ac:dyDescent="0.4">
      <c r="A6" s="133" t="s">
        <v>284</v>
      </c>
      <c r="B6" s="204" t="s">
        <v>327</v>
      </c>
      <c r="C6" s="204"/>
      <c r="D6" s="206"/>
    </row>
    <row r="7" spans="1:4" ht="36" customHeight="1" x14ac:dyDescent="0.4">
      <c r="A7" s="133" t="s">
        <v>285</v>
      </c>
      <c r="B7" s="205" t="s">
        <v>330</v>
      </c>
      <c r="C7" s="204"/>
      <c r="D7" s="206"/>
    </row>
    <row r="8" spans="1:4" ht="36" customHeight="1" x14ac:dyDescent="0.4">
      <c r="A8" s="133" t="s">
        <v>286</v>
      </c>
      <c r="B8" s="204" t="s">
        <v>328</v>
      </c>
      <c r="C8" s="204"/>
      <c r="D8" s="206"/>
    </row>
    <row r="9" spans="1:4" ht="36" customHeight="1" x14ac:dyDescent="0.4">
      <c r="A9" s="133" t="s">
        <v>287</v>
      </c>
      <c r="B9" s="204" t="s">
        <v>327</v>
      </c>
      <c r="C9" s="204"/>
      <c r="D9" s="206"/>
    </row>
    <row r="10" spans="1:4" ht="36" customHeight="1" x14ac:dyDescent="0.4">
      <c r="A10" s="133" t="s">
        <v>288</v>
      </c>
      <c r="B10" s="204" t="s">
        <v>21</v>
      </c>
      <c r="C10" s="204"/>
      <c r="D10" s="206"/>
    </row>
    <row r="11" spans="1:4" ht="36" customHeight="1" x14ac:dyDescent="0.4">
      <c r="A11" s="133" t="s">
        <v>289</v>
      </c>
      <c r="B11" s="225" t="str">
        <f>DATA!B8</f>
        <v/>
      </c>
      <c r="C11" s="225"/>
      <c r="D11" s="225"/>
    </row>
    <row r="12" spans="1:4" ht="36" customHeight="1" x14ac:dyDescent="0.4">
      <c r="A12" s="133" t="s">
        <v>290</v>
      </c>
      <c r="B12" s="225" t="str">
        <f>DATA!B6</f>
        <v>FULL LOCATION</v>
      </c>
      <c r="C12" s="225"/>
      <c r="D12" s="225"/>
    </row>
    <row r="13" spans="1:4" ht="36" customHeight="1" x14ac:dyDescent="0.4">
      <c r="A13" s="133" t="s">
        <v>291</v>
      </c>
      <c r="B13" s="225" t="str">
        <f>DATA!B7</f>
        <v>FACILITY</v>
      </c>
      <c r="C13" s="225"/>
      <c r="D13" s="225"/>
    </row>
    <row r="14" spans="1:4" ht="36" customHeight="1" x14ac:dyDescent="0.4">
      <c r="A14" s="133" t="s">
        <v>292</v>
      </c>
      <c r="B14" s="226" t="str">
        <f>DATA!B10</f>
        <v/>
      </c>
      <c r="C14" s="226"/>
      <c r="D14" s="226"/>
    </row>
    <row r="15" spans="1:4" ht="36" customHeight="1" x14ac:dyDescent="0.4">
      <c r="A15" s="133" t="str">
        <f>IF(B13="PTPDC","SHIPMENT #:",IF(DATA!B17="FULL LOCATION","SEAL #:","SHIPPED FROM:"))</f>
        <v>SEAL #:</v>
      </c>
      <c r="B15" s="225" t="str">
        <f>IF(A15="SHIPMENT #:",DATA!B12,IF(A15="SHIPPED FROM:",DATA!B17,DATA!B11))</f>
        <v/>
      </c>
      <c r="C15" s="225"/>
      <c r="D15" s="225"/>
    </row>
    <row r="16" spans="1:4" ht="36" customHeight="1" x14ac:dyDescent="0.4">
      <c r="A16" s="133" t="s">
        <v>293</v>
      </c>
      <c r="B16" s="225" t="str">
        <f>DATA!B13</f>
        <v/>
      </c>
      <c r="C16" s="225"/>
      <c r="D16" s="225"/>
    </row>
    <row r="17" spans="1:4" ht="36" customHeight="1" x14ac:dyDescent="0.4">
      <c r="A17" s="133" t="s">
        <v>294</v>
      </c>
      <c r="B17" s="224" t="str">
        <f>DATA!B14</f>
        <v/>
      </c>
      <c r="C17" s="224"/>
      <c r="D17" s="224"/>
    </row>
    <row r="18" spans="1:4" ht="36" customHeight="1" x14ac:dyDescent="0.4">
      <c r="A18" s="133" t="s">
        <v>295</v>
      </c>
      <c r="B18" s="223">
        <f>IF(ISERROR(DATA!$B$15+DATA!$B$16),"",DATA!$B$15+DATA!$B$16)</f>
        <v>0</v>
      </c>
      <c r="C18" s="223"/>
      <c r="D18" s="223"/>
    </row>
    <row r="19" spans="1:4" ht="36" customHeight="1" x14ac:dyDescent="0.4">
      <c r="A19" s="133" t="s">
        <v>296</v>
      </c>
      <c r="B19" s="222">
        <f>DATA!B9</f>
        <v>0</v>
      </c>
      <c r="C19" s="222"/>
      <c r="D19" s="222"/>
    </row>
    <row r="20" spans="1:4" ht="36" customHeight="1" x14ac:dyDescent="0.6">
      <c r="A20" s="221" t="s">
        <v>297</v>
      </c>
      <c r="B20" s="221"/>
      <c r="C20" s="221"/>
      <c r="D20" s="221"/>
    </row>
  </sheetData>
  <mergeCells count="11">
    <mergeCell ref="A1:D1"/>
    <mergeCell ref="A20:D20"/>
    <mergeCell ref="B19:D19"/>
    <mergeCell ref="B18:D18"/>
    <mergeCell ref="B17:D17"/>
    <mergeCell ref="B16:D16"/>
    <mergeCell ref="B15:D15"/>
    <mergeCell ref="B14:D14"/>
    <mergeCell ref="B13:D13"/>
    <mergeCell ref="B12:D12"/>
    <mergeCell ref="B11:D11"/>
  </mergeCells>
  <printOptions horizontalCentered="1"/>
  <pageMargins left="0.7" right="0.7" top="0.75" bottom="0.75" header="0.3" footer="0.3"/>
  <pageSetup scale="9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F1"/>
  <sheetViews>
    <sheetView workbookViewId="0"/>
  </sheetViews>
  <sheetFormatPr defaultRowHeight="15" x14ac:dyDescent="0.25"/>
  <cols>
    <col min="1" max="1" width="20.140625" bestFit="1" customWidth="1"/>
    <col min="2" max="2" width="18.42578125" bestFit="1" customWidth="1"/>
    <col min="3" max="4" width="9.42578125" style="10" customWidth="1"/>
    <col min="5" max="5" width="15.5703125" style="2" bestFit="1" customWidth="1"/>
    <col min="6" max="6" width="12" style="2" bestFit="1" customWidth="1"/>
  </cols>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F202"/>
  <sheetViews>
    <sheetView zoomScaleNormal="100" workbookViewId="0"/>
  </sheetViews>
  <sheetFormatPr defaultColWidth="9.140625" defaultRowHeight="15" x14ac:dyDescent="0.25"/>
  <cols>
    <col min="1" max="1" width="9.140625" style="34" bestFit="1" customWidth="1"/>
    <col min="2" max="2" width="20.85546875" style="37" bestFit="1" customWidth="1"/>
    <col min="3" max="3" width="16.140625" style="37" bestFit="1" customWidth="1"/>
    <col min="4" max="4" width="16.28515625" style="35" bestFit="1" customWidth="1"/>
    <col min="5" max="5" width="9.140625" style="32"/>
    <col min="6" max="6" width="29" style="38" bestFit="1" customWidth="1"/>
    <col min="7" max="16384" width="9.140625" style="32"/>
  </cols>
  <sheetData>
    <row r="1" spans="1:6" ht="15.75" thickBot="1" x14ac:dyDescent="0.3"/>
    <row r="2" spans="1:6" s="34" customFormat="1" ht="15.75" thickBot="1" x14ac:dyDescent="0.3">
      <c r="A2" s="42" t="s">
        <v>18</v>
      </c>
      <c r="B2" s="43" t="s">
        <v>83</v>
      </c>
      <c r="C2" s="43" t="s">
        <v>84</v>
      </c>
      <c r="D2" s="44" t="s">
        <v>85</v>
      </c>
      <c r="F2" s="38"/>
    </row>
    <row r="3" spans="1:6" x14ac:dyDescent="0.25">
      <c r="A3" s="39">
        <v>1</v>
      </c>
      <c r="B3" s="40">
        <f>DATA!E7</f>
        <v>0</v>
      </c>
      <c r="C3" s="40">
        <f>DATA!F7</f>
        <v>0</v>
      </c>
      <c r="D3" s="41">
        <f>ROUND((B3-C3),2)</f>
        <v>0</v>
      </c>
    </row>
    <row r="4" spans="1:6" x14ac:dyDescent="0.25">
      <c r="A4" s="33">
        <v>2</v>
      </c>
      <c r="B4" s="40">
        <f>DATA!E8</f>
        <v>0</v>
      </c>
      <c r="C4" s="40">
        <f>DATA!F8</f>
        <v>0</v>
      </c>
      <c r="D4" s="41">
        <f t="shared" ref="D4:D67" si="0">ROUND((B4-C4),2)</f>
        <v>0</v>
      </c>
      <c r="F4" s="92" t="s">
        <v>125</v>
      </c>
    </row>
    <row r="5" spans="1:6" x14ac:dyDescent="0.25">
      <c r="A5" s="33">
        <v>3</v>
      </c>
      <c r="B5" s="40">
        <f>DATA!E9</f>
        <v>0</v>
      </c>
      <c r="C5" s="40">
        <f>DATA!F9</f>
        <v>0</v>
      </c>
      <c r="D5" s="41">
        <f t="shared" si="0"/>
        <v>0</v>
      </c>
      <c r="F5" s="93">
        <f>SUM(B:B)</f>
        <v>0</v>
      </c>
    </row>
    <row r="6" spans="1:6" x14ac:dyDescent="0.25">
      <c r="A6" s="33">
        <v>4</v>
      </c>
      <c r="B6" s="40">
        <f>DATA!E10</f>
        <v>0</v>
      </c>
      <c r="C6" s="40">
        <f>DATA!F10</f>
        <v>0</v>
      </c>
      <c r="D6" s="41">
        <f t="shared" si="0"/>
        <v>0</v>
      </c>
    </row>
    <row r="7" spans="1:6" x14ac:dyDescent="0.25">
      <c r="A7" s="33">
        <v>5</v>
      </c>
      <c r="B7" s="40">
        <f>DATA!E11</f>
        <v>0</v>
      </c>
      <c r="C7" s="40">
        <f>DATA!F11</f>
        <v>0</v>
      </c>
      <c r="D7" s="41">
        <f t="shared" si="0"/>
        <v>0</v>
      </c>
      <c r="F7" s="92" t="s">
        <v>126</v>
      </c>
    </row>
    <row r="8" spans="1:6" x14ac:dyDescent="0.25">
      <c r="A8" s="33">
        <v>6</v>
      </c>
      <c r="B8" s="40">
        <f>DATA!E12</f>
        <v>0</v>
      </c>
      <c r="C8" s="40">
        <f>DATA!F12</f>
        <v>0</v>
      </c>
      <c r="D8" s="41">
        <f t="shared" si="0"/>
        <v>0</v>
      </c>
      <c r="F8" s="93">
        <f>SUM(C:C)</f>
        <v>0</v>
      </c>
    </row>
    <row r="9" spans="1:6" x14ac:dyDescent="0.25">
      <c r="A9" s="33">
        <v>7</v>
      </c>
      <c r="B9" s="40">
        <f>DATA!E13</f>
        <v>0</v>
      </c>
      <c r="C9" s="40">
        <f>DATA!F13</f>
        <v>0</v>
      </c>
      <c r="D9" s="41">
        <f t="shared" si="0"/>
        <v>0</v>
      </c>
    </row>
    <row r="10" spans="1:6" x14ac:dyDescent="0.25">
      <c r="A10" s="33">
        <v>8</v>
      </c>
      <c r="B10" s="40">
        <f>DATA!E14</f>
        <v>0</v>
      </c>
      <c r="C10" s="40">
        <f>DATA!F14</f>
        <v>0</v>
      </c>
      <c r="D10" s="41">
        <f t="shared" si="0"/>
        <v>0</v>
      </c>
      <c r="F10" s="92" t="s">
        <v>269</v>
      </c>
    </row>
    <row r="11" spans="1:6" x14ac:dyDescent="0.25">
      <c r="A11" s="33">
        <v>9</v>
      </c>
      <c r="B11" s="40">
        <f>DATA!E15</f>
        <v>0</v>
      </c>
      <c r="C11" s="40">
        <f>DATA!F15</f>
        <v>0</v>
      </c>
      <c r="D11" s="41">
        <f t="shared" si="0"/>
        <v>0</v>
      </c>
      <c r="F11" s="94">
        <f>SUM(D:D)</f>
        <v>0</v>
      </c>
    </row>
    <row r="12" spans="1:6" x14ac:dyDescent="0.25">
      <c r="A12" s="33">
        <v>10</v>
      </c>
      <c r="B12" s="40">
        <f>DATA!E16</f>
        <v>0</v>
      </c>
      <c r="C12" s="40">
        <f>DATA!F16</f>
        <v>0</v>
      </c>
      <c r="D12" s="41">
        <f t="shared" si="0"/>
        <v>0</v>
      </c>
      <c r="F12" s="95">
        <f>IF(ISERROR(1-(F8/F5)),1,1-(F8/F5))</f>
        <v>1</v>
      </c>
    </row>
    <row r="13" spans="1:6" x14ac:dyDescent="0.25">
      <c r="A13" s="33">
        <v>11</v>
      </c>
      <c r="B13" s="40">
        <f>DATA!E17</f>
        <v>0</v>
      </c>
      <c r="C13" s="40">
        <f>DATA!F17</f>
        <v>0</v>
      </c>
      <c r="D13" s="41">
        <f t="shared" si="0"/>
        <v>0</v>
      </c>
    </row>
    <row r="14" spans="1:6" x14ac:dyDescent="0.25">
      <c r="A14" s="33">
        <v>12</v>
      </c>
      <c r="B14" s="40">
        <f>DATA!E18</f>
        <v>0</v>
      </c>
      <c r="C14" s="40">
        <f>DATA!F18</f>
        <v>0</v>
      </c>
      <c r="D14" s="41">
        <f t="shared" si="0"/>
        <v>0</v>
      </c>
      <c r="F14" s="92" t="s">
        <v>270</v>
      </c>
    </row>
    <row r="15" spans="1:6" x14ac:dyDescent="0.25">
      <c r="A15" s="33">
        <v>13</v>
      </c>
      <c r="B15" s="40">
        <f>DATA!E19</f>
        <v>0</v>
      </c>
      <c r="C15" s="40">
        <f>DATA!F19</f>
        <v>0</v>
      </c>
      <c r="D15" s="41">
        <f t="shared" si="0"/>
        <v>0</v>
      </c>
      <c r="F15" s="96" t="str">
        <f>DATA!B14</f>
        <v/>
      </c>
    </row>
    <row r="16" spans="1:6" x14ac:dyDescent="0.25">
      <c r="A16" s="33">
        <v>14</v>
      </c>
      <c r="B16" s="40">
        <f>DATA!E20</f>
        <v>0</v>
      </c>
      <c r="C16" s="40">
        <f>DATA!F20</f>
        <v>0</v>
      </c>
      <c r="D16" s="41">
        <f t="shared" si="0"/>
        <v>0</v>
      </c>
    </row>
    <row r="17" spans="1:6" x14ac:dyDescent="0.25">
      <c r="A17" s="33">
        <v>15</v>
      </c>
      <c r="B17" s="40">
        <f>DATA!E21</f>
        <v>0</v>
      </c>
      <c r="C17" s="40">
        <f>DATA!F21</f>
        <v>0</v>
      </c>
      <c r="D17" s="41">
        <f t="shared" si="0"/>
        <v>0</v>
      </c>
      <c r="F17" s="92" t="s">
        <v>71</v>
      </c>
    </row>
    <row r="18" spans="1:6" x14ac:dyDescent="0.25">
      <c r="A18" s="33">
        <v>16</v>
      </c>
      <c r="B18" s="40">
        <f>DATA!E22</f>
        <v>0</v>
      </c>
      <c r="C18" s="40">
        <f>DATA!F22</f>
        <v>0</v>
      </c>
      <c r="D18" s="41">
        <f t="shared" si="0"/>
        <v>0</v>
      </c>
      <c r="F18" s="96" t="str">
        <f>DATA!B13</f>
        <v/>
      </c>
    </row>
    <row r="19" spans="1:6" x14ac:dyDescent="0.25">
      <c r="A19" s="33">
        <v>17</v>
      </c>
      <c r="B19" s="40">
        <f>DATA!E23</f>
        <v>0</v>
      </c>
      <c r="C19" s="40">
        <f>DATA!F23</f>
        <v>0</v>
      </c>
      <c r="D19" s="41">
        <f t="shared" si="0"/>
        <v>0</v>
      </c>
    </row>
    <row r="20" spans="1:6" x14ac:dyDescent="0.25">
      <c r="A20" s="33">
        <v>18</v>
      </c>
      <c r="B20" s="40">
        <f>DATA!E24</f>
        <v>0</v>
      </c>
      <c r="C20" s="40">
        <f>DATA!F24</f>
        <v>0</v>
      </c>
      <c r="D20" s="41">
        <f t="shared" si="0"/>
        <v>0</v>
      </c>
      <c r="F20" s="92" t="s">
        <v>268</v>
      </c>
    </row>
    <row r="21" spans="1:6" x14ac:dyDescent="0.25">
      <c r="A21" s="33">
        <v>19</v>
      </c>
      <c r="B21" s="40">
        <f>DATA!E25</f>
        <v>0</v>
      </c>
      <c r="C21" s="40">
        <f>DATA!F25</f>
        <v>0</v>
      </c>
      <c r="D21" s="41">
        <f t="shared" si="0"/>
        <v>0</v>
      </c>
      <c r="F21" s="94" t="e">
        <f>F5-F15</f>
        <v>#VALUE!</v>
      </c>
    </row>
    <row r="22" spans="1:6" x14ac:dyDescent="0.25">
      <c r="A22" s="33">
        <v>20</v>
      </c>
      <c r="B22" s="40">
        <f>DATA!E26</f>
        <v>0</v>
      </c>
      <c r="C22" s="40">
        <f>DATA!F26</f>
        <v>0</v>
      </c>
      <c r="D22" s="41">
        <f t="shared" si="0"/>
        <v>0</v>
      </c>
      <c r="F22" s="95">
        <f>IF(ISERROR(F21/F5),1,F21/F5)</f>
        <v>1</v>
      </c>
    </row>
    <row r="23" spans="1:6" x14ac:dyDescent="0.25">
      <c r="A23" s="33">
        <v>21</v>
      </c>
      <c r="B23" s="40">
        <f>DATA!E27</f>
        <v>0</v>
      </c>
      <c r="C23" s="40">
        <f>DATA!F27</f>
        <v>0</v>
      </c>
      <c r="D23" s="41">
        <f t="shared" si="0"/>
        <v>0</v>
      </c>
    </row>
    <row r="24" spans="1:6" x14ac:dyDescent="0.25">
      <c r="A24" s="33">
        <v>22</v>
      </c>
      <c r="B24" s="40">
        <f>DATA!E28</f>
        <v>0</v>
      </c>
      <c r="C24" s="40">
        <f>DATA!F28</f>
        <v>0</v>
      </c>
      <c r="D24" s="41">
        <f t="shared" si="0"/>
        <v>0</v>
      </c>
    </row>
    <row r="25" spans="1:6" x14ac:dyDescent="0.25">
      <c r="A25" s="33">
        <v>23</v>
      </c>
      <c r="B25" s="40">
        <f>DATA!E29</f>
        <v>0</v>
      </c>
      <c r="C25" s="40">
        <f>DATA!F29</f>
        <v>0</v>
      </c>
      <c r="D25" s="41">
        <f t="shared" si="0"/>
        <v>0</v>
      </c>
    </row>
    <row r="26" spans="1:6" x14ac:dyDescent="0.25">
      <c r="A26" s="33">
        <v>24</v>
      </c>
      <c r="B26" s="40">
        <f>DATA!E30</f>
        <v>0</v>
      </c>
      <c r="C26" s="40">
        <f>DATA!F30</f>
        <v>0</v>
      </c>
      <c r="D26" s="41">
        <f t="shared" si="0"/>
        <v>0</v>
      </c>
    </row>
    <row r="27" spans="1:6" x14ac:dyDescent="0.25">
      <c r="A27" s="33">
        <v>25</v>
      </c>
      <c r="B27" s="40">
        <f>DATA!E31</f>
        <v>0</v>
      </c>
      <c r="C27" s="40">
        <f>DATA!F31</f>
        <v>0</v>
      </c>
      <c r="D27" s="41">
        <f t="shared" si="0"/>
        <v>0</v>
      </c>
    </row>
    <row r="28" spans="1:6" x14ac:dyDescent="0.25">
      <c r="A28" s="33">
        <v>26</v>
      </c>
      <c r="B28" s="40">
        <f>DATA!E32</f>
        <v>0</v>
      </c>
      <c r="C28" s="40">
        <f>DATA!F32</f>
        <v>0</v>
      </c>
      <c r="D28" s="41">
        <f t="shared" si="0"/>
        <v>0</v>
      </c>
    </row>
    <row r="29" spans="1:6" x14ac:dyDescent="0.25">
      <c r="A29" s="33">
        <v>27</v>
      </c>
      <c r="B29" s="40">
        <f>DATA!E33</f>
        <v>0</v>
      </c>
      <c r="C29" s="40">
        <f>DATA!F33</f>
        <v>0</v>
      </c>
      <c r="D29" s="41">
        <f t="shared" si="0"/>
        <v>0</v>
      </c>
    </row>
    <row r="30" spans="1:6" x14ac:dyDescent="0.25">
      <c r="A30" s="33">
        <v>28</v>
      </c>
      <c r="B30" s="40">
        <f>DATA!E34</f>
        <v>0</v>
      </c>
      <c r="C30" s="40">
        <f>DATA!F34</f>
        <v>0</v>
      </c>
      <c r="D30" s="41">
        <f t="shared" si="0"/>
        <v>0</v>
      </c>
    </row>
    <row r="31" spans="1:6" x14ac:dyDescent="0.25">
      <c r="A31" s="33">
        <v>29</v>
      </c>
      <c r="B31" s="40">
        <f>DATA!E35</f>
        <v>0</v>
      </c>
      <c r="C31" s="40">
        <f>DATA!F35</f>
        <v>0</v>
      </c>
      <c r="D31" s="41">
        <f t="shared" si="0"/>
        <v>0</v>
      </c>
    </row>
    <row r="32" spans="1:6" x14ac:dyDescent="0.25">
      <c r="A32" s="33">
        <v>30</v>
      </c>
      <c r="B32" s="40">
        <f>DATA!E36</f>
        <v>0</v>
      </c>
      <c r="C32" s="40">
        <f>DATA!F36</f>
        <v>0</v>
      </c>
      <c r="D32" s="41">
        <f t="shared" si="0"/>
        <v>0</v>
      </c>
    </row>
    <row r="33" spans="1:4" x14ac:dyDescent="0.25">
      <c r="A33" s="33">
        <v>31</v>
      </c>
      <c r="B33" s="40">
        <f>DATA!E37</f>
        <v>0</v>
      </c>
      <c r="C33" s="40">
        <f>DATA!F37</f>
        <v>0</v>
      </c>
      <c r="D33" s="41">
        <f t="shared" si="0"/>
        <v>0</v>
      </c>
    </row>
    <row r="34" spans="1:4" x14ac:dyDescent="0.25">
      <c r="A34" s="33">
        <v>32</v>
      </c>
      <c r="B34" s="40">
        <f>DATA!E38</f>
        <v>0</v>
      </c>
      <c r="C34" s="40">
        <f>DATA!F38</f>
        <v>0</v>
      </c>
      <c r="D34" s="41">
        <f t="shared" si="0"/>
        <v>0</v>
      </c>
    </row>
    <row r="35" spans="1:4" x14ac:dyDescent="0.25">
      <c r="A35" s="33">
        <v>33</v>
      </c>
      <c r="B35" s="40">
        <f>DATA!E39</f>
        <v>0</v>
      </c>
      <c r="C35" s="40">
        <f>DATA!F39</f>
        <v>0</v>
      </c>
      <c r="D35" s="41">
        <f t="shared" si="0"/>
        <v>0</v>
      </c>
    </row>
    <row r="36" spans="1:4" x14ac:dyDescent="0.25">
      <c r="A36" s="33">
        <v>34</v>
      </c>
      <c r="B36" s="40">
        <f>DATA!E40</f>
        <v>0</v>
      </c>
      <c r="C36" s="40">
        <f>DATA!F40</f>
        <v>0</v>
      </c>
      <c r="D36" s="41">
        <f t="shared" si="0"/>
        <v>0</v>
      </c>
    </row>
    <row r="37" spans="1:4" x14ac:dyDescent="0.25">
      <c r="A37" s="33">
        <v>35</v>
      </c>
      <c r="B37" s="40">
        <f>DATA!E41</f>
        <v>0</v>
      </c>
      <c r="C37" s="40">
        <f>DATA!F41</f>
        <v>0</v>
      </c>
      <c r="D37" s="41">
        <f t="shared" si="0"/>
        <v>0</v>
      </c>
    </row>
    <row r="38" spans="1:4" x14ac:dyDescent="0.25">
      <c r="A38" s="33">
        <v>36</v>
      </c>
      <c r="B38" s="40">
        <f>DATA!E42</f>
        <v>0</v>
      </c>
      <c r="C38" s="40">
        <f>DATA!F42</f>
        <v>0</v>
      </c>
      <c r="D38" s="41">
        <f t="shared" si="0"/>
        <v>0</v>
      </c>
    </row>
    <row r="39" spans="1:4" x14ac:dyDescent="0.25">
      <c r="A39" s="33">
        <v>37</v>
      </c>
      <c r="B39" s="40">
        <f>DATA!E43</f>
        <v>0</v>
      </c>
      <c r="C39" s="40">
        <f>DATA!F43</f>
        <v>0</v>
      </c>
      <c r="D39" s="41">
        <f t="shared" si="0"/>
        <v>0</v>
      </c>
    </row>
    <row r="40" spans="1:4" x14ac:dyDescent="0.25">
      <c r="A40" s="33">
        <v>38</v>
      </c>
      <c r="B40" s="40">
        <f>DATA!E44</f>
        <v>0</v>
      </c>
      <c r="C40" s="40">
        <f>DATA!F44</f>
        <v>0</v>
      </c>
      <c r="D40" s="41">
        <f t="shared" si="0"/>
        <v>0</v>
      </c>
    </row>
    <row r="41" spans="1:4" x14ac:dyDescent="0.25">
      <c r="A41" s="33">
        <v>39</v>
      </c>
      <c r="B41" s="40">
        <f>DATA!E45</f>
        <v>0</v>
      </c>
      <c r="C41" s="40">
        <f>DATA!F45</f>
        <v>0</v>
      </c>
      <c r="D41" s="41">
        <f t="shared" si="0"/>
        <v>0</v>
      </c>
    </row>
    <row r="42" spans="1:4" x14ac:dyDescent="0.25">
      <c r="A42" s="33">
        <v>40</v>
      </c>
      <c r="B42" s="40">
        <f>DATA!E46</f>
        <v>0</v>
      </c>
      <c r="C42" s="40">
        <f>DATA!F46</f>
        <v>0</v>
      </c>
      <c r="D42" s="41">
        <f t="shared" si="0"/>
        <v>0</v>
      </c>
    </row>
    <row r="43" spans="1:4" x14ac:dyDescent="0.25">
      <c r="A43" s="33">
        <v>41</v>
      </c>
      <c r="B43" s="40">
        <f>DATA!E47</f>
        <v>0</v>
      </c>
      <c r="C43" s="40">
        <f>DATA!F47</f>
        <v>0</v>
      </c>
      <c r="D43" s="41">
        <f t="shared" si="0"/>
        <v>0</v>
      </c>
    </row>
    <row r="44" spans="1:4" x14ac:dyDescent="0.25">
      <c r="A44" s="33">
        <v>42</v>
      </c>
      <c r="B44" s="40">
        <f>DATA!E48</f>
        <v>0</v>
      </c>
      <c r="C44" s="40">
        <f>DATA!F48</f>
        <v>0</v>
      </c>
      <c r="D44" s="41">
        <f t="shared" si="0"/>
        <v>0</v>
      </c>
    </row>
    <row r="45" spans="1:4" x14ac:dyDescent="0.25">
      <c r="A45" s="33">
        <v>43</v>
      </c>
      <c r="B45" s="40">
        <f>DATA!E49</f>
        <v>0</v>
      </c>
      <c r="C45" s="40">
        <f>DATA!F49</f>
        <v>0</v>
      </c>
      <c r="D45" s="41">
        <f t="shared" si="0"/>
        <v>0</v>
      </c>
    </row>
    <row r="46" spans="1:4" x14ac:dyDescent="0.25">
      <c r="A46" s="33">
        <v>44</v>
      </c>
      <c r="B46" s="40">
        <f>DATA!E50</f>
        <v>0</v>
      </c>
      <c r="C46" s="40">
        <f>DATA!F50</f>
        <v>0</v>
      </c>
      <c r="D46" s="41">
        <f t="shared" si="0"/>
        <v>0</v>
      </c>
    </row>
    <row r="47" spans="1:4" x14ac:dyDescent="0.25">
      <c r="A47" s="33">
        <v>45</v>
      </c>
      <c r="B47" s="40">
        <f>DATA!E51</f>
        <v>0</v>
      </c>
      <c r="C47" s="40">
        <f>DATA!F51</f>
        <v>0</v>
      </c>
      <c r="D47" s="41">
        <f t="shared" si="0"/>
        <v>0</v>
      </c>
    </row>
    <row r="48" spans="1:4" x14ac:dyDescent="0.25">
      <c r="A48" s="33">
        <v>46</v>
      </c>
      <c r="B48" s="40">
        <f>DATA!E52</f>
        <v>0</v>
      </c>
      <c r="C48" s="40">
        <f>DATA!F52</f>
        <v>0</v>
      </c>
      <c r="D48" s="41">
        <f t="shared" si="0"/>
        <v>0</v>
      </c>
    </row>
    <row r="49" spans="1:4" x14ac:dyDescent="0.25">
      <c r="A49" s="33">
        <v>47</v>
      </c>
      <c r="B49" s="40">
        <f>DATA!E53</f>
        <v>0</v>
      </c>
      <c r="C49" s="40">
        <f>DATA!F53</f>
        <v>0</v>
      </c>
      <c r="D49" s="41">
        <f t="shared" si="0"/>
        <v>0</v>
      </c>
    </row>
    <row r="50" spans="1:4" x14ac:dyDescent="0.25">
      <c r="A50" s="33">
        <v>48</v>
      </c>
      <c r="B50" s="40">
        <f>DATA!E54</f>
        <v>0</v>
      </c>
      <c r="C50" s="40">
        <f>DATA!F54</f>
        <v>0</v>
      </c>
      <c r="D50" s="41">
        <f t="shared" si="0"/>
        <v>0</v>
      </c>
    </row>
    <row r="51" spans="1:4" x14ac:dyDescent="0.25">
      <c r="A51" s="33">
        <v>49</v>
      </c>
      <c r="B51" s="40">
        <f>DATA!E55</f>
        <v>0</v>
      </c>
      <c r="C51" s="40">
        <f>DATA!F55</f>
        <v>0</v>
      </c>
      <c r="D51" s="41">
        <f t="shared" si="0"/>
        <v>0</v>
      </c>
    </row>
    <row r="52" spans="1:4" x14ac:dyDescent="0.25">
      <c r="A52" s="33">
        <v>50</v>
      </c>
      <c r="B52" s="40">
        <f>DATA!E56</f>
        <v>0</v>
      </c>
      <c r="C52" s="40">
        <f>DATA!F56</f>
        <v>0</v>
      </c>
      <c r="D52" s="41">
        <f t="shared" si="0"/>
        <v>0</v>
      </c>
    </row>
    <row r="53" spans="1:4" x14ac:dyDescent="0.25">
      <c r="A53" s="33">
        <v>51</v>
      </c>
      <c r="B53" s="40">
        <f>DATA!E57</f>
        <v>0</v>
      </c>
      <c r="C53" s="40">
        <f>DATA!F57</f>
        <v>0</v>
      </c>
      <c r="D53" s="41">
        <f t="shared" si="0"/>
        <v>0</v>
      </c>
    </row>
    <row r="54" spans="1:4" x14ac:dyDescent="0.25">
      <c r="A54" s="33">
        <v>52</v>
      </c>
      <c r="B54" s="40">
        <f>DATA!E58</f>
        <v>0</v>
      </c>
      <c r="C54" s="40">
        <f>DATA!F58</f>
        <v>0</v>
      </c>
      <c r="D54" s="41">
        <f t="shared" si="0"/>
        <v>0</v>
      </c>
    </row>
    <row r="55" spans="1:4" x14ac:dyDescent="0.25">
      <c r="A55" s="33">
        <v>53</v>
      </c>
      <c r="B55" s="40">
        <f>DATA!E59</f>
        <v>0</v>
      </c>
      <c r="C55" s="40">
        <f>DATA!F59</f>
        <v>0</v>
      </c>
      <c r="D55" s="41">
        <f t="shared" si="0"/>
        <v>0</v>
      </c>
    </row>
    <row r="56" spans="1:4" x14ac:dyDescent="0.25">
      <c r="A56" s="33">
        <v>54</v>
      </c>
      <c r="B56" s="40">
        <f>DATA!E60</f>
        <v>0</v>
      </c>
      <c r="C56" s="40">
        <f>DATA!F60</f>
        <v>0</v>
      </c>
      <c r="D56" s="41">
        <f t="shared" si="0"/>
        <v>0</v>
      </c>
    </row>
    <row r="57" spans="1:4" x14ac:dyDescent="0.25">
      <c r="A57" s="33">
        <v>55</v>
      </c>
      <c r="B57" s="40">
        <f>DATA!E61</f>
        <v>0</v>
      </c>
      <c r="C57" s="40">
        <f>DATA!F61</f>
        <v>0</v>
      </c>
      <c r="D57" s="41">
        <f t="shared" si="0"/>
        <v>0</v>
      </c>
    </row>
    <row r="58" spans="1:4" x14ac:dyDescent="0.25">
      <c r="A58" s="33">
        <v>56</v>
      </c>
      <c r="B58" s="40">
        <f>DATA!E62</f>
        <v>0</v>
      </c>
      <c r="C58" s="40">
        <f>DATA!F62</f>
        <v>0</v>
      </c>
      <c r="D58" s="41">
        <f t="shared" si="0"/>
        <v>0</v>
      </c>
    </row>
    <row r="59" spans="1:4" x14ac:dyDescent="0.25">
      <c r="A59" s="33">
        <v>57</v>
      </c>
      <c r="B59" s="40">
        <f>DATA!E63</f>
        <v>0</v>
      </c>
      <c r="C59" s="40">
        <f>DATA!F63</f>
        <v>0</v>
      </c>
      <c r="D59" s="41">
        <f t="shared" si="0"/>
        <v>0</v>
      </c>
    </row>
    <row r="60" spans="1:4" x14ac:dyDescent="0.25">
      <c r="A60" s="33">
        <v>58</v>
      </c>
      <c r="B60" s="40">
        <f>DATA!E64</f>
        <v>0</v>
      </c>
      <c r="C60" s="40">
        <f>DATA!F64</f>
        <v>0</v>
      </c>
      <c r="D60" s="41">
        <f t="shared" si="0"/>
        <v>0</v>
      </c>
    </row>
    <row r="61" spans="1:4" x14ac:dyDescent="0.25">
      <c r="A61" s="33">
        <v>59</v>
      </c>
      <c r="B61" s="40">
        <f>DATA!E65</f>
        <v>0</v>
      </c>
      <c r="C61" s="40">
        <f>DATA!F65</f>
        <v>0</v>
      </c>
      <c r="D61" s="41">
        <f t="shared" si="0"/>
        <v>0</v>
      </c>
    </row>
    <row r="62" spans="1:4" x14ac:dyDescent="0.25">
      <c r="A62" s="33">
        <v>60</v>
      </c>
      <c r="B62" s="40">
        <f>DATA!E66</f>
        <v>0</v>
      </c>
      <c r="C62" s="40">
        <f>DATA!F66</f>
        <v>0</v>
      </c>
      <c r="D62" s="41">
        <f t="shared" si="0"/>
        <v>0</v>
      </c>
    </row>
    <row r="63" spans="1:4" x14ac:dyDescent="0.25">
      <c r="A63" s="33">
        <v>61</v>
      </c>
      <c r="B63" s="40">
        <f>DATA!E67</f>
        <v>0</v>
      </c>
      <c r="C63" s="40">
        <f>DATA!F67</f>
        <v>0</v>
      </c>
      <c r="D63" s="41">
        <f t="shared" si="0"/>
        <v>0</v>
      </c>
    </row>
    <row r="64" spans="1:4" x14ac:dyDescent="0.25">
      <c r="A64" s="33">
        <v>62</v>
      </c>
      <c r="B64" s="40">
        <f>DATA!E68</f>
        <v>0</v>
      </c>
      <c r="C64" s="40">
        <f>DATA!F68</f>
        <v>0</v>
      </c>
      <c r="D64" s="41">
        <f t="shared" si="0"/>
        <v>0</v>
      </c>
    </row>
    <row r="65" spans="1:4" x14ac:dyDescent="0.25">
      <c r="A65" s="33">
        <v>63</v>
      </c>
      <c r="B65" s="40">
        <f>DATA!E69</f>
        <v>0</v>
      </c>
      <c r="C65" s="40">
        <f>DATA!F69</f>
        <v>0</v>
      </c>
      <c r="D65" s="41">
        <f t="shared" si="0"/>
        <v>0</v>
      </c>
    </row>
    <row r="66" spans="1:4" x14ac:dyDescent="0.25">
      <c r="A66" s="33">
        <v>64</v>
      </c>
      <c r="B66" s="40">
        <f>DATA!E70</f>
        <v>0</v>
      </c>
      <c r="C66" s="40">
        <f>DATA!F70</f>
        <v>0</v>
      </c>
      <c r="D66" s="41">
        <f t="shared" si="0"/>
        <v>0</v>
      </c>
    </row>
    <row r="67" spans="1:4" x14ac:dyDescent="0.25">
      <c r="A67" s="33">
        <v>65</v>
      </c>
      <c r="B67" s="40">
        <f>DATA!E71</f>
        <v>0</v>
      </c>
      <c r="C67" s="40">
        <f>DATA!F71</f>
        <v>0</v>
      </c>
      <c r="D67" s="41">
        <f t="shared" si="0"/>
        <v>0</v>
      </c>
    </row>
    <row r="68" spans="1:4" x14ac:dyDescent="0.25">
      <c r="A68" s="33">
        <v>66</v>
      </c>
      <c r="B68" s="40">
        <f>DATA!E72</f>
        <v>0</v>
      </c>
      <c r="C68" s="40">
        <f>DATA!F72</f>
        <v>0</v>
      </c>
      <c r="D68" s="41">
        <f t="shared" ref="D68:D102" si="1">ROUND((B68-C68),2)</f>
        <v>0</v>
      </c>
    </row>
    <row r="69" spans="1:4" x14ac:dyDescent="0.25">
      <c r="A69" s="33">
        <v>67</v>
      </c>
      <c r="B69" s="40">
        <f>DATA!E73</f>
        <v>0</v>
      </c>
      <c r="C69" s="40">
        <f>DATA!F73</f>
        <v>0</v>
      </c>
      <c r="D69" s="41">
        <f t="shared" si="1"/>
        <v>0</v>
      </c>
    </row>
    <row r="70" spans="1:4" x14ac:dyDescent="0.25">
      <c r="A70" s="33">
        <v>68</v>
      </c>
      <c r="B70" s="40">
        <f>DATA!E74</f>
        <v>0</v>
      </c>
      <c r="C70" s="40">
        <f>DATA!F74</f>
        <v>0</v>
      </c>
      <c r="D70" s="41">
        <f t="shared" si="1"/>
        <v>0</v>
      </c>
    </row>
    <row r="71" spans="1:4" x14ac:dyDescent="0.25">
      <c r="A71" s="33">
        <v>69</v>
      </c>
      <c r="B71" s="40">
        <f>DATA!E75</f>
        <v>0</v>
      </c>
      <c r="C71" s="40">
        <f>DATA!F75</f>
        <v>0</v>
      </c>
      <c r="D71" s="41">
        <f t="shared" si="1"/>
        <v>0</v>
      </c>
    </row>
    <row r="72" spans="1:4" x14ac:dyDescent="0.25">
      <c r="A72" s="33">
        <v>70</v>
      </c>
      <c r="B72" s="40">
        <f>DATA!E76</f>
        <v>0</v>
      </c>
      <c r="C72" s="40">
        <f>DATA!F76</f>
        <v>0</v>
      </c>
      <c r="D72" s="41">
        <f t="shared" si="1"/>
        <v>0</v>
      </c>
    </row>
    <row r="73" spans="1:4" x14ac:dyDescent="0.25">
      <c r="A73" s="33">
        <v>71</v>
      </c>
      <c r="B73" s="40">
        <f>DATA!E77</f>
        <v>0</v>
      </c>
      <c r="C73" s="40">
        <f>DATA!F77</f>
        <v>0</v>
      </c>
      <c r="D73" s="41">
        <f t="shared" si="1"/>
        <v>0</v>
      </c>
    </row>
    <row r="74" spans="1:4" x14ac:dyDescent="0.25">
      <c r="A74" s="33">
        <v>72</v>
      </c>
      <c r="B74" s="40">
        <f>DATA!E78</f>
        <v>0</v>
      </c>
      <c r="C74" s="40">
        <f>DATA!F78</f>
        <v>0</v>
      </c>
      <c r="D74" s="41">
        <f t="shared" si="1"/>
        <v>0</v>
      </c>
    </row>
    <row r="75" spans="1:4" x14ac:dyDescent="0.25">
      <c r="A75" s="33">
        <v>73</v>
      </c>
      <c r="B75" s="40">
        <f>DATA!E79</f>
        <v>0</v>
      </c>
      <c r="C75" s="40">
        <f>DATA!F79</f>
        <v>0</v>
      </c>
      <c r="D75" s="41">
        <f t="shared" si="1"/>
        <v>0</v>
      </c>
    </row>
    <row r="76" spans="1:4" x14ac:dyDescent="0.25">
      <c r="A76" s="33">
        <v>74</v>
      </c>
      <c r="B76" s="40">
        <f>DATA!E80</f>
        <v>0</v>
      </c>
      <c r="C76" s="40">
        <f>DATA!F80</f>
        <v>0</v>
      </c>
      <c r="D76" s="41">
        <f t="shared" si="1"/>
        <v>0</v>
      </c>
    </row>
    <row r="77" spans="1:4" x14ac:dyDescent="0.25">
      <c r="A77" s="33">
        <v>75</v>
      </c>
      <c r="B77" s="40">
        <f>DATA!E81</f>
        <v>0</v>
      </c>
      <c r="C77" s="40">
        <f>DATA!F81</f>
        <v>0</v>
      </c>
      <c r="D77" s="41">
        <f t="shared" si="1"/>
        <v>0</v>
      </c>
    </row>
    <row r="78" spans="1:4" x14ac:dyDescent="0.25">
      <c r="A78" s="33">
        <v>76</v>
      </c>
      <c r="B78" s="40">
        <f>DATA!E82</f>
        <v>0</v>
      </c>
      <c r="C78" s="40">
        <f>DATA!F82</f>
        <v>0</v>
      </c>
      <c r="D78" s="41">
        <f t="shared" si="1"/>
        <v>0</v>
      </c>
    </row>
    <row r="79" spans="1:4" x14ac:dyDescent="0.25">
      <c r="A79" s="33">
        <v>77</v>
      </c>
      <c r="B79" s="40">
        <f>DATA!E83</f>
        <v>0</v>
      </c>
      <c r="C79" s="40">
        <f>DATA!F83</f>
        <v>0</v>
      </c>
      <c r="D79" s="41">
        <f t="shared" si="1"/>
        <v>0</v>
      </c>
    </row>
    <row r="80" spans="1:4" x14ac:dyDescent="0.25">
      <c r="A80" s="33">
        <v>78</v>
      </c>
      <c r="B80" s="40">
        <f>DATA!E84</f>
        <v>0</v>
      </c>
      <c r="C80" s="40">
        <f>DATA!F84</f>
        <v>0</v>
      </c>
      <c r="D80" s="41">
        <f t="shared" si="1"/>
        <v>0</v>
      </c>
    </row>
    <row r="81" spans="1:4" x14ac:dyDescent="0.25">
      <c r="A81" s="33">
        <v>79</v>
      </c>
      <c r="B81" s="40">
        <f>DATA!E85</f>
        <v>0</v>
      </c>
      <c r="C81" s="40">
        <f>DATA!F85</f>
        <v>0</v>
      </c>
      <c r="D81" s="41">
        <f t="shared" si="1"/>
        <v>0</v>
      </c>
    </row>
    <row r="82" spans="1:4" x14ac:dyDescent="0.25">
      <c r="A82" s="33">
        <v>80</v>
      </c>
      <c r="B82" s="40">
        <f>DATA!E86</f>
        <v>0</v>
      </c>
      <c r="C82" s="40">
        <f>DATA!F86</f>
        <v>0</v>
      </c>
      <c r="D82" s="41">
        <f t="shared" si="1"/>
        <v>0</v>
      </c>
    </row>
    <row r="83" spans="1:4" x14ac:dyDescent="0.25">
      <c r="A83" s="33">
        <v>81</v>
      </c>
      <c r="B83" s="40">
        <f>DATA!E87</f>
        <v>0</v>
      </c>
      <c r="C83" s="40">
        <f>DATA!F87</f>
        <v>0</v>
      </c>
      <c r="D83" s="41">
        <f t="shared" si="1"/>
        <v>0</v>
      </c>
    </row>
    <row r="84" spans="1:4" x14ac:dyDescent="0.25">
      <c r="A84" s="33">
        <v>82</v>
      </c>
      <c r="B84" s="40">
        <f>DATA!E88</f>
        <v>0</v>
      </c>
      <c r="C84" s="40">
        <f>DATA!F88</f>
        <v>0</v>
      </c>
      <c r="D84" s="41">
        <f t="shared" si="1"/>
        <v>0</v>
      </c>
    </row>
    <row r="85" spans="1:4" x14ac:dyDescent="0.25">
      <c r="A85" s="33">
        <v>83</v>
      </c>
      <c r="B85" s="40">
        <f>DATA!E89</f>
        <v>0</v>
      </c>
      <c r="C85" s="40">
        <f>DATA!F89</f>
        <v>0</v>
      </c>
      <c r="D85" s="41">
        <f t="shared" si="1"/>
        <v>0</v>
      </c>
    </row>
    <row r="86" spans="1:4" x14ac:dyDescent="0.25">
      <c r="A86" s="33">
        <v>84</v>
      </c>
      <c r="B86" s="40">
        <f>DATA!E90</f>
        <v>0</v>
      </c>
      <c r="C86" s="40">
        <f>DATA!F90</f>
        <v>0</v>
      </c>
      <c r="D86" s="41">
        <f t="shared" si="1"/>
        <v>0</v>
      </c>
    </row>
    <row r="87" spans="1:4" x14ac:dyDescent="0.25">
      <c r="A87" s="33">
        <v>85</v>
      </c>
      <c r="B87" s="40">
        <f>DATA!E91</f>
        <v>0</v>
      </c>
      <c r="C87" s="40">
        <f>DATA!F91</f>
        <v>0</v>
      </c>
      <c r="D87" s="41">
        <f t="shared" si="1"/>
        <v>0</v>
      </c>
    </row>
    <row r="88" spans="1:4" x14ac:dyDescent="0.25">
      <c r="A88" s="33">
        <v>86</v>
      </c>
      <c r="B88" s="40">
        <f>DATA!E92</f>
        <v>0</v>
      </c>
      <c r="C88" s="40">
        <f>DATA!F92</f>
        <v>0</v>
      </c>
      <c r="D88" s="41">
        <f t="shared" si="1"/>
        <v>0</v>
      </c>
    </row>
    <row r="89" spans="1:4" x14ac:dyDescent="0.25">
      <c r="A89" s="33">
        <v>87</v>
      </c>
      <c r="B89" s="40">
        <f>DATA!E93</f>
        <v>0</v>
      </c>
      <c r="C89" s="40">
        <f>DATA!F93</f>
        <v>0</v>
      </c>
      <c r="D89" s="41">
        <f t="shared" si="1"/>
        <v>0</v>
      </c>
    </row>
    <row r="90" spans="1:4" x14ac:dyDescent="0.25">
      <c r="A90" s="33">
        <v>88</v>
      </c>
      <c r="B90" s="40">
        <f>DATA!E94</f>
        <v>0</v>
      </c>
      <c r="C90" s="40">
        <f>DATA!F94</f>
        <v>0</v>
      </c>
      <c r="D90" s="41">
        <f t="shared" si="1"/>
        <v>0</v>
      </c>
    </row>
    <row r="91" spans="1:4" x14ac:dyDescent="0.25">
      <c r="A91" s="33">
        <v>89</v>
      </c>
      <c r="B91" s="40">
        <f>DATA!E95</f>
        <v>0</v>
      </c>
      <c r="C91" s="40">
        <f>DATA!F95</f>
        <v>0</v>
      </c>
      <c r="D91" s="41">
        <f t="shared" si="1"/>
        <v>0</v>
      </c>
    </row>
    <row r="92" spans="1:4" x14ac:dyDescent="0.25">
      <c r="A92" s="33">
        <v>90</v>
      </c>
      <c r="B92" s="40">
        <f>DATA!E96</f>
        <v>0</v>
      </c>
      <c r="C92" s="40">
        <f>DATA!F96</f>
        <v>0</v>
      </c>
      <c r="D92" s="41">
        <f t="shared" si="1"/>
        <v>0</v>
      </c>
    </row>
    <row r="93" spans="1:4" x14ac:dyDescent="0.25">
      <c r="A93" s="33">
        <v>91</v>
      </c>
      <c r="B93" s="40">
        <f>DATA!E97</f>
        <v>0</v>
      </c>
      <c r="C93" s="40">
        <f>DATA!F97</f>
        <v>0</v>
      </c>
      <c r="D93" s="41">
        <f t="shared" si="1"/>
        <v>0</v>
      </c>
    </row>
    <row r="94" spans="1:4" x14ac:dyDescent="0.25">
      <c r="A94" s="33">
        <v>92</v>
      </c>
      <c r="B94" s="40">
        <f>DATA!E98</f>
        <v>0</v>
      </c>
      <c r="C94" s="40">
        <f>DATA!F98</f>
        <v>0</v>
      </c>
      <c r="D94" s="41">
        <f t="shared" si="1"/>
        <v>0</v>
      </c>
    </row>
    <row r="95" spans="1:4" x14ac:dyDescent="0.25">
      <c r="A95" s="33">
        <v>93</v>
      </c>
      <c r="B95" s="40">
        <f>DATA!E99</f>
        <v>0</v>
      </c>
      <c r="C95" s="40">
        <f>DATA!F99</f>
        <v>0</v>
      </c>
      <c r="D95" s="41">
        <f t="shared" si="1"/>
        <v>0</v>
      </c>
    </row>
    <row r="96" spans="1:4" x14ac:dyDescent="0.25">
      <c r="A96" s="33">
        <v>94</v>
      </c>
      <c r="B96" s="40">
        <f>DATA!E100</f>
        <v>0</v>
      </c>
      <c r="C96" s="40">
        <f>DATA!F100</f>
        <v>0</v>
      </c>
      <c r="D96" s="41">
        <f t="shared" si="1"/>
        <v>0</v>
      </c>
    </row>
    <row r="97" spans="1:4" x14ac:dyDescent="0.25">
      <c r="A97" s="33">
        <v>95</v>
      </c>
      <c r="B97" s="40">
        <f>DATA!E101</f>
        <v>0</v>
      </c>
      <c r="C97" s="40">
        <f>DATA!F101</f>
        <v>0</v>
      </c>
      <c r="D97" s="41">
        <f t="shared" si="1"/>
        <v>0</v>
      </c>
    </row>
    <row r="98" spans="1:4" x14ac:dyDescent="0.25">
      <c r="A98" s="33">
        <v>96</v>
      </c>
      <c r="B98" s="40">
        <f>DATA!E102</f>
        <v>0</v>
      </c>
      <c r="C98" s="40">
        <f>DATA!F102</f>
        <v>0</v>
      </c>
      <c r="D98" s="41">
        <f t="shared" si="1"/>
        <v>0</v>
      </c>
    </row>
    <row r="99" spans="1:4" x14ac:dyDescent="0.25">
      <c r="A99" s="33">
        <v>97</v>
      </c>
      <c r="B99" s="40">
        <f>DATA!E103</f>
        <v>0</v>
      </c>
      <c r="C99" s="40">
        <f>DATA!F103</f>
        <v>0</v>
      </c>
      <c r="D99" s="41">
        <f t="shared" si="1"/>
        <v>0</v>
      </c>
    </row>
    <row r="100" spans="1:4" x14ac:dyDescent="0.25">
      <c r="A100" s="33">
        <v>98</v>
      </c>
      <c r="B100" s="40">
        <f>DATA!E104</f>
        <v>0</v>
      </c>
      <c r="C100" s="40">
        <f>DATA!F104</f>
        <v>0</v>
      </c>
      <c r="D100" s="41">
        <f t="shared" si="1"/>
        <v>0</v>
      </c>
    </row>
    <row r="101" spans="1:4" x14ac:dyDescent="0.25">
      <c r="A101" s="33">
        <v>99</v>
      </c>
      <c r="B101" s="40">
        <f>DATA!E105</f>
        <v>0</v>
      </c>
      <c r="C101" s="40">
        <f>DATA!F105</f>
        <v>0</v>
      </c>
      <c r="D101" s="41">
        <f t="shared" si="1"/>
        <v>0</v>
      </c>
    </row>
    <row r="102" spans="1:4" x14ac:dyDescent="0.25">
      <c r="A102" s="33">
        <v>100</v>
      </c>
      <c r="B102" s="40">
        <f>DATA!E106</f>
        <v>0</v>
      </c>
      <c r="C102" s="40">
        <f>DATA!F106</f>
        <v>0</v>
      </c>
      <c r="D102" s="41">
        <f t="shared" si="1"/>
        <v>0</v>
      </c>
    </row>
    <row r="103" spans="1:4" x14ac:dyDescent="0.25">
      <c r="A103" s="33">
        <v>101</v>
      </c>
      <c r="B103" s="40">
        <f>DATA!E107</f>
        <v>0</v>
      </c>
      <c r="C103" s="40">
        <f>DATA!F107</f>
        <v>0</v>
      </c>
      <c r="D103" s="41">
        <f t="shared" ref="D103:D166" si="2">ROUND((B103-C103),2)</f>
        <v>0</v>
      </c>
    </row>
    <row r="104" spans="1:4" x14ac:dyDescent="0.25">
      <c r="A104" s="33">
        <v>102</v>
      </c>
      <c r="B104" s="40">
        <f>DATA!E108</f>
        <v>0</v>
      </c>
      <c r="C104" s="40">
        <f>DATA!F108</f>
        <v>0</v>
      </c>
      <c r="D104" s="41">
        <f t="shared" si="2"/>
        <v>0</v>
      </c>
    </row>
    <row r="105" spans="1:4" x14ac:dyDescent="0.25">
      <c r="A105" s="33">
        <v>103</v>
      </c>
      <c r="B105" s="40">
        <f>DATA!E109</f>
        <v>0</v>
      </c>
      <c r="C105" s="40">
        <f>DATA!F109</f>
        <v>0</v>
      </c>
      <c r="D105" s="41">
        <f t="shared" si="2"/>
        <v>0</v>
      </c>
    </row>
    <row r="106" spans="1:4" x14ac:dyDescent="0.25">
      <c r="A106" s="33">
        <v>104</v>
      </c>
      <c r="B106" s="40">
        <f>DATA!E110</f>
        <v>0</v>
      </c>
      <c r="C106" s="40">
        <f>DATA!F110</f>
        <v>0</v>
      </c>
      <c r="D106" s="41">
        <f t="shared" si="2"/>
        <v>0</v>
      </c>
    </row>
    <row r="107" spans="1:4" x14ac:dyDescent="0.25">
      <c r="A107" s="33">
        <v>105</v>
      </c>
      <c r="B107" s="40">
        <f>DATA!E111</f>
        <v>0</v>
      </c>
      <c r="C107" s="40">
        <f>DATA!F111</f>
        <v>0</v>
      </c>
      <c r="D107" s="41">
        <f t="shared" si="2"/>
        <v>0</v>
      </c>
    </row>
    <row r="108" spans="1:4" x14ac:dyDescent="0.25">
      <c r="A108" s="33">
        <v>106</v>
      </c>
      <c r="B108" s="40">
        <f>DATA!E112</f>
        <v>0</v>
      </c>
      <c r="C108" s="40">
        <f>DATA!F112</f>
        <v>0</v>
      </c>
      <c r="D108" s="41">
        <f t="shared" si="2"/>
        <v>0</v>
      </c>
    </row>
    <row r="109" spans="1:4" x14ac:dyDescent="0.25">
      <c r="A109" s="33">
        <v>107</v>
      </c>
      <c r="B109" s="40">
        <f>DATA!E113</f>
        <v>0</v>
      </c>
      <c r="C109" s="40">
        <f>DATA!F113</f>
        <v>0</v>
      </c>
      <c r="D109" s="41">
        <f t="shared" si="2"/>
        <v>0</v>
      </c>
    </row>
    <row r="110" spans="1:4" x14ac:dyDescent="0.25">
      <c r="A110" s="33">
        <v>108</v>
      </c>
      <c r="B110" s="40">
        <f>DATA!E114</f>
        <v>0</v>
      </c>
      <c r="C110" s="40">
        <f>DATA!F114</f>
        <v>0</v>
      </c>
      <c r="D110" s="41">
        <f t="shared" si="2"/>
        <v>0</v>
      </c>
    </row>
    <row r="111" spans="1:4" x14ac:dyDescent="0.25">
      <c r="A111" s="33">
        <v>109</v>
      </c>
      <c r="B111" s="40">
        <f>DATA!E115</f>
        <v>0</v>
      </c>
      <c r="C111" s="40">
        <f>DATA!F115</f>
        <v>0</v>
      </c>
      <c r="D111" s="41">
        <f t="shared" si="2"/>
        <v>0</v>
      </c>
    </row>
    <row r="112" spans="1:4" x14ac:dyDescent="0.25">
      <c r="A112" s="33">
        <v>110</v>
      </c>
      <c r="B112" s="40">
        <f>DATA!E116</f>
        <v>0</v>
      </c>
      <c r="C112" s="40">
        <f>DATA!F116</f>
        <v>0</v>
      </c>
      <c r="D112" s="41">
        <f t="shared" si="2"/>
        <v>0</v>
      </c>
    </row>
    <row r="113" spans="1:4" x14ac:dyDescent="0.25">
      <c r="A113" s="33">
        <v>111</v>
      </c>
      <c r="B113" s="40">
        <f>DATA!E117</f>
        <v>0</v>
      </c>
      <c r="C113" s="40">
        <f>DATA!F117</f>
        <v>0</v>
      </c>
      <c r="D113" s="41">
        <f t="shared" si="2"/>
        <v>0</v>
      </c>
    </row>
    <row r="114" spans="1:4" x14ac:dyDescent="0.25">
      <c r="A114" s="33">
        <v>112</v>
      </c>
      <c r="B114" s="40">
        <f>DATA!E118</f>
        <v>0</v>
      </c>
      <c r="C114" s="40">
        <f>DATA!F118</f>
        <v>0</v>
      </c>
      <c r="D114" s="41">
        <f t="shared" si="2"/>
        <v>0</v>
      </c>
    </row>
    <row r="115" spans="1:4" x14ac:dyDescent="0.25">
      <c r="A115" s="33">
        <v>113</v>
      </c>
      <c r="B115" s="40">
        <f>DATA!E119</f>
        <v>0</v>
      </c>
      <c r="C115" s="40">
        <f>DATA!F119</f>
        <v>0</v>
      </c>
      <c r="D115" s="41">
        <f t="shared" si="2"/>
        <v>0</v>
      </c>
    </row>
    <row r="116" spans="1:4" x14ac:dyDescent="0.25">
      <c r="A116" s="33">
        <v>114</v>
      </c>
      <c r="B116" s="40">
        <f>DATA!E120</f>
        <v>0</v>
      </c>
      <c r="C116" s="40">
        <f>DATA!F120</f>
        <v>0</v>
      </c>
      <c r="D116" s="41">
        <f t="shared" si="2"/>
        <v>0</v>
      </c>
    </row>
    <row r="117" spans="1:4" x14ac:dyDescent="0.25">
      <c r="A117" s="33">
        <v>115</v>
      </c>
      <c r="B117" s="40">
        <f>DATA!E121</f>
        <v>0</v>
      </c>
      <c r="C117" s="40">
        <f>DATA!F121</f>
        <v>0</v>
      </c>
      <c r="D117" s="41">
        <f t="shared" si="2"/>
        <v>0</v>
      </c>
    </row>
    <row r="118" spans="1:4" x14ac:dyDescent="0.25">
      <c r="A118" s="33">
        <v>116</v>
      </c>
      <c r="B118" s="40">
        <f>DATA!E122</f>
        <v>0</v>
      </c>
      <c r="C118" s="40">
        <f>DATA!F122</f>
        <v>0</v>
      </c>
      <c r="D118" s="41">
        <f t="shared" si="2"/>
        <v>0</v>
      </c>
    </row>
    <row r="119" spans="1:4" x14ac:dyDescent="0.25">
      <c r="A119" s="33">
        <v>117</v>
      </c>
      <c r="B119" s="40">
        <f>DATA!E123</f>
        <v>0</v>
      </c>
      <c r="C119" s="40">
        <f>DATA!F123</f>
        <v>0</v>
      </c>
      <c r="D119" s="41">
        <f t="shared" si="2"/>
        <v>0</v>
      </c>
    </row>
    <row r="120" spans="1:4" x14ac:dyDescent="0.25">
      <c r="A120" s="33">
        <v>118</v>
      </c>
      <c r="B120" s="40">
        <f>DATA!E124</f>
        <v>0</v>
      </c>
      <c r="C120" s="40">
        <f>DATA!F124</f>
        <v>0</v>
      </c>
      <c r="D120" s="41">
        <f t="shared" si="2"/>
        <v>0</v>
      </c>
    </row>
    <row r="121" spans="1:4" x14ac:dyDescent="0.25">
      <c r="A121" s="33">
        <v>119</v>
      </c>
      <c r="B121" s="40">
        <f>DATA!E125</f>
        <v>0</v>
      </c>
      <c r="C121" s="40">
        <f>DATA!F125</f>
        <v>0</v>
      </c>
      <c r="D121" s="41">
        <f t="shared" si="2"/>
        <v>0</v>
      </c>
    </row>
    <row r="122" spans="1:4" x14ac:dyDescent="0.25">
      <c r="A122" s="33">
        <v>120</v>
      </c>
      <c r="B122" s="40">
        <f>DATA!E126</f>
        <v>0</v>
      </c>
      <c r="C122" s="40">
        <f>DATA!F126</f>
        <v>0</v>
      </c>
      <c r="D122" s="41">
        <f t="shared" si="2"/>
        <v>0</v>
      </c>
    </row>
    <row r="123" spans="1:4" x14ac:dyDescent="0.25">
      <c r="A123" s="33">
        <v>121</v>
      </c>
      <c r="B123" s="40">
        <f>DATA!E127</f>
        <v>0</v>
      </c>
      <c r="C123" s="40">
        <f>DATA!F127</f>
        <v>0</v>
      </c>
      <c r="D123" s="41">
        <f t="shared" si="2"/>
        <v>0</v>
      </c>
    </row>
    <row r="124" spans="1:4" x14ac:dyDescent="0.25">
      <c r="A124" s="33">
        <v>122</v>
      </c>
      <c r="B124" s="40">
        <f>DATA!E128</f>
        <v>0</v>
      </c>
      <c r="C124" s="40">
        <f>DATA!F128</f>
        <v>0</v>
      </c>
      <c r="D124" s="41">
        <f t="shared" si="2"/>
        <v>0</v>
      </c>
    </row>
    <row r="125" spans="1:4" x14ac:dyDescent="0.25">
      <c r="A125" s="33">
        <v>123</v>
      </c>
      <c r="B125" s="40">
        <f>DATA!E129</f>
        <v>0</v>
      </c>
      <c r="C125" s="40">
        <f>DATA!F129</f>
        <v>0</v>
      </c>
      <c r="D125" s="41">
        <f t="shared" si="2"/>
        <v>0</v>
      </c>
    </row>
    <row r="126" spans="1:4" x14ac:dyDescent="0.25">
      <c r="A126" s="33">
        <v>124</v>
      </c>
      <c r="B126" s="40">
        <f>DATA!E130</f>
        <v>0</v>
      </c>
      <c r="C126" s="40">
        <f>DATA!F130</f>
        <v>0</v>
      </c>
      <c r="D126" s="41">
        <f t="shared" si="2"/>
        <v>0</v>
      </c>
    </row>
    <row r="127" spans="1:4" x14ac:dyDescent="0.25">
      <c r="A127" s="33">
        <v>125</v>
      </c>
      <c r="B127" s="40">
        <f>DATA!E131</f>
        <v>0</v>
      </c>
      <c r="C127" s="40">
        <f>DATA!F131</f>
        <v>0</v>
      </c>
      <c r="D127" s="41">
        <f t="shared" si="2"/>
        <v>0</v>
      </c>
    </row>
    <row r="128" spans="1:4" x14ac:dyDescent="0.25">
      <c r="A128" s="33">
        <v>126</v>
      </c>
      <c r="B128" s="40">
        <f>DATA!E132</f>
        <v>0</v>
      </c>
      <c r="C128" s="40">
        <f>DATA!F132</f>
        <v>0</v>
      </c>
      <c r="D128" s="41">
        <f t="shared" si="2"/>
        <v>0</v>
      </c>
    </row>
    <row r="129" spans="1:4" x14ac:dyDescent="0.25">
      <c r="A129" s="33">
        <v>127</v>
      </c>
      <c r="B129" s="40">
        <f>DATA!E133</f>
        <v>0</v>
      </c>
      <c r="C129" s="40">
        <f>DATA!F133</f>
        <v>0</v>
      </c>
      <c r="D129" s="41">
        <f t="shared" si="2"/>
        <v>0</v>
      </c>
    </row>
    <row r="130" spans="1:4" x14ac:dyDescent="0.25">
      <c r="A130" s="33">
        <v>128</v>
      </c>
      <c r="B130" s="40">
        <f>DATA!E134</f>
        <v>0</v>
      </c>
      <c r="C130" s="40">
        <f>DATA!F134</f>
        <v>0</v>
      </c>
      <c r="D130" s="41">
        <f t="shared" si="2"/>
        <v>0</v>
      </c>
    </row>
    <row r="131" spans="1:4" x14ac:dyDescent="0.25">
      <c r="A131" s="33">
        <v>129</v>
      </c>
      <c r="B131" s="40">
        <f>DATA!E135</f>
        <v>0</v>
      </c>
      <c r="C131" s="40">
        <f>DATA!F135</f>
        <v>0</v>
      </c>
      <c r="D131" s="41">
        <f t="shared" si="2"/>
        <v>0</v>
      </c>
    </row>
    <row r="132" spans="1:4" x14ac:dyDescent="0.25">
      <c r="A132" s="33">
        <v>130</v>
      </c>
      <c r="B132" s="40">
        <f>DATA!E136</f>
        <v>0</v>
      </c>
      <c r="C132" s="40">
        <f>DATA!F136</f>
        <v>0</v>
      </c>
      <c r="D132" s="41">
        <f t="shared" si="2"/>
        <v>0</v>
      </c>
    </row>
    <row r="133" spans="1:4" x14ac:dyDescent="0.25">
      <c r="A133" s="33">
        <v>131</v>
      </c>
      <c r="B133" s="40">
        <f>DATA!E137</f>
        <v>0</v>
      </c>
      <c r="C133" s="40">
        <f>DATA!F137</f>
        <v>0</v>
      </c>
      <c r="D133" s="41">
        <f t="shared" si="2"/>
        <v>0</v>
      </c>
    </row>
    <row r="134" spans="1:4" x14ac:dyDescent="0.25">
      <c r="A134" s="33">
        <v>132</v>
      </c>
      <c r="B134" s="40">
        <f>DATA!E138</f>
        <v>0</v>
      </c>
      <c r="C134" s="40">
        <f>DATA!F138</f>
        <v>0</v>
      </c>
      <c r="D134" s="41">
        <f t="shared" si="2"/>
        <v>0</v>
      </c>
    </row>
    <row r="135" spans="1:4" x14ac:dyDescent="0.25">
      <c r="A135" s="33">
        <v>133</v>
      </c>
      <c r="B135" s="40">
        <f>DATA!E139</f>
        <v>0</v>
      </c>
      <c r="C135" s="40">
        <f>DATA!F139</f>
        <v>0</v>
      </c>
      <c r="D135" s="41">
        <f t="shared" si="2"/>
        <v>0</v>
      </c>
    </row>
    <row r="136" spans="1:4" x14ac:dyDescent="0.25">
      <c r="A136" s="33">
        <v>134</v>
      </c>
      <c r="B136" s="40">
        <f>DATA!E140</f>
        <v>0</v>
      </c>
      <c r="C136" s="40">
        <f>DATA!F140</f>
        <v>0</v>
      </c>
      <c r="D136" s="41">
        <f t="shared" si="2"/>
        <v>0</v>
      </c>
    </row>
    <row r="137" spans="1:4" x14ac:dyDescent="0.25">
      <c r="A137" s="33">
        <v>135</v>
      </c>
      <c r="B137" s="40">
        <f>DATA!E141</f>
        <v>0</v>
      </c>
      <c r="C137" s="40">
        <f>DATA!F141</f>
        <v>0</v>
      </c>
      <c r="D137" s="41">
        <f t="shared" si="2"/>
        <v>0</v>
      </c>
    </row>
    <row r="138" spans="1:4" x14ac:dyDescent="0.25">
      <c r="A138" s="33">
        <v>136</v>
      </c>
      <c r="B138" s="40">
        <f>DATA!E142</f>
        <v>0</v>
      </c>
      <c r="C138" s="40">
        <f>DATA!F142</f>
        <v>0</v>
      </c>
      <c r="D138" s="41">
        <f t="shared" si="2"/>
        <v>0</v>
      </c>
    </row>
    <row r="139" spans="1:4" x14ac:dyDescent="0.25">
      <c r="A139" s="33">
        <v>137</v>
      </c>
      <c r="B139" s="40">
        <f>DATA!E143</f>
        <v>0</v>
      </c>
      <c r="C139" s="40">
        <f>DATA!F143</f>
        <v>0</v>
      </c>
      <c r="D139" s="41">
        <f t="shared" si="2"/>
        <v>0</v>
      </c>
    </row>
    <row r="140" spans="1:4" x14ac:dyDescent="0.25">
      <c r="A140" s="33">
        <v>138</v>
      </c>
      <c r="B140" s="40">
        <f>DATA!E144</f>
        <v>0</v>
      </c>
      <c r="C140" s="40">
        <f>DATA!F144</f>
        <v>0</v>
      </c>
      <c r="D140" s="41">
        <f t="shared" si="2"/>
        <v>0</v>
      </c>
    </row>
    <row r="141" spans="1:4" x14ac:dyDescent="0.25">
      <c r="A141" s="33">
        <v>139</v>
      </c>
      <c r="B141" s="40">
        <f>DATA!E145</f>
        <v>0</v>
      </c>
      <c r="C141" s="40">
        <f>DATA!F145</f>
        <v>0</v>
      </c>
      <c r="D141" s="41">
        <f t="shared" si="2"/>
        <v>0</v>
      </c>
    </row>
    <row r="142" spans="1:4" x14ac:dyDescent="0.25">
      <c r="A142" s="33">
        <v>140</v>
      </c>
      <c r="B142" s="40">
        <f>DATA!E146</f>
        <v>0</v>
      </c>
      <c r="C142" s="40">
        <f>DATA!F146</f>
        <v>0</v>
      </c>
      <c r="D142" s="41">
        <f t="shared" si="2"/>
        <v>0</v>
      </c>
    </row>
    <row r="143" spans="1:4" x14ac:dyDescent="0.25">
      <c r="A143" s="33">
        <v>141</v>
      </c>
      <c r="B143" s="40">
        <f>DATA!E147</f>
        <v>0</v>
      </c>
      <c r="C143" s="40">
        <f>DATA!F147</f>
        <v>0</v>
      </c>
      <c r="D143" s="41">
        <f t="shared" si="2"/>
        <v>0</v>
      </c>
    </row>
    <row r="144" spans="1:4" x14ac:dyDescent="0.25">
      <c r="A144" s="33">
        <v>142</v>
      </c>
      <c r="B144" s="40">
        <f>DATA!E148</f>
        <v>0</v>
      </c>
      <c r="C144" s="40">
        <f>DATA!F148</f>
        <v>0</v>
      </c>
      <c r="D144" s="41">
        <f t="shared" si="2"/>
        <v>0</v>
      </c>
    </row>
    <row r="145" spans="1:4" x14ac:dyDescent="0.25">
      <c r="A145" s="33">
        <v>143</v>
      </c>
      <c r="B145" s="40">
        <f>DATA!E149</f>
        <v>0</v>
      </c>
      <c r="C145" s="40">
        <f>DATA!F149</f>
        <v>0</v>
      </c>
      <c r="D145" s="41">
        <f t="shared" si="2"/>
        <v>0</v>
      </c>
    </row>
    <row r="146" spans="1:4" x14ac:dyDescent="0.25">
      <c r="A146" s="33">
        <v>144</v>
      </c>
      <c r="B146" s="40">
        <f>DATA!E150</f>
        <v>0</v>
      </c>
      <c r="C146" s="40">
        <f>DATA!F150</f>
        <v>0</v>
      </c>
      <c r="D146" s="41">
        <f t="shared" si="2"/>
        <v>0</v>
      </c>
    </row>
    <row r="147" spans="1:4" x14ac:dyDescent="0.25">
      <c r="A147" s="33">
        <v>145</v>
      </c>
      <c r="B147" s="40">
        <f>DATA!E151</f>
        <v>0</v>
      </c>
      <c r="C147" s="40">
        <f>DATA!F151</f>
        <v>0</v>
      </c>
      <c r="D147" s="41">
        <f t="shared" si="2"/>
        <v>0</v>
      </c>
    </row>
    <row r="148" spans="1:4" x14ac:dyDescent="0.25">
      <c r="A148" s="33">
        <v>146</v>
      </c>
      <c r="B148" s="40">
        <f>DATA!E152</f>
        <v>0</v>
      </c>
      <c r="C148" s="40">
        <f>DATA!F152</f>
        <v>0</v>
      </c>
      <c r="D148" s="41">
        <f t="shared" si="2"/>
        <v>0</v>
      </c>
    </row>
    <row r="149" spans="1:4" x14ac:dyDescent="0.25">
      <c r="A149" s="33">
        <v>147</v>
      </c>
      <c r="B149" s="40">
        <f>DATA!E153</f>
        <v>0</v>
      </c>
      <c r="C149" s="40">
        <f>DATA!F153</f>
        <v>0</v>
      </c>
      <c r="D149" s="41">
        <f t="shared" si="2"/>
        <v>0</v>
      </c>
    </row>
    <row r="150" spans="1:4" x14ac:dyDescent="0.25">
      <c r="A150" s="33">
        <v>148</v>
      </c>
      <c r="B150" s="40">
        <f>DATA!E154</f>
        <v>0</v>
      </c>
      <c r="C150" s="40">
        <f>DATA!F154</f>
        <v>0</v>
      </c>
      <c r="D150" s="41">
        <f t="shared" si="2"/>
        <v>0</v>
      </c>
    </row>
    <row r="151" spans="1:4" x14ac:dyDescent="0.25">
      <c r="A151" s="33">
        <v>149</v>
      </c>
      <c r="B151" s="40">
        <f>DATA!E155</f>
        <v>0</v>
      </c>
      <c r="C151" s="40">
        <f>DATA!F155</f>
        <v>0</v>
      </c>
      <c r="D151" s="41">
        <f t="shared" si="2"/>
        <v>0</v>
      </c>
    </row>
    <row r="152" spans="1:4" x14ac:dyDescent="0.25">
      <c r="A152" s="33">
        <v>150</v>
      </c>
      <c r="B152" s="40">
        <f>DATA!E156</f>
        <v>0</v>
      </c>
      <c r="C152" s="40">
        <f>DATA!F156</f>
        <v>0</v>
      </c>
      <c r="D152" s="41">
        <f t="shared" si="2"/>
        <v>0</v>
      </c>
    </row>
    <row r="153" spans="1:4" x14ac:dyDescent="0.25">
      <c r="A153" s="33">
        <v>151</v>
      </c>
      <c r="B153" s="40">
        <f>DATA!E157</f>
        <v>0</v>
      </c>
      <c r="C153" s="40">
        <f>DATA!F157</f>
        <v>0</v>
      </c>
      <c r="D153" s="41">
        <f t="shared" si="2"/>
        <v>0</v>
      </c>
    </row>
    <row r="154" spans="1:4" x14ac:dyDescent="0.25">
      <c r="A154" s="33">
        <v>152</v>
      </c>
      <c r="B154" s="40">
        <f>DATA!E158</f>
        <v>0</v>
      </c>
      <c r="C154" s="40">
        <f>DATA!F158</f>
        <v>0</v>
      </c>
      <c r="D154" s="41">
        <f t="shared" si="2"/>
        <v>0</v>
      </c>
    </row>
    <row r="155" spans="1:4" x14ac:dyDescent="0.25">
      <c r="A155" s="33">
        <v>153</v>
      </c>
      <c r="B155" s="40">
        <f>DATA!E159</f>
        <v>0</v>
      </c>
      <c r="C155" s="40">
        <f>DATA!F159</f>
        <v>0</v>
      </c>
      <c r="D155" s="41">
        <f t="shared" si="2"/>
        <v>0</v>
      </c>
    </row>
    <row r="156" spans="1:4" x14ac:dyDescent="0.25">
      <c r="A156" s="33">
        <v>154</v>
      </c>
      <c r="B156" s="40">
        <f>DATA!E160</f>
        <v>0</v>
      </c>
      <c r="C156" s="40">
        <f>DATA!F160</f>
        <v>0</v>
      </c>
      <c r="D156" s="41">
        <f t="shared" si="2"/>
        <v>0</v>
      </c>
    </row>
    <row r="157" spans="1:4" x14ac:dyDescent="0.25">
      <c r="A157" s="33">
        <v>155</v>
      </c>
      <c r="B157" s="40">
        <f>DATA!E161</f>
        <v>0</v>
      </c>
      <c r="C157" s="40">
        <f>DATA!F161</f>
        <v>0</v>
      </c>
      <c r="D157" s="41">
        <f t="shared" si="2"/>
        <v>0</v>
      </c>
    </row>
    <row r="158" spans="1:4" x14ac:dyDescent="0.25">
      <c r="A158" s="33">
        <v>156</v>
      </c>
      <c r="B158" s="40">
        <f>DATA!E162</f>
        <v>0</v>
      </c>
      <c r="C158" s="40">
        <f>DATA!F162</f>
        <v>0</v>
      </c>
      <c r="D158" s="41">
        <f t="shared" si="2"/>
        <v>0</v>
      </c>
    </row>
    <row r="159" spans="1:4" x14ac:dyDescent="0.25">
      <c r="A159" s="33">
        <v>157</v>
      </c>
      <c r="B159" s="40">
        <f>DATA!E163</f>
        <v>0</v>
      </c>
      <c r="C159" s="40">
        <f>DATA!F163</f>
        <v>0</v>
      </c>
      <c r="D159" s="41">
        <f t="shared" si="2"/>
        <v>0</v>
      </c>
    </row>
    <row r="160" spans="1:4" x14ac:dyDescent="0.25">
      <c r="A160" s="33">
        <v>158</v>
      </c>
      <c r="B160" s="40">
        <f>DATA!E164</f>
        <v>0</v>
      </c>
      <c r="C160" s="40">
        <f>DATA!F164</f>
        <v>0</v>
      </c>
      <c r="D160" s="41">
        <f t="shared" si="2"/>
        <v>0</v>
      </c>
    </row>
    <row r="161" spans="1:4" x14ac:dyDescent="0.25">
      <c r="A161" s="33">
        <v>159</v>
      </c>
      <c r="B161" s="40">
        <f>DATA!E165</f>
        <v>0</v>
      </c>
      <c r="C161" s="40">
        <f>DATA!F165</f>
        <v>0</v>
      </c>
      <c r="D161" s="41">
        <f t="shared" si="2"/>
        <v>0</v>
      </c>
    </row>
    <row r="162" spans="1:4" x14ac:dyDescent="0.25">
      <c r="A162" s="33">
        <v>160</v>
      </c>
      <c r="B162" s="40">
        <f>DATA!E166</f>
        <v>0</v>
      </c>
      <c r="C162" s="40">
        <f>DATA!F166</f>
        <v>0</v>
      </c>
      <c r="D162" s="41">
        <f t="shared" si="2"/>
        <v>0</v>
      </c>
    </row>
    <row r="163" spans="1:4" x14ac:dyDescent="0.25">
      <c r="A163" s="33">
        <v>161</v>
      </c>
      <c r="B163" s="40">
        <f>DATA!E167</f>
        <v>0</v>
      </c>
      <c r="C163" s="40">
        <f>DATA!F167</f>
        <v>0</v>
      </c>
      <c r="D163" s="41">
        <f t="shared" si="2"/>
        <v>0</v>
      </c>
    </row>
    <row r="164" spans="1:4" x14ac:dyDescent="0.25">
      <c r="A164" s="33">
        <v>162</v>
      </c>
      <c r="B164" s="40">
        <f>DATA!E168</f>
        <v>0</v>
      </c>
      <c r="C164" s="40">
        <f>DATA!F168</f>
        <v>0</v>
      </c>
      <c r="D164" s="41">
        <f t="shared" si="2"/>
        <v>0</v>
      </c>
    </row>
    <row r="165" spans="1:4" x14ac:dyDescent="0.25">
      <c r="A165" s="33">
        <v>163</v>
      </c>
      <c r="B165" s="40">
        <f>DATA!E169</f>
        <v>0</v>
      </c>
      <c r="C165" s="40">
        <f>DATA!F169</f>
        <v>0</v>
      </c>
      <c r="D165" s="41">
        <f t="shared" si="2"/>
        <v>0</v>
      </c>
    </row>
    <row r="166" spans="1:4" x14ac:dyDescent="0.25">
      <c r="A166" s="33">
        <v>164</v>
      </c>
      <c r="B166" s="40">
        <f>DATA!E170</f>
        <v>0</v>
      </c>
      <c r="C166" s="40">
        <f>DATA!F170</f>
        <v>0</v>
      </c>
      <c r="D166" s="41">
        <f t="shared" si="2"/>
        <v>0</v>
      </c>
    </row>
    <row r="167" spans="1:4" x14ac:dyDescent="0.25">
      <c r="A167" s="33">
        <v>165</v>
      </c>
      <c r="B167" s="40">
        <f>DATA!E171</f>
        <v>0</v>
      </c>
      <c r="C167" s="40">
        <f>DATA!F171</f>
        <v>0</v>
      </c>
      <c r="D167" s="41">
        <f t="shared" ref="D167:D202" si="3">ROUND((B167-C167),2)</f>
        <v>0</v>
      </c>
    </row>
    <row r="168" spans="1:4" x14ac:dyDescent="0.25">
      <c r="A168" s="33">
        <v>166</v>
      </c>
      <c r="B168" s="40">
        <f>DATA!E172</f>
        <v>0</v>
      </c>
      <c r="C168" s="40">
        <f>DATA!F172</f>
        <v>0</v>
      </c>
      <c r="D168" s="41">
        <f t="shared" si="3"/>
        <v>0</v>
      </c>
    </row>
    <row r="169" spans="1:4" x14ac:dyDescent="0.25">
      <c r="A169" s="33">
        <v>167</v>
      </c>
      <c r="B169" s="40">
        <f>DATA!E173</f>
        <v>0</v>
      </c>
      <c r="C169" s="40">
        <f>DATA!F173</f>
        <v>0</v>
      </c>
      <c r="D169" s="41">
        <f t="shared" si="3"/>
        <v>0</v>
      </c>
    </row>
    <row r="170" spans="1:4" x14ac:dyDescent="0.25">
      <c r="A170" s="33">
        <v>168</v>
      </c>
      <c r="B170" s="40">
        <f>DATA!E174</f>
        <v>0</v>
      </c>
      <c r="C170" s="40">
        <f>DATA!F174</f>
        <v>0</v>
      </c>
      <c r="D170" s="41">
        <f t="shared" si="3"/>
        <v>0</v>
      </c>
    </row>
    <row r="171" spans="1:4" x14ac:dyDescent="0.25">
      <c r="A171" s="33">
        <v>169</v>
      </c>
      <c r="B171" s="40">
        <f>DATA!E175</f>
        <v>0</v>
      </c>
      <c r="C171" s="40">
        <f>DATA!F175</f>
        <v>0</v>
      </c>
      <c r="D171" s="41">
        <f t="shared" si="3"/>
        <v>0</v>
      </c>
    </row>
    <row r="172" spans="1:4" x14ac:dyDescent="0.25">
      <c r="A172" s="33">
        <v>170</v>
      </c>
      <c r="B172" s="40">
        <f>DATA!E176</f>
        <v>0</v>
      </c>
      <c r="C172" s="40">
        <f>DATA!F176</f>
        <v>0</v>
      </c>
      <c r="D172" s="41">
        <f t="shared" si="3"/>
        <v>0</v>
      </c>
    </row>
    <row r="173" spans="1:4" x14ac:dyDescent="0.25">
      <c r="A173" s="33">
        <v>171</v>
      </c>
      <c r="B173" s="40">
        <f>DATA!E177</f>
        <v>0</v>
      </c>
      <c r="C173" s="40">
        <f>DATA!F177</f>
        <v>0</v>
      </c>
      <c r="D173" s="41">
        <f t="shared" si="3"/>
        <v>0</v>
      </c>
    </row>
    <row r="174" spans="1:4" x14ac:dyDescent="0.25">
      <c r="A174" s="33">
        <v>172</v>
      </c>
      <c r="B174" s="40">
        <f>DATA!E178</f>
        <v>0</v>
      </c>
      <c r="C174" s="40">
        <f>DATA!F178</f>
        <v>0</v>
      </c>
      <c r="D174" s="41">
        <f t="shared" si="3"/>
        <v>0</v>
      </c>
    </row>
    <row r="175" spans="1:4" x14ac:dyDescent="0.25">
      <c r="A175" s="33">
        <v>173</v>
      </c>
      <c r="B175" s="40">
        <f>DATA!E179</f>
        <v>0</v>
      </c>
      <c r="C175" s="40">
        <f>DATA!F179</f>
        <v>0</v>
      </c>
      <c r="D175" s="41">
        <f t="shared" si="3"/>
        <v>0</v>
      </c>
    </row>
    <row r="176" spans="1:4" x14ac:dyDescent="0.25">
      <c r="A176" s="33">
        <v>174</v>
      </c>
      <c r="B176" s="40">
        <f>DATA!E180</f>
        <v>0</v>
      </c>
      <c r="C176" s="40">
        <f>DATA!F180</f>
        <v>0</v>
      </c>
      <c r="D176" s="41">
        <f t="shared" si="3"/>
        <v>0</v>
      </c>
    </row>
    <row r="177" spans="1:4" x14ac:dyDescent="0.25">
      <c r="A177" s="33">
        <v>175</v>
      </c>
      <c r="B177" s="40">
        <f>DATA!E181</f>
        <v>0</v>
      </c>
      <c r="C177" s="40">
        <f>DATA!F181</f>
        <v>0</v>
      </c>
      <c r="D177" s="41">
        <f t="shared" si="3"/>
        <v>0</v>
      </c>
    </row>
    <row r="178" spans="1:4" x14ac:dyDescent="0.25">
      <c r="A178" s="33">
        <v>176</v>
      </c>
      <c r="B178" s="40">
        <f>DATA!E182</f>
        <v>0</v>
      </c>
      <c r="C178" s="40">
        <f>DATA!F182</f>
        <v>0</v>
      </c>
      <c r="D178" s="41">
        <f t="shared" si="3"/>
        <v>0</v>
      </c>
    </row>
    <row r="179" spans="1:4" x14ac:dyDescent="0.25">
      <c r="A179" s="33">
        <v>177</v>
      </c>
      <c r="B179" s="40">
        <f>DATA!E183</f>
        <v>0</v>
      </c>
      <c r="C179" s="40">
        <f>DATA!F183</f>
        <v>0</v>
      </c>
      <c r="D179" s="41">
        <f t="shared" si="3"/>
        <v>0</v>
      </c>
    </row>
    <row r="180" spans="1:4" x14ac:dyDescent="0.25">
      <c r="A180" s="33">
        <v>178</v>
      </c>
      <c r="B180" s="40">
        <f>DATA!E184</f>
        <v>0</v>
      </c>
      <c r="C180" s="40">
        <f>DATA!F184</f>
        <v>0</v>
      </c>
      <c r="D180" s="41">
        <f t="shared" si="3"/>
        <v>0</v>
      </c>
    </row>
    <row r="181" spans="1:4" x14ac:dyDescent="0.25">
      <c r="A181" s="33">
        <v>179</v>
      </c>
      <c r="B181" s="40">
        <f>DATA!E185</f>
        <v>0</v>
      </c>
      <c r="C181" s="40">
        <f>DATA!F185</f>
        <v>0</v>
      </c>
      <c r="D181" s="41">
        <f t="shared" si="3"/>
        <v>0</v>
      </c>
    </row>
    <row r="182" spans="1:4" x14ac:dyDescent="0.25">
      <c r="A182" s="33">
        <v>180</v>
      </c>
      <c r="B182" s="40">
        <f>DATA!E186</f>
        <v>0</v>
      </c>
      <c r="C182" s="40">
        <f>DATA!F186</f>
        <v>0</v>
      </c>
      <c r="D182" s="41">
        <f t="shared" si="3"/>
        <v>0</v>
      </c>
    </row>
    <row r="183" spans="1:4" x14ac:dyDescent="0.25">
      <c r="A183" s="33">
        <v>181</v>
      </c>
      <c r="B183" s="40">
        <f>DATA!E187</f>
        <v>0</v>
      </c>
      <c r="C183" s="40">
        <f>DATA!F187</f>
        <v>0</v>
      </c>
      <c r="D183" s="41">
        <f t="shared" si="3"/>
        <v>0</v>
      </c>
    </row>
    <row r="184" spans="1:4" x14ac:dyDescent="0.25">
      <c r="A184" s="33">
        <v>182</v>
      </c>
      <c r="B184" s="40">
        <f>DATA!E188</f>
        <v>0</v>
      </c>
      <c r="C184" s="40">
        <f>DATA!F188</f>
        <v>0</v>
      </c>
      <c r="D184" s="41">
        <f t="shared" si="3"/>
        <v>0</v>
      </c>
    </row>
    <row r="185" spans="1:4" x14ac:dyDescent="0.25">
      <c r="A185" s="33">
        <v>183</v>
      </c>
      <c r="B185" s="40">
        <f>DATA!E189</f>
        <v>0</v>
      </c>
      <c r="C185" s="40">
        <f>DATA!F189</f>
        <v>0</v>
      </c>
      <c r="D185" s="41">
        <f t="shared" si="3"/>
        <v>0</v>
      </c>
    </row>
    <row r="186" spans="1:4" x14ac:dyDescent="0.25">
      <c r="A186" s="33">
        <v>184</v>
      </c>
      <c r="B186" s="40">
        <f>DATA!E190</f>
        <v>0</v>
      </c>
      <c r="C186" s="40">
        <f>DATA!F190</f>
        <v>0</v>
      </c>
      <c r="D186" s="41">
        <f t="shared" si="3"/>
        <v>0</v>
      </c>
    </row>
    <row r="187" spans="1:4" x14ac:dyDescent="0.25">
      <c r="A187" s="33">
        <v>185</v>
      </c>
      <c r="B187" s="40">
        <f>DATA!E191</f>
        <v>0</v>
      </c>
      <c r="C187" s="40">
        <f>DATA!F191</f>
        <v>0</v>
      </c>
      <c r="D187" s="41">
        <f t="shared" si="3"/>
        <v>0</v>
      </c>
    </row>
    <row r="188" spans="1:4" x14ac:dyDescent="0.25">
      <c r="A188" s="33">
        <v>186</v>
      </c>
      <c r="B188" s="40">
        <f>DATA!E192</f>
        <v>0</v>
      </c>
      <c r="C188" s="40">
        <f>DATA!F192</f>
        <v>0</v>
      </c>
      <c r="D188" s="41">
        <f t="shared" si="3"/>
        <v>0</v>
      </c>
    </row>
    <row r="189" spans="1:4" x14ac:dyDescent="0.25">
      <c r="A189" s="33">
        <v>187</v>
      </c>
      <c r="B189" s="40">
        <f>DATA!E193</f>
        <v>0</v>
      </c>
      <c r="C189" s="40">
        <f>DATA!F193</f>
        <v>0</v>
      </c>
      <c r="D189" s="41">
        <f t="shared" si="3"/>
        <v>0</v>
      </c>
    </row>
    <row r="190" spans="1:4" x14ac:dyDescent="0.25">
      <c r="A190" s="33">
        <v>188</v>
      </c>
      <c r="B190" s="40">
        <f>DATA!E194</f>
        <v>0</v>
      </c>
      <c r="C190" s="40">
        <f>DATA!F194</f>
        <v>0</v>
      </c>
      <c r="D190" s="41">
        <f t="shared" si="3"/>
        <v>0</v>
      </c>
    </row>
    <row r="191" spans="1:4" x14ac:dyDescent="0.25">
      <c r="A191" s="33">
        <v>189</v>
      </c>
      <c r="B191" s="40">
        <f>DATA!E195</f>
        <v>0</v>
      </c>
      <c r="C191" s="40">
        <f>DATA!F195</f>
        <v>0</v>
      </c>
      <c r="D191" s="41">
        <f t="shared" si="3"/>
        <v>0</v>
      </c>
    </row>
    <row r="192" spans="1:4" x14ac:dyDescent="0.25">
      <c r="A192" s="33">
        <v>190</v>
      </c>
      <c r="B192" s="40">
        <f>DATA!E196</f>
        <v>0</v>
      </c>
      <c r="C192" s="40">
        <f>DATA!F196</f>
        <v>0</v>
      </c>
      <c r="D192" s="41">
        <f t="shared" si="3"/>
        <v>0</v>
      </c>
    </row>
    <row r="193" spans="1:4" x14ac:dyDescent="0.25">
      <c r="A193" s="33">
        <v>191</v>
      </c>
      <c r="B193" s="40">
        <f>DATA!E197</f>
        <v>0</v>
      </c>
      <c r="C193" s="40">
        <f>DATA!F197</f>
        <v>0</v>
      </c>
      <c r="D193" s="41">
        <f t="shared" si="3"/>
        <v>0</v>
      </c>
    </row>
    <row r="194" spans="1:4" x14ac:dyDescent="0.25">
      <c r="A194" s="33">
        <v>192</v>
      </c>
      <c r="B194" s="40">
        <f>DATA!E198</f>
        <v>0</v>
      </c>
      <c r="C194" s="40">
        <f>DATA!F198</f>
        <v>0</v>
      </c>
      <c r="D194" s="41">
        <f t="shared" si="3"/>
        <v>0</v>
      </c>
    </row>
    <row r="195" spans="1:4" x14ac:dyDescent="0.25">
      <c r="A195" s="33">
        <v>193</v>
      </c>
      <c r="B195" s="40">
        <f>DATA!E199</f>
        <v>0</v>
      </c>
      <c r="C195" s="40">
        <f>DATA!F199</f>
        <v>0</v>
      </c>
      <c r="D195" s="41">
        <f t="shared" si="3"/>
        <v>0</v>
      </c>
    </row>
    <row r="196" spans="1:4" x14ac:dyDescent="0.25">
      <c r="A196" s="33">
        <v>194</v>
      </c>
      <c r="B196" s="40">
        <f>DATA!E200</f>
        <v>0</v>
      </c>
      <c r="C196" s="40">
        <f>DATA!F200</f>
        <v>0</v>
      </c>
      <c r="D196" s="41">
        <f t="shared" si="3"/>
        <v>0</v>
      </c>
    </row>
    <row r="197" spans="1:4" x14ac:dyDescent="0.25">
      <c r="A197" s="33">
        <v>195</v>
      </c>
      <c r="B197" s="40">
        <f>DATA!E201</f>
        <v>0</v>
      </c>
      <c r="C197" s="40">
        <f>DATA!F201</f>
        <v>0</v>
      </c>
      <c r="D197" s="41">
        <f t="shared" si="3"/>
        <v>0</v>
      </c>
    </row>
    <row r="198" spans="1:4" x14ac:dyDescent="0.25">
      <c r="A198" s="33">
        <v>196</v>
      </c>
      <c r="B198" s="40">
        <f>DATA!E202</f>
        <v>0</v>
      </c>
      <c r="C198" s="40">
        <f>DATA!F202</f>
        <v>0</v>
      </c>
      <c r="D198" s="41">
        <f t="shared" si="3"/>
        <v>0</v>
      </c>
    </row>
    <row r="199" spans="1:4" x14ac:dyDescent="0.25">
      <c r="A199" s="33">
        <v>197</v>
      </c>
      <c r="B199" s="40">
        <f>DATA!E203</f>
        <v>0</v>
      </c>
      <c r="C199" s="40">
        <f>DATA!F203</f>
        <v>0</v>
      </c>
      <c r="D199" s="41">
        <f t="shared" si="3"/>
        <v>0</v>
      </c>
    </row>
    <row r="200" spans="1:4" x14ac:dyDescent="0.25">
      <c r="A200" s="33">
        <v>198</v>
      </c>
      <c r="B200" s="40">
        <f>DATA!E204</f>
        <v>0</v>
      </c>
      <c r="C200" s="40">
        <f>DATA!F204</f>
        <v>0</v>
      </c>
      <c r="D200" s="41">
        <f t="shared" si="3"/>
        <v>0</v>
      </c>
    </row>
    <row r="201" spans="1:4" x14ac:dyDescent="0.25">
      <c r="A201" s="33">
        <v>199</v>
      </c>
      <c r="B201" s="40">
        <f>DATA!E205</f>
        <v>0</v>
      </c>
      <c r="C201" s="40">
        <f>DATA!F205</f>
        <v>0</v>
      </c>
      <c r="D201" s="41">
        <f t="shared" si="3"/>
        <v>0</v>
      </c>
    </row>
    <row r="202" spans="1:4" x14ac:dyDescent="0.25">
      <c r="A202" s="33">
        <v>200</v>
      </c>
      <c r="B202" s="40">
        <f>DATA!E206</f>
        <v>0</v>
      </c>
      <c r="C202" s="40">
        <f>DATA!F206</f>
        <v>0</v>
      </c>
      <c r="D202" s="41">
        <f t="shared" si="3"/>
        <v>0</v>
      </c>
    </row>
  </sheetData>
  <conditionalFormatting sqref="F22">
    <cfRule type="expression" dxfId="6" priority="1">
      <formula>$F$22&lt;-0.02</formula>
    </cfRule>
    <cfRule type="expression" dxfId="5" priority="9">
      <formula>$F$22&gt;0.02</formula>
    </cfRule>
  </conditionalFormatting>
  <conditionalFormatting sqref="F12">
    <cfRule type="expression" dxfId="4" priority="2">
      <formula>$F$12&lt;-0.02</formula>
    </cfRule>
    <cfRule type="expression" dxfId="3" priority="3">
      <formula>$F$12&gt;0.02</formula>
    </cfRule>
  </conditionalFormatting>
  <pageMargins left="0.7" right="0.7" top="0.75" bottom="0.75" header="0.3" footer="0.3"/>
  <pageSetup scale="90" fitToHeight="0" orientation="portrait" horizontalDpi="1200" verticalDpi="1200" r:id="rId1"/>
  <headerFooter>
    <oddHeader>&amp;C&amp;F</oddHeader>
    <oddFooter>&amp;CPage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GU97"/>
  <sheetViews>
    <sheetView zoomScaleNormal="100" workbookViewId="0"/>
  </sheetViews>
  <sheetFormatPr defaultColWidth="9.140625" defaultRowHeight="15" x14ac:dyDescent="0.25"/>
  <cols>
    <col min="1" max="1" width="21.42578125" style="143" bestFit="1" customWidth="1"/>
    <col min="2" max="2" width="9.140625" style="180" bestFit="1" customWidth="1"/>
    <col min="3" max="3" width="11.28515625" style="144" customWidth="1"/>
    <col min="4" max="23" width="10.28515625" style="144" hidden="1" customWidth="1"/>
    <col min="24" max="33" width="10.28515625" style="143" hidden="1" customWidth="1"/>
    <col min="34" max="203" width="9.140625" style="143" hidden="1" customWidth="1"/>
    <col min="204" max="16384" width="9.140625" style="143"/>
  </cols>
  <sheetData>
    <row r="1" spans="1:203" s="148" customFormat="1" x14ac:dyDescent="0.25">
      <c r="A1" s="145" t="s">
        <v>278</v>
      </c>
      <c r="B1" s="174" t="s">
        <v>64</v>
      </c>
      <c r="C1" s="139" t="s">
        <v>21</v>
      </c>
      <c r="D1" s="146">
        <v>1</v>
      </c>
      <c r="E1" s="147">
        <v>2</v>
      </c>
      <c r="F1" s="146">
        <v>3</v>
      </c>
      <c r="G1" s="146">
        <v>4</v>
      </c>
      <c r="H1" s="146">
        <v>5</v>
      </c>
      <c r="I1" s="146">
        <v>6</v>
      </c>
      <c r="J1" s="146">
        <v>7</v>
      </c>
      <c r="K1" s="146">
        <v>8</v>
      </c>
      <c r="L1" s="146">
        <v>9</v>
      </c>
      <c r="M1" s="146">
        <v>10</v>
      </c>
      <c r="N1" s="146">
        <v>11</v>
      </c>
      <c r="O1" s="146">
        <v>12</v>
      </c>
      <c r="P1" s="146">
        <v>13</v>
      </c>
      <c r="Q1" s="146">
        <v>14</v>
      </c>
      <c r="R1" s="146">
        <v>15</v>
      </c>
      <c r="S1" s="146">
        <v>16</v>
      </c>
      <c r="T1" s="146">
        <v>17</v>
      </c>
      <c r="U1" s="146">
        <v>18</v>
      </c>
      <c r="V1" s="146">
        <v>19</v>
      </c>
      <c r="W1" s="146">
        <v>20</v>
      </c>
      <c r="X1" s="146">
        <v>21</v>
      </c>
      <c r="Y1" s="146">
        <v>22</v>
      </c>
      <c r="Z1" s="146">
        <v>23</v>
      </c>
      <c r="AA1" s="146">
        <v>24</v>
      </c>
      <c r="AB1" s="146">
        <v>25</v>
      </c>
      <c r="AC1" s="146">
        <v>26</v>
      </c>
      <c r="AD1" s="146">
        <v>27</v>
      </c>
      <c r="AE1" s="146">
        <v>28</v>
      </c>
      <c r="AF1" s="146">
        <v>29</v>
      </c>
      <c r="AG1" s="146">
        <v>30</v>
      </c>
      <c r="AH1" s="146">
        <v>31</v>
      </c>
      <c r="AI1" s="146">
        <v>32</v>
      </c>
      <c r="AJ1" s="146">
        <v>33</v>
      </c>
      <c r="AK1" s="146">
        <v>34</v>
      </c>
      <c r="AL1" s="146">
        <v>35</v>
      </c>
      <c r="AM1" s="146">
        <v>36</v>
      </c>
      <c r="AN1" s="146">
        <v>37</v>
      </c>
      <c r="AO1" s="146">
        <v>38</v>
      </c>
      <c r="AP1" s="146">
        <v>39</v>
      </c>
      <c r="AQ1" s="146">
        <v>40</v>
      </c>
      <c r="AR1" s="146">
        <v>41</v>
      </c>
      <c r="AS1" s="146">
        <v>42</v>
      </c>
      <c r="AT1" s="146">
        <v>43</v>
      </c>
      <c r="AU1" s="146">
        <v>44</v>
      </c>
      <c r="AV1" s="146">
        <v>45</v>
      </c>
      <c r="AW1" s="146">
        <v>46</v>
      </c>
      <c r="AX1" s="146">
        <v>47</v>
      </c>
      <c r="AY1" s="146">
        <v>48</v>
      </c>
      <c r="AZ1" s="146">
        <v>49</v>
      </c>
      <c r="BA1" s="146">
        <v>50</v>
      </c>
      <c r="BB1" s="146">
        <v>51</v>
      </c>
      <c r="BC1" s="146">
        <v>52</v>
      </c>
      <c r="BD1" s="146">
        <v>53</v>
      </c>
      <c r="BE1" s="146">
        <v>54</v>
      </c>
      <c r="BF1" s="146">
        <v>55</v>
      </c>
      <c r="BG1" s="146">
        <v>56</v>
      </c>
      <c r="BH1" s="146">
        <v>57</v>
      </c>
      <c r="BI1" s="146">
        <v>58</v>
      </c>
      <c r="BJ1" s="146">
        <v>59</v>
      </c>
      <c r="BK1" s="146">
        <v>60</v>
      </c>
      <c r="BL1" s="146">
        <v>61</v>
      </c>
      <c r="BM1" s="146">
        <v>62</v>
      </c>
      <c r="BN1" s="146">
        <v>63</v>
      </c>
      <c r="BO1" s="146">
        <v>64</v>
      </c>
      <c r="BP1" s="146">
        <v>65</v>
      </c>
      <c r="BQ1" s="146">
        <v>66</v>
      </c>
      <c r="BR1" s="146">
        <v>67</v>
      </c>
      <c r="BS1" s="146">
        <v>68</v>
      </c>
      <c r="BT1" s="146">
        <v>69</v>
      </c>
      <c r="BU1" s="146">
        <v>70</v>
      </c>
      <c r="BV1" s="146">
        <v>71</v>
      </c>
      <c r="BW1" s="146">
        <v>72</v>
      </c>
      <c r="BX1" s="146">
        <v>73</v>
      </c>
      <c r="BY1" s="146">
        <v>74</v>
      </c>
      <c r="BZ1" s="146">
        <v>75</v>
      </c>
      <c r="CA1" s="146">
        <v>76</v>
      </c>
      <c r="CB1" s="146">
        <v>77</v>
      </c>
      <c r="CC1" s="146">
        <v>78</v>
      </c>
      <c r="CD1" s="146">
        <v>79</v>
      </c>
      <c r="CE1" s="146">
        <v>80</v>
      </c>
      <c r="CF1" s="146">
        <v>81</v>
      </c>
      <c r="CG1" s="146">
        <v>82</v>
      </c>
      <c r="CH1" s="146">
        <v>83</v>
      </c>
      <c r="CI1" s="146">
        <v>84</v>
      </c>
      <c r="CJ1" s="146">
        <v>85</v>
      </c>
      <c r="CK1" s="146">
        <v>86</v>
      </c>
      <c r="CL1" s="146">
        <v>87</v>
      </c>
      <c r="CM1" s="146">
        <v>88</v>
      </c>
      <c r="CN1" s="146">
        <v>89</v>
      </c>
      <c r="CO1" s="146">
        <v>90</v>
      </c>
      <c r="CP1" s="146">
        <v>91</v>
      </c>
      <c r="CQ1" s="146">
        <v>92</v>
      </c>
      <c r="CR1" s="146">
        <v>93</v>
      </c>
      <c r="CS1" s="146">
        <v>94</v>
      </c>
      <c r="CT1" s="146">
        <v>95</v>
      </c>
      <c r="CU1" s="146">
        <v>96</v>
      </c>
      <c r="CV1" s="146">
        <v>97</v>
      </c>
      <c r="CW1" s="146">
        <v>98</v>
      </c>
      <c r="CX1" s="146">
        <v>99</v>
      </c>
      <c r="CY1" s="146">
        <v>100</v>
      </c>
      <c r="CZ1" s="146">
        <v>101</v>
      </c>
      <c r="DA1" s="146">
        <v>102</v>
      </c>
      <c r="DB1" s="146">
        <v>103</v>
      </c>
      <c r="DC1" s="146">
        <v>104</v>
      </c>
      <c r="DD1" s="146">
        <v>105</v>
      </c>
      <c r="DE1" s="146">
        <v>106</v>
      </c>
      <c r="DF1" s="146">
        <v>107</v>
      </c>
      <c r="DG1" s="146">
        <v>108</v>
      </c>
      <c r="DH1" s="146">
        <v>109</v>
      </c>
      <c r="DI1" s="146">
        <v>110</v>
      </c>
      <c r="DJ1" s="146">
        <v>111</v>
      </c>
      <c r="DK1" s="146">
        <v>112</v>
      </c>
      <c r="DL1" s="146">
        <v>113</v>
      </c>
      <c r="DM1" s="146">
        <v>114</v>
      </c>
      <c r="DN1" s="146">
        <v>115</v>
      </c>
      <c r="DO1" s="146">
        <v>116</v>
      </c>
      <c r="DP1" s="146">
        <v>117</v>
      </c>
      <c r="DQ1" s="146">
        <v>118</v>
      </c>
      <c r="DR1" s="146">
        <v>119</v>
      </c>
      <c r="DS1" s="146">
        <v>120</v>
      </c>
      <c r="DT1" s="146">
        <v>121</v>
      </c>
      <c r="DU1" s="146">
        <v>122</v>
      </c>
      <c r="DV1" s="146">
        <v>123</v>
      </c>
      <c r="DW1" s="146">
        <v>124</v>
      </c>
      <c r="DX1" s="146">
        <v>125</v>
      </c>
      <c r="DY1" s="146">
        <v>126</v>
      </c>
      <c r="DZ1" s="146">
        <v>127</v>
      </c>
      <c r="EA1" s="146">
        <v>128</v>
      </c>
      <c r="EB1" s="146">
        <v>129</v>
      </c>
      <c r="EC1" s="146">
        <v>130</v>
      </c>
      <c r="ED1" s="146">
        <v>131</v>
      </c>
      <c r="EE1" s="146">
        <v>132</v>
      </c>
      <c r="EF1" s="146">
        <v>133</v>
      </c>
      <c r="EG1" s="146">
        <v>134</v>
      </c>
      <c r="EH1" s="146">
        <v>135</v>
      </c>
      <c r="EI1" s="146">
        <v>136</v>
      </c>
      <c r="EJ1" s="146">
        <v>137</v>
      </c>
      <c r="EK1" s="146">
        <v>138</v>
      </c>
      <c r="EL1" s="146">
        <v>139</v>
      </c>
      <c r="EM1" s="146">
        <v>140</v>
      </c>
      <c r="EN1" s="146">
        <v>141</v>
      </c>
      <c r="EO1" s="146">
        <v>142</v>
      </c>
      <c r="EP1" s="146">
        <v>143</v>
      </c>
      <c r="EQ1" s="146">
        <v>144</v>
      </c>
      <c r="ER1" s="146">
        <v>145</v>
      </c>
      <c r="ES1" s="146">
        <v>146</v>
      </c>
      <c r="ET1" s="146">
        <v>147</v>
      </c>
      <c r="EU1" s="146">
        <v>148</v>
      </c>
      <c r="EV1" s="146">
        <v>149</v>
      </c>
      <c r="EW1" s="146">
        <v>150</v>
      </c>
      <c r="EX1" s="146">
        <v>151</v>
      </c>
      <c r="EY1" s="146">
        <v>152</v>
      </c>
      <c r="EZ1" s="146">
        <v>153</v>
      </c>
      <c r="FA1" s="146">
        <v>154</v>
      </c>
      <c r="FB1" s="146">
        <v>155</v>
      </c>
      <c r="FC1" s="146">
        <v>156</v>
      </c>
      <c r="FD1" s="146">
        <v>157</v>
      </c>
      <c r="FE1" s="146">
        <v>158</v>
      </c>
      <c r="FF1" s="146">
        <v>159</v>
      </c>
      <c r="FG1" s="146">
        <v>160</v>
      </c>
      <c r="FH1" s="146">
        <v>161</v>
      </c>
      <c r="FI1" s="146">
        <v>162</v>
      </c>
      <c r="FJ1" s="146">
        <v>163</v>
      </c>
      <c r="FK1" s="146">
        <v>164</v>
      </c>
      <c r="FL1" s="146">
        <v>165</v>
      </c>
      <c r="FM1" s="146">
        <v>166</v>
      </c>
      <c r="FN1" s="146">
        <v>167</v>
      </c>
      <c r="FO1" s="146">
        <v>168</v>
      </c>
      <c r="FP1" s="146">
        <v>169</v>
      </c>
      <c r="FQ1" s="146">
        <v>170</v>
      </c>
      <c r="FR1" s="146">
        <v>171</v>
      </c>
      <c r="FS1" s="146">
        <v>172</v>
      </c>
      <c r="FT1" s="146">
        <v>173</v>
      </c>
      <c r="FU1" s="146">
        <v>174</v>
      </c>
      <c r="FV1" s="146">
        <v>175</v>
      </c>
      <c r="FW1" s="146">
        <v>176</v>
      </c>
      <c r="FX1" s="146">
        <v>177</v>
      </c>
      <c r="FY1" s="146">
        <v>178</v>
      </c>
      <c r="FZ1" s="146">
        <v>179</v>
      </c>
      <c r="GA1" s="146">
        <v>180</v>
      </c>
      <c r="GB1" s="146">
        <v>181</v>
      </c>
      <c r="GC1" s="146">
        <v>182</v>
      </c>
      <c r="GD1" s="146">
        <v>183</v>
      </c>
      <c r="GE1" s="146">
        <v>184</v>
      </c>
      <c r="GF1" s="146">
        <v>185</v>
      </c>
      <c r="GG1" s="146">
        <v>186</v>
      </c>
      <c r="GH1" s="146">
        <v>187</v>
      </c>
      <c r="GI1" s="146">
        <v>188</v>
      </c>
      <c r="GJ1" s="146">
        <v>189</v>
      </c>
      <c r="GK1" s="146">
        <v>190</v>
      </c>
      <c r="GL1" s="146">
        <v>191</v>
      </c>
      <c r="GM1" s="146">
        <v>192</v>
      </c>
      <c r="GN1" s="146">
        <v>193</v>
      </c>
      <c r="GO1" s="146">
        <v>194</v>
      </c>
      <c r="GP1" s="146">
        <v>195</v>
      </c>
      <c r="GQ1" s="146">
        <v>196</v>
      </c>
      <c r="GR1" s="146">
        <v>197</v>
      </c>
      <c r="GS1" s="146">
        <v>198</v>
      </c>
      <c r="GT1" s="146">
        <v>199</v>
      </c>
      <c r="GU1" s="146">
        <v>200</v>
      </c>
    </row>
    <row r="2" spans="1:203" x14ac:dyDescent="0.25">
      <c r="A2" s="8" t="s">
        <v>75</v>
      </c>
      <c r="B2" s="175"/>
      <c r="C2" s="62">
        <f t="shared" ref="C2:D2" si="0">C4-C3</f>
        <v>0</v>
      </c>
      <c r="D2" s="62">
        <f t="shared" si="0"/>
        <v>0</v>
      </c>
      <c r="E2" s="62">
        <f t="shared" ref="E2:BP2" si="1">E4-E3</f>
        <v>0</v>
      </c>
      <c r="F2" s="62">
        <f t="shared" si="1"/>
        <v>0</v>
      </c>
      <c r="G2" s="62">
        <f t="shared" si="1"/>
        <v>0</v>
      </c>
      <c r="H2" s="62">
        <f t="shared" si="1"/>
        <v>0</v>
      </c>
      <c r="I2" s="62">
        <f t="shared" si="1"/>
        <v>0</v>
      </c>
      <c r="J2" s="62">
        <f t="shared" si="1"/>
        <v>0</v>
      </c>
      <c r="K2" s="62">
        <f t="shared" si="1"/>
        <v>0</v>
      </c>
      <c r="L2" s="62">
        <f t="shared" si="1"/>
        <v>0</v>
      </c>
      <c r="M2" s="62">
        <f t="shared" si="1"/>
        <v>0</v>
      </c>
      <c r="N2" s="62">
        <f t="shared" si="1"/>
        <v>0</v>
      </c>
      <c r="O2" s="62">
        <f t="shared" si="1"/>
        <v>0</v>
      </c>
      <c r="P2" s="62">
        <f t="shared" si="1"/>
        <v>0</v>
      </c>
      <c r="Q2" s="62">
        <f t="shared" si="1"/>
        <v>0</v>
      </c>
      <c r="R2" s="62">
        <f t="shared" si="1"/>
        <v>0</v>
      </c>
      <c r="S2" s="62">
        <f t="shared" si="1"/>
        <v>0</v>
      </c>
      <c r="T2" s="62">
        <f t="shared" si="1"/>
        <v>0</v>
      </c>
      <c r="U2" s="62">
        <f t="shared" si="1"/>
        <v>0</v>
      </c>
      <c r="V2" s="62">
        <f t="shared" si="1"/>
        <v>0</v>
      </c>
      <c r="W2" s="62">
        <f t="shared" si="1"/>
        <v>0</v>
      </c>
      <c r="X2" s="62">
        <f t="shared" si="1"/>
        <v>0</v>
      </c>
      <c r="Y2" s="62">
        <f t="shared" si="1"/>
        <v>0</v>
      </c>
      <c r="Z2" s="62">
        <f t="shared" si="1"/>
        <v>0</v>
      </c>
      <c r="AA2" s="62">
        <f t="shared" si="1"/>
        <v>0</v>
      </c>
      <c r="AB2" s="62">
        <f t="shared" si="1"/>
        <v>0</v>
      </c>
      <c r="AC2" s="62">
        <f t="shared" si="1"/>
        <v>0</v>
      </c>
      <c r="AD2" s="62">
        <f t="shared" si="1"/>
        <v>0</v>
      </c>
      <c r="AE2" s="62">
        <f t="shared" si="1"/>
        <v>0</v>
      </c>
      <c r="AF2" s="62">
        <f t="shared" si="1"/>
        <v>0</v>
      </c>
      <c r="AG2" s="62">
        <f t="shared" si="1"/>
        <v>0</v>
      </c>
      <c r="AH2" s="62">
        <f t="shared" si="1"/>
        <v>0</v>
      </c>
      <c r="AI2" s="62">
        <f t="shared" si="1"/>
        <v>0</v>
      </c>
      <c r="AJ2" s="62">
        <f t="shared" si="1"/>
        <v>0</v>
      </c>
      <c r="AK2" s="62">
        <f t="shared" si="1"/>
        <v>0</v>
      </c>
      <c r="AL2" s="62">
        <f t="shared" si="1"/>
        <v>0</v>
      </c>
      <c r="AM2" s="62">
        <f t="shared" si="1"/>
        <v>0</v>
      </c>
      <c r="AN2" s="62">
        <f t="shared" si="1"/>
        <v>0</v>
      </c>
      <c r="AO2" s="62">
        <f t="shared" si="1"/>
        <v>0</v>
      </c>
      <c r="AP2" s="62">
        <f t="shared" si="1"/>
        <v>0</v>
      </c>
      <c r="AQ2" s="62">
        <f t="shared" si="1"/>
        <v>0</v>
      </c>
      <c r="AR2" s="62">
        <f t="shared" si="1"/>
        <v>0</v>
      </c>
      <c r="AS2" s="62">
        <f t="shared" si="1"/>
        <v>0</v>
      </c>
      <c r="AT2" s="62">
        <f t="shared" si="1"/>
        <v>0</v>
      </c>
      <c r="AU2" s="62">
        <f t="shared" si="1"/>
        <v>0</v>
      </c>
      <c r="AV2" s="62">
        <f t="shared" si="1"/>
        <v>0</v>
      </c>
      <c r="AW2" s="62">
        <f t="shared" si="1"/>
        <v>0</v>
      </c>
      <c r="AX2" s="62">
        <f t="shared" si="1"/>
        <v>0</v>
      </c>
      <c r="AY2" s="62">
        <f t="shared" si="1"/>
        <v>0</v>
      </c>
      <c r="AZ2" s="62">
        <f t="shared" si="1"/>
        <v>0</v>
      </c>
      <c r="BA2" s="62">
        <f t="shared" si="1"/>
        <v>0</v>
      </c>
      <c r="BB2" s="62">
        <f t="shared" si="1"/>
        <v>0</v>
      </c>
      <c r="BC2" s="62">
        <f t="shared" si="1"/>
        <v>0</v>
      </c>
      <c r="BD2" s="62">
        <f t="shared" si="1"/>
        <v>0</v>
      </c>
      <c r="BE2" s="62">
        <f t="shared" si="1"/>
        <v>0</v>
      </c>
      <c r="BF2" s="62">
        <f t="shared" si="1"/>
        <v>0</v>
      </c>
      <c r="BG2" s="62">
        <f t="shared" si="1"/>
        <v>0</v>
      </c>
      <c r="BH2" s="62">
        <f t="shared" si="1"/>
        <v>0</v>
      </c>
      <c r="BI2" s="62">
        <f t="shared" si="1"/>
        <v>0</v>
      </c>
      <c r="BJ2" s="62">
        <f t="shared" si="1"/>
        <v>0</v>
      </c>
      <c r="BK2" s="62">
        <f t="shared" si="1"/>
        <v>0</v>
      </c>
      <c r="BL2" s="62">
        <f t="shared" si="1"/>
        <v>0</v>
      </c>
      <c r="BM2" s="62">
        <f t="shared" si="1"/>
        <v>0</v>
      </c>
      <c r="BN2" s="62">
        <f t="shared" si="1"/>
        <v>0</v>
      </c>
      <c r="BO2" s="62">
        <f t="shared" si="1"/>
        <v>0</v>
      </c>
      <c r="BP2" s="62">
        <f t="shared" si="1"/>
        <v>0</v>
      </c>
      <c r="BQ2" s="62">
        <f t="shared" ref="BQ2:EB2" si="2">BQ4-BQ3</f>
        <v>0</v>
      </c>
      <c r="BR2" s="62">
        <f t="shared" si="2"/>
        <v>0</v>
      </c>
      <c r="BS2" s="62">
        <f t="shared" si="2"/>
        <v>0</v>
      </c>
      <c r="BT2" s="62">
        <f t="shared" si="2"/>
        <v>0</v>
      </c>
      <c r="BU2" s="62">
        <f t="shared" si="2"/>
        <v>0</v>
      </c>
      <c r="BV2" s="62">
        <f t="shared" si="2"/>
        <v>0</v>
      </c>
      <c r="BW2" s="62">
        <f t="shared" si="2"/>
        <v>0</v>
      </c>
      <c r="BX2" s="62">
        <f t="shared" si="2"/>
        <v>0</v>
      </c>
      <c r="BY2" s="62">
        <f t="shared" si="2"/>
        <v>0</v>
      </c>
      <c r="BZ2" s="62">
        <f t="shared" si="2"/>
        <v>0</v>
      </c>
      <c r="CA2" s="62">
        <f t="shared" si="2"/>
        <v>0</v>
      </c>
      <c r="CB2" s="62">
        <f t="shared" si="2"/>
        <v>0</v>
      </c>
      <c r="CC2" s="62">
        <f t="shared" si="2"/>
        <v>0</v>
      </c>
      <c r="CD2" s="62">
        <f t="shared" si="2"/>
        <v>0</v>
      </c>
      <c r="CE2" s="62">
        <f t="shared" si="2"/>
        <v>0</v>
      </c>
      <c r="CF2" s="62">
        <f t="shared" si="2"/>
        <v>0</v>
      </c>
      <c r="CG2" s="62">
        <f t="shared" si="2"/>
        <v>0</v>
      </c>
      <c r="CH2" s="62">
        <f t="shared" si="2"/>
        <v>0</v>
      </c>
      <c r="CI2" s="62">
        <f t="shared" si="2"/>
        <v>0</v>
      </c>
      <c r="CJ2" s="62">
        <f t="shared" si="2"/>
        <v>0</v>
      </c>
      <c r="CK2" s="62">
        <f t="shared" si="2"/>
        <v>0</v>
      </c>
      <c r="CL2" s="62">
        <f t="shared" si="2"/>
        <v>0</v>
      </c>
      <c r="CM2" s="62">
        <f t="shared" si="2"/>
        <v>0</v>
      </c>
      <c r="CN2" s="62">
        <f t="shared" si="2"/>
        <v>0</v>
      </c>
      <c r="CO2" s="62">
        <f t="shared" si="2"/>
        <v>0</v>
      </c>
      <c r="CP2" s="62">
        <f t="shared" si="2"/>
        <v>0</v>
      </c>
      <c r="CQ2" s="62">
        <f t="shared" si="2"/>
        <v>0</v>
      </c>
      <c r="CR2" s="62">
        <f t="shared" si="2"/>
        <v>0</v>
      </c>
      <c r="CS2" s="62">
        <f t="shared" si="2"/>
        <v>0</v>
      </c>
      <c r="CT2" s="62">
        <f t="shared" si="2"/>
        <v>0</v>
      </c>
      <c r="CU2" s="62">
        <f t="shared" si="2"/>
        <v>0</v>
      </c>
      <c r="CV2" s="62">
        <f t="shared" si="2"/>
        <v>0</v>
      </c>
      <c r="CW2" s="62">
        <f t="shared" si="2"/>
        <v>0</v>
      </c>
      <c r="CX2" s="62">
        <f t="shared" si="2"/>
        <v>0</v>
      </c>
      <c r="CY2" s="62">
        <f t="shared" si="2"/>
        <v>0</v>
      </c>
      <c r="CZ2" s="62">
        <f t="shared" si="2"/>
        <v>0</v>
      </c>
      <c r="DA2" s="62">
        <f t="shared" si="2"/>
        <v>0</v>
      </c>
      <c r="DB2" s="62">
        <f t="shared" si="2"/>
        <v>0</v>
      </c>
      <c r="DC2" s="62">
        <f t="shared" si="2"/>
        <v>0</v>
      </c>
      <c r="DD2" s="62">
        <f t="shared" si="2"/>
        <v>0</v>
      </c>
      <c r="DE2" s="62">
        <f t="shared" si="2"/>
        <v>0</v>
      </c>
      <c r="DF2" s="62">
        <f t="shared" si="2"/>
        <v>0</v>
      </c>
      <c r="DG2" s="62">
        <f t="shared" si="2"/>
        <v>0</v>
      </c>
      <c r="DH2" s="62">
        <f t="shared" si="2"/>
        <v>0</v>
      </c>
      <c r="DI2" s="62">
        <f t="shared" si="2"/>
        <v>0</v>
      </c>
      <c r="DJ2" s="62">
        <f t="shared" si="2"/>
        <v>0</v>
      </c>
      <c r="DK2" s="62">
        <f t="shared" si="2"/>
        <v>0</v>
      </c>
      <c r="DL2" s="62">
        <f t="shared" si="2"/>
        <v>0</v>
      </c>
      <c r="DM2" s="62">
        <f t="shared" si="2"/>
        <v>0</v>
      </c>
      <c r="DN2" s="62">
        <f t="shared" si="2"/>
        <v>0</v>
      </c>
      <c r="DO2" s="62">
        <f t="shared" si="2"/>
        <v>0</v>
      </c>
      <c r="DP2" s="62">
        <f t="shared" si="2"/>
        <v>0</v>
      </c>
      <c r="DQ2" s="62">
        <f t="shared" si="2"/>
        <v>0</v>
      </c>
      <c r="DR2" s="62">
        <f t="shared" si="2"/>
        <v>0</v>
      </c>
      <c r="DS2" s="62">
        <f t="shared" si="2"/>
        <v>0</v>
      </c>
      <c r="DT2" s="62">
        <f t="shared" si="2"/>
        <v>0</v>
      </c>
      <c r="DU2" s="62">
        <f t="shared" si="2"/>
        <v>0</v>
      </c>
      <c r="DV2" s="62">
        <f t="shared" si="2"/>
        <v>0</v>
      </c>
      <c r="DW2" s="62">
        <f t="shared" si="2"/>
        <v>0</v>
      </c>
      <c r="DX2" s="62">
        <f t="shared" si="2"/>
        <v>0</v>
      </c>
      <c r="DY2" s="62">
        <f t="shared" si="2"/>
        <v>0</v>
      </c>
      <c r="DZ2" s="62">
        <f t="shared" si="2"/>
        <v>0</v>
      </c>
      <c r="EA2" s="62">
        <f t="shared" si="2"/>
        <v>0</v>
      </c>
      <c r="EB2" s="62">
        <f t="shared" si="2"/>
        <v>0</v>
      </c>
      <c r="EC2" s="62">
        <f t="shared" ref="EC2:GN2" si="3">EC4-EC3</f>
        <v>0</v>
      </c>
      <c r="ED2" s="62">
        <f t="shared" si="3"/>
        <v>0</v>
      </c>
      <c r="EE2" s="62">
        <f t="shared" si="3"/>
        <v>0</v>
      </c>
      <c r="EF2" s="62">
        <f t="shared" si="3"/>
        <v>0</v>
      </c>
      <c r="EG2" s="62">
        <f t="shared" si="3"/>
        <v>0</v>
      </c>
      <c r="EH2" s="62">
        <f t="shared" si="3"/>
        <v>0</v>
      </c>
      <c r="EI2" s="62">
        <f t="shared" si="3"/>
        <v>0</v>
      </c>
      <c r="EJ2" s="62">
        <f t="shared" si="3"/>
        <v>0</v>
      </c>
      <c r="EK2" s="62">
        <f t="shared" si="3"/>
        <v>0</v>
      </c>
      <c r="EL2" s="62">
        <f t="shared" si="3"/>
        <v>0</v>
      </c>
      <c r="EM2" s="62">
        <f t="shared" si="3"/>
        <v>0</v>
      </c>
      <c r="EN2" s="62">
        <f t="shared" si="3"/>
        <v>0</v>
      </c>
      <c r="EO2" s="62">
        <f t="shared" si="3"/>
        <v>0</v>
      </c>
      <c r="EP2" s="62">
        <f t="shared" si="3"/>
        <v>0</v>
      </c>
      <c r="EQ2" s="62">
        <f t="shared" si="3"/>
        <v>0</v>
      </c>
      <c r="ER2" s="62">
        <f t="shared" si="3"/>
        <v>0</v>
      </c>
      <c r="ES2" s="62">
        <f t="shared" si="3"/>
        <v>0</v>
      </c>
      <c r="ET2" s="62">
        <f t="shared" si="3"/>
        <v>0</v>
      </c>
      <c r="EU2" s="62">
        <f t="shared" si="3"/>
        <v>0</v>
      </c>
      <c r="EV2" s="62">
        <f t="shared" si="3"/>
        <v>0</v>
      </c>
      <c r="EW2" s="62">
        <f t="shared" si="3"/>
        <v>0</v>
      </c>
      <c r="EX2" s="62">
        <f t="shared" si="3"/>
        <v>0</v>
      </c>
      <c r="EY2" s="62">
        <f t="shared" si="3"/>
        <v>0</v>
      </c>
      <c r="EZ2" s="62">
        <f t="shared" si="3"/>
        <v>0</v>
      </c>
      <c r="FA2" s="62">
        <f t="shared" si="3"/>
        <v>0</v>
      </c>
      <c r="FB2" s="62">
        <f t="shared" si="3"/>
        <v>0</v>
      </c>
      <c r="FC2" s="62">
        <f t="shared" si="3"/>
        <v>0</v>
      </c>
      <c r="FD2" s="62">
        <f t="shared" si="3"/>
        <v>0</v>
      </c>
      <c r="FE2" s="62">
        <f t="shared" si="3"/>
        <v>0</v>
      </c>
      <c r="FF2" s="62">
        <f t="shared" si="3"/>
        <v>0</v>
      </c>
      <c r="FG2" s="62">
        <f t="shared" si="3"/>
        <v>0</v>
      </c>
      <c r="FH2" s="62">
        <f t="shared" si="3"/>
        <v>0</v>
      </c>
      <c r="FI2" s="62">
        <f t="shared" si="3"/>
        <v>0</v>
      </c>
      <c r="FJ2" s="62">
        <f t="shared" si="3"/>
        <v>0</v>
      </c>
      <c r="FK2" s="62">
        <f t="shared" si="3"/>
        <v>0</v>
      </c>
      <c r="FL2" s="62">
        <f t="shared" si="3"/>
        <v>0</v>
      </c>
      <c r="FM2" s="62">
        <f t="shared" si="3"/>
        <v>0</v>
      </c>
      <c r="FN2" s="62">
        <f t="shared" si="3"/>
        <v>0</v>
      </c>
      <c r="FO2" s="62">
        <f t="shared" si="3"/>
        <v>0</v>
      </c>
      <c r="FP2" s="62">
        <f t="shared" si="3"/>
        <v>0</v>
      </c>
      <c r="FQ2" s="62">
        <f t="shared" si="3"/>
        <v>0</v>
      </c>
      <c r="FR2" s="62">
        <f t="shared" si="3"/>
        <v>0</v>
      </c>
      <c r="FS2" s="62">
        <f t="shared" si="3"/>
        <v>0</v>
      </c>
      <c r="FT2" s="62">
        <f t="shared" si="3"/>
        <v>0</v>
      </c>
      <c r="FU2" s="62">
        <f t="shared" si="3"/>
        <v>0</v>
      </c>
      <c r="FV2" s="62">
        <f t="shared" si="3"/>
        <v>0</v>
      </c>
      <c r="FW2" s="62">
        <f t="shared" si="3"/>
        <v>0</v>
      </c>
      <c r="FX2" s="62">
        <f t="shared" si="3"/>
        <v>0</v>
      </c>
      <c r="FY2" s="62">
        <f t="shared" si="3"/>
        <v>0</v>
      </c>
      <c r="FZ2" s="62">
        <f t="shared" si="3"/>
        <v>0</v>
      </c>
      <c r="GA2" s="62">
        <f t="shared" si="3"/>
        <v>0</v>
      </c>
      <c r="GB2" s="62">
        <f t="shared" si="3"/>
        <v>0</v>
      </c>
      <c r="GC2" s="62">
        <f t="shared" si="3"/>
        <v>0</v>
      </c>
      <c r="GD2" s="62">
        <f t="shared" si="3"/>
        <v>0</v>
      </c>
      <c r="GE2" s="62">
        <f t="shared" si="3"/>
        <v>0</v>
      </c>
      <c r="GF2" s="62">
        <f t="shared" si="3"/>
        <v>0</v>
      </c>
      <c r="GG2" s="62">
        <f t="shared" si="3"/>
        <v>0</v>
      </c>
      <c r="GH2" s="62">
        <f t="shared" si="3"/>
        <v>0</v>
      </c>
      <c r="GI2" s="62">
        <f t="shared" si="3"/>
        <v>0</v>
      </c>
      <c r="GJ2" s="62">
        <f t="shared" si="3"/>
        <v>0</v>
      </c>
      <c r="GK2" s="62">
        <f t="shared" si="3"/>
        <v>0</v>
      </c>
      <c r="GL2" s="62">
        <f t="shared" si="3"/>
        <v>0</v>
      </c>
      <c r="GM2" s="62">
        <f t="shared" si="3"/>
        <v>0</v>
      </c>
      <c r="GN2" s="62">
        <f t="shared" si="3"/>
        <v>0</v>
      </c>
      <c r="GO2" s="62">
        <f t="shared" ref="GO2:GU2" si="4">GO4-GO3</f>
        <v>0</v>
      </c>
      <c r="GP2" s="62">
        <f t="shared" si="4"/>
        <v>0</v>
      </c>
      <c r="GQ2" s="62">
        <f t="shared" si="4"/>
        <v>0</v>
      </c>
      <c r="GR2" s="62">
        <f t="shared" si="4"/>
        <v>0</v>
      </c>
      <c r="GS2" s="62">
        <f t="shared" si="4"/>
        <v>0</v>
      </c>
      <c r="GT2" s="62">
        <f t="shared" si="4"/>
        <v>0</v>
      </c>
      <c r="GU2" s="62">
        <f t="shared" si="4"/>
        <v>0</v>
      </c>
    </row>
    <row r="3" spans="1:203" x14ac:dyDescent="0.25">
      <c r="A3" s="8" t="s">
        <v>79</v>
      </c>
      <c r="B3" s="175"/>
      <c r="C3" s="62">
        <f>SUM(C10:C84)</f>
        <v>0</v>
      </c>
      <c r="D3" s="62">
        <f>SUM(D10:D84)</f>
        <v>0</v>
      </c>
      <c r="E3" s="62">
        <f t="shared" ref="E3:BP3" si="5">SUM(E10:E84)</f>
        <v>0</v>
      </c>
      <c r="F3" s="62">
        <f t="shared" si="5"/>
        <v>0</v>
      </c>
      <c r="G3" s="62">
        <f t="shared" si="5"/>
        <v>0</v>
      </c>
      <c r="H3" s="62">
        <f t="shared" si="5"/>
        <v>0</v>
      </c>
      <c r="I3" s="62">
        <f t="shared" si="5"/>
        <v>0</v>
      </c>
      <c r="J3" s="62">
        <f t="shared" si="5"/>
        <v>0</v>
      </c>
      <c r="K3" s="62">
        <f t="shared" si="5"/>
        <v>0</v>
      </c>
      <c r="L3" s="62">
        <f t="shared" si="5"/>
        <v>0</v>
      </c>
      <c r="M3" s="62">
        <f t="shared" si="5"/>
        <v>0</v>
      </c>
      <c r="N3" s="62">
        <f t="shared" si="5"/>
        <v>0</v>
      </c>
      <c r="O3" s="62">
        <f t="shared" si="5"/>
        <v>0</v>
      </c>
      <c r="P3" s="62">
        <f t="shared" si="5"/>
        <v>0</v>
      </c>
      <c r="Q3" s="62">
        <f t="shared" si="5"/>
        <v>0</v>
      </c>
      <c r="R3" s="62">
        <f t="shared" si="5"/>
        <v>0</v>
      </c>
      <c r="S3" s="62">
        <f t="shared" si="5"/>
        <v>0</v>
      </c>
      <c r="T3" s="62">
        <f t="shared" si="5"/>
        <v>0</v>
      </c>
      <c r="U3" s="62">
        <f t="shared" si="5"/>
        <v>0</v>
      </c>
      <c r="V3" s="62">
        <f t="shared" si="5"/>
        <v>0</v>
      </c>
      <c r="W3" s="62">
        <f t="shared" si="5"/>
        <v>0</v>
      </c>
      <c r="X3" s="62">
        <f t="shared" si="5"/>
        <v>0</v>
      </c>
      <c r="Y3" s="62">
        <f t="shared" si="5"/>
        <v>0</v>
      </c>
      <c r="Z3" s="62">
        <f t="shared" si="5"/>
        <v>0</v>
      </c>
      <c r="AA3" s="62">
        <f t="shared" si="5"/>
        <v>0</v>
      </c>
      <c r="AB3" s="62">
        <f t="shared" si="5"/>
        <v>0</v>
      </c>
      <c r="AC3" s="62">
        <f t="shared" si="5"/>
        <v>0</v>
      </c>
      <c r="AD3" s="62">
        <f t="shared" si="5"/>
        <v>0</v>
      </c>
      <c r="AE3" s="62">
        <f t="shared" si="5"/>
        <v>0</v>
      </c>
      <c r="AF3" s="62">
        <f t="shared" si="5"/>
        <v>0</v>
      </c>
      <c r="AG3" s="62">
        <f t="shared" si="5"/>
        <v>0</v>
      </c>
      <c r="AH3" s="62">
        <f t="shared" si="5"/>
        <v>0</v>
      </c>
      <c r="AI3" s="62">
        <f t="shared" si="5"/>
        <v>0</v>
      </c>
      <c r="AJ3" s="62">
        <f t="shared" si="5"/>
        <v>0</v>
      </c>
      <c r="AK3" s="62">
        <f t="shared" si="5"/>
        <v>0</v>
      </c>
      <c r="AL3" s="62">
        <f t="shared" si="5"/>
        <v>0</v>
      </c>
      <c r="AM3" s="62">
        <f t="shared" si="5"/>
        <v>0</v>
      </c>
      <c r="AN3" s="62">
        <f t="shared" si="5"/>
        <v>0</v>
      </c>
      <c r="AO3" s="62">
        <f t="shared" si="5"/>
        <v>0</v>
      </c>
      <c r="AP3" s="62">
        <f t="shared" si="5"/>
        <v>0</v>
      </c>
      <c r="AQ3" s="62">
        <f t="shared" si="5"/>
        <v>0</v>
      </c>
      <c r="AR3" s="62">
        <f t="shared" si="5"/>
        <v>0</v>
      </c>
      <c r="AS3" s="62">
        <f t="shared" si="5"/>
        <v>0</v>
      </c>
      <c r="AT3" s="62">
        <f t="shared" si="5"/>
        <v>0</v>
      </c>
      <c r="AU3" s="62">
        <f t="shared" si="5"/>
        <v>0</v>
      </c>
      <c r="AV3" s="62">
        <f t="shared" si="5"/>
        <v>0</v>
      </c>
      <c r="AW3" s="62">
        <f t="shared" si="5"/>
        <v>0</v>
      </c>
      <c r="AX3" s="62">
        <f t="shared" si="5"/>
        <v>0</v>
      </c>
      <c r="AY3" s="62">
        <f t="shared" si="5"/>
        <v>0</v>
      </c>
      <c r="AZ3" s="62">
        <f t="shared" si="5"/>
        <v>0</v>
      </c>
      <c r="BA3" s="62">
        <f t="shared" si="5"/>
        <v>0</v>
      </c>
      <c r="BB3" s="62">
        <f t="shared" si="5"/>
        <v>0</v>
      </c>
      <c r="BC3" s="62">
        <f t="shared" si="5"/>
        <v>0</v>
      </c>
      <c r="BD3" s="62">
        <f t="shared" si="5"/>
        <v>0</v>
      </c>
      <c r="BE3" s="62">
        <f t="shared" si="5"/>
        <v>0</v>
      </c>
      <c r="BF3" s="62">
        <f t="shared" si="5"/>
        <v>0</v>
      </c>
      <c r="BG3" s="62">
        <f t="shared" si="5"/>
        <v>0</v>
      </c>
      <c r="BH3" s="62">
        <f t="shared" si="5"/>
        <v>0</v>
      </c>
      <c r="BI3" s="62">
        <f t="shared" si="5"/>
        <v>0</v>
      </c>
      <c r="BJ3" s="62">
        <f t="shared" si="5"/>
        <v>0</v>
      </c>
      <c r="BK3" s="62">
        <f t="shared" si="5"/>
        <v>0</v>
      </c>
      <c r="BL3" s="62">
        <f t="shared" si="5"/>
        <v>0</v>
      </c>
      <c r="BM3" s="62">
        <f t="shared" si="5"/>
        <v>0</v>
      </c>
      <c r="BN3" s="62">
        <f t="shared" si="5"/>
        <v>0</v>
      </c>
      <c r="BO3" s="62">
        <f t="shared" si="5"/>
        <v>0</v>
      </c>
      <c r="BP3" s="62">
        <f t="shared" si="5"/>
        <v>0</v>
      </c>
      <c r="BQ3" s="62">
        <f t="shared" ref="BQ3:EB3" si="6">SUM(BQ10:BQ84)</f>
        <v>0</v>
      </c>
      <c r="BR3" s="62">
        <f t="shared" si="6"/>
        <v>0</v>
      </c>
      <c r="BS3" s="62">
        <f t="shared" si="6"/>
        <v>0</v>
      </c>
      <c r="BT3" s="62">
        <f t="shared" si="6"/>
        <v>0</v>
      </c>
      <c r="BU3" s="62">
        <f t="shared" si="6"/>
        <v>0</v>
      </c>
      <c r="BV3" s="62">
        <f t="shared" si="6"/>
        <v>0</v>
      </c>
      <c r="BW3" s="62">
        <f t="shared" si="6"/>
        <v>0</v>
      </c>
      <c r="BX3" s="62">
        <f t="shared" si="6"/>
        <v>0</v>
      </c>
      <c r="BY3" s="62">
        <f t="shared" si="6"/>
        <v>0</v>
      </c>
      <c r="BZ3" s="62">
        <f t="shared" si="6"/>
        <v>0</v>
      </c>
      <c r="CA3" s="62">
        <f t="shared" si="6"/>
        <v>0</v>
      </c>
      <c r="CB3" s="62">
        <f t="shared" si="6"/>
        <v>0</v>
      </c>
      <c r="CC3" s="62">
        <f t="shared" si="6"/>
        <v>0</v>
      </c>
      <c r="CD3" s="62">
        <f t="shared" si="6"/>
        <v>0</v>
      </c>
      <c r="CE3" s="62">
        <f t="shared" si="6"/>
        <v>0</v>
      </c>
      <c r="CF3" s="62">
        <f t="shared" si="6"/>
        <v>0</v>
      </c>
      <c r="CG3" s="62">
        <f t="shared" si="6"/>
        <v>0</v>
      </c>
      <c r="CH3" s="62">
        <f t="shared" si="6"/>
        <v>0</v>
      </c>
      <c r="CI3" s="62">
        <f t="shared" si="6"/>
        <v>0</v>
      </c>
      <c r="CJ3" s="62">
        <f t="shared" si="6"/>
        <v>0</v>
      </c>
      <c r="CK3" s="62">
        <f t="shared" si="6"/>
        <v>0</v>
      </c>
      <c r="CL3" s="62">
        <f t="shared" si="6"/>
        <v>0</v>
      </c>
      <c r="CM3" s="62">
        <f t="shared" si="6"/>
        <v>0</v>
      </c>
      <c r="CN3" s="62">
        <f t="shared" si="6"/>
        <v>0</v>
      </c>
      <c r="CO3" s="62">
        <f t="shared" si="6"/>
        <v>0</v>
      </c>
      <c r="CP3" s="62">
        <f t="shared" si="6"/>
        <v>0</v>
      </c>
      <c r="CQ3" s="62">
        <f t="shared" si="6"/>
        <v>0</v>
      </c>
      <c r="CR3" s="62">
        <f t="shared" si="6"/>
        <v>0</v>
      </c>
      <c r="CS3" s="62">
        <f t="shared" si="6"/>
        <v>0</v>
      </c>
      <c r="CT3" s="62">
        <f t="shared" si="6"/>
        <v>0</v>
      </c>
      <c r="CU3" s="62">
        <f t="shared" si="6"/>
        <v>0</v>
      </c>
      <c r="CV3" s="62">
        <f t="shared" si="6"/>
        <v>0</v>
      </c>
      <c r="CW3" s="62">
        <f t="shared" si="6"/>
        <v>0</v>
      </c>
      <c r="CX3" s="62">
        <f t="shared" si="6"/>
        <v>0</v>
      </c>
      <c r="CY3" s="62">
        <f t="shared" si="6"/>
        <v>0</v>
      </c>
      <c r="CZ3" s="62">
        <f t="shared" si="6"/>
        <v>0</v>
      </c>
      <c r="DA3" s="62">
        <f t="shared" si="6"/>
        <v>0</v>
      </c>
      <c r="DB3" s="62">
        <f t="shared" si="6"/>
        <v>0</v>
      </c>
      <c r="DC3" s="62">
        <f t="shared" si="6"/>
        <v>0</v>
      </c>
      <c r="DD3" s="62">
        <f t="shared" si="6"/>
        <v>0</v>
      </c>
      <c r="DE3" s="62">
        <f t="shared" si="6"/>
        <v>0</v>
      </c>
      <c r="DF3" s="62">
        <f t="shared" si="6"/>
        <v>0</v>
      </c>
      <c r="DG3" s="62">
        <f t="shared" si="6"/>
        <v>0</v>
      </c>
      <c r="DH3" s="62">
        <f t="shared" si="6"/>
        <v>0</v>
      </c>
      <c r="DI3" s="62">
        <f t="shared" si="6"/>
        <v>0</v>
      </c>
      <c r="DJ3" s="62">
        <f t="shared" si="6"/>
        <v>0</v>
      </c>
      <c r="DK3" s="62">
        <f t="shared" si="6"/>
        <v>0</v>
      </c>
      <c r="DL3" s="62">
        <f t="shared" si="6"/>
        <v>0</v>
      </c>
      <c r="DM3" s="62">
        <f t="shared" si="6"/>
        <v>0</v>
      </c>
      <c r="DN3" s="62">
        <f t="shared" si="6"/>
        <v>0</v>
      </c>
      <c r="DO3" s="62">
        <f t="shared" si="6"/>
        <v>0</v>
      </c>
      <c r="DP3" s="62">
        <f t="shared" si="6"/>
        <v>0</v>
      </c>
      <c r="DQ3" s="62">
        <f t="shared" si="6"/>
        <v>0</v>
      </c>
      <c r="DR3" s="62">
        <f t="shared" si="6"/>
        <v>0</v>
      </c>
      <c r="DS3" s="62">
        <f t="shared" si="6"/>
        <v>0</v>
      </c>
      <c r="DT3" s="62">
        <f t="shared" si="6"/>
        <v>0</v>
      </c>
      <c r="DU3" s="62">
        <f t="shared" si="6"/>
        <v>0</v>
      </c>
      <c r="DV3" s="62">
        <f t="shared" si="6"/>
        <v>0</v>
      </c>
      <c r="DW3" s="62">
        <f t="shared" si="6"/>
        <v>0</v>
      </c>
      <c r="DX3" s="62">
        <f t="shared" si="6"/>
        <v>0</v>
      </c>
      <c r="DY3" s="62">
        <f t="shared" si="6"/>
        <v>0</v>
      </c>
      <c r="DZ3" s="62">
        <f t="shared" si="6"/>
        <v>0</v>
      </c>
      <c r="EA3" s="62">
        <f t="shared" si="6"/>
        <v>0</v>
      </c>
      <c r="EB3" s="62">
        <f t="shared" si="6"/>
        <v>0</v>
      </c>
      <c r="EC3" s="62">
        <f t="shared" ref="EC3:GN3" si="7">SUM(EC10:EC84)</f>
        <v>0</v>
      </c>
      <c r="ED3" s="62">
        <f t="shared" si="7"/>
        <v>0</v>
      </c>
      <c r="EE3" s="62">
        <f t="shared" si="7"/>
        <v>0</v>
      </c>
      <c r="EF3" s="62">
        <f t="shared" si="7"/>
        <v>0</v>
      </c>
      <c r="EG3" s="62">
        <f t="shared" si="7"/>
        <v>0</v>
      </c>
      <c r="EH3" s="62">
        <f t="shared" si="7"/>
        <v>0</v>
      </c>
      <c r="EI3" s="62">
        <f t="shared" si="7"/>
        <v>0</v>
      </c>
      <c r="EJ3" s="62">
        <f t="shared" si="7"/>
        <v>0</v>
      </c>
      <c r="EK3" s="62">
        <f t="shared" si="7"/>
        <v>0</v>
      </c>
      <c r="EL3" s="62">
        <f t="shared" si="7"/>
        <v>0</v>
      </c>
      <c r="EM3" s="62">
        <f t="shared" si="7"/>
        <v>0</v>
      </c>
      <c r="EN3" s="62">
        <f t="shared" si="7"/>
        <v>0</v>
      </c>
      <c r="EO3" s="62">
        <f t="shared" si="7"/>
        <v>0</v>
      </c>
      <c r="EP3" s="62">
        <f t="shared" si="7"/>
        <v>0</v>
      </c>
      <c r="EQ3" s="62">
        <f t="shared" si="7"/>
        <v>0</v>
      </c>
      <c r="ER3" s="62">
        <f t="shared" si="7"/>
        <v>0</v>
      </c>
      <c r="ES3" s="62">
        <f t="shared" si="7"/>
        <v>0</v>
      </c>
      <c r="ET3" s="62">
        <f t="shared" si="7"/>
        <v>0</v>
      </c>
      <c r="EU3" s="62">
        <f t="shared" si="7"/>
        <v>0</v>
      </c>
      <c r="EV3" s="62">
        <f t="shared" si="7"/>
        <v>0</v>
      </c>
      <c r="EW3" s="62">
        <f t="shared" si="7"/>
        <v>0</v>
      </c>
      <c r="EX3" s="62">
        <f t="shared" si="7"/>
        <v>0</v>
      </c>
      <c r="EY3" s="62">
        <f t="shared" si="7"/>
        <v>0</v>
      </c>
      <c r="EZ3" s="62">
        <f t="shared" si="7"/>
        <v>0</v>
      </c>
      <c r="FA3" s="62">
        <f t="shared" si="7"/>
        <v>0</v>
      </c>
      <c r="FB3" s="62">
        <f t="shared" si="7"/>
        <v>0</v>
      </c>
      <c r="FC3" s="62">
        <f t="shared" si="7"/>
        <v>0</v>
      </c>
      <c r="FD3" s="62">
        <f t="shared" si="7"/>
        <v>0</v>
      </c>
      <c r="FE3" s="62">
        <f t="shared" si="7"/>
        <v>0</v>
      </c>
      <c r="FF3" s="62">
        <f t="shared" si="7"/>
        <v>0</v>
      </c>
      <c r="FG3" s="62">
        <f t="shared" si="7"/>
        <v>0</v>
      </c>
      <c r="FH3" s="62">
        <f t="shared" si="7"/>
        <v>0</v>
      </c>
      <c r="FI3" s="62">
        <f t="shared" si="7"/>
        <v>0</v>
      </c>
      <c r="FJ3" s="62">
        <f t="shared" si="7"/>
        <v>0</v>
      </c>
      <c r="FK3" s="62">
        <f t="shared" si="7"/>
        <v>0</v>
      </c>
      <c r="FL3" s="62">
        <f t="shared" si="7"/>
        <v>0</v>
      </c>
      <c r="FM3" s="62">
        <f t="shared" si="7"/>
        <v>0</v>
      </c>
      <c r="FN3" s="62">
        <f t="shared" si="7"/>
        <v>0</v>
      </c>
      <c r="FO3" s="62">
        <f t="shared" si="7"/>
        <v>0</v>
      </c>
      <c r="FP3" s="62">
        <f t="shared" si="7"/>
        <v>0</v>
      </c>
      <c r="FQ3" s="62">
        <f t="shared" si="7"/>
        <v>0</v>
      </c>
      <c r="FR3" s="62">
        <f t="shared" si="7"/>
        <v>0</v>
      </c>
      <c r="FS3" s="62">
        <f t="shared" si="7"/>
        <v>0</v>
      </c>
      <c r="FT3" s="62">
        <f t="shared" si="7"/>
        <v>0</v>
      </c>
      <c r="FU3" s="62">
        <f t="shared" si="7"/>
        <v>0</v>
      </c>
      <c r="FV3" s="62">
        <f t="shared" si="7"/>
        <v>0</v>
      </c>
      <c r="FW3" s="62">
        <f t="shared" si="7"/>
        <v>0</v>
      </c>
      <c r="FX3" s="62">
        <f t="shared" si="7"/>
        <v>0</v>
      </c>
      <c r="FY3" s="62">
        <f t="shared" si="7"/>
        <v>0</v>
      </c>
      <c r="FZ3" s="62">
        <f t="shared" si="7"/>
        <v>0</v>
      </c>
      <c r="GA3" s="62">
        <f t="shared" si="7"/>
        <v>0</v>
      </c>
      <c r="GB3" s="62">
        <f t="shared" si="7"/>
        <v>0</v>
      </c>
      <c r="GC3" s="62">
        <f t="shared" si="7"/>
        <v>0</v>
      </c>
      <c r="GD3" s="62">
        <f t="shared" si="7"/>
        <v>0</v>
      </c>
      <c r="GE3" s="62">
        <f t="shared" si="7"/>
        <v>0</v>
      </c>
      <c r="GF3" s="62">
        <f t="shared" si="7"/>
        <v>0</v>
      </c>
      <c r="GG3" s="62">
        <f t="shared" si="7"/>
        <v>0</v>
      </c>
      <c r="GH3" s="62">
        <f t="shared" si="7"/>
        <v>0</v>
      </c>
      <c r="GI3" s="62">
        <f t="shared" si="7"/>
        <v>0</v>
      </c>
      <c r="GJ3" s="62">
        <f t="shared" si="7"/>
        <v>0</v>
      </c>
      <c r="GK3" s="62">
        <f t="shared" si="7"/>
        <v>0</v>
      </c>
      <c r="GL3" s="62">
        <f t="shared" si="7"/>
        <v>0</v>
      </c>
      <c r="GM3" s="62">
        <f t="shared" si="7"/>
        <v>0</v>
      </c>
      <c r="GN3" s="62">
        <f t="shared" si="7"/>
        <v>0</v>
      </c>
      <c r="GO3" s="62">
        <f t="shared" ref="GO3:GU3" si="8">SUM(GO10:GO84)</f>
        <v>0</v>
      </c>
      <c r="GP3" s="62">
        <f t="shared" si="8"/>
        <v>0</v>
      </c>
      <c r="GQ3" s="62">
        <f t="shared" si="8"/>
        <v>0</v>
      </c>
      <c r="GR3" s="62">
        <f t="shared" si="8"/>
        <v>0</v>
      </c>
      <c r="GS3" s="62">
        <f t="shared" si="8"/>
        <v>0</v>
      </c>
      <c r="GT3" s="62">
        <f t="shared" si="8"/>
        <v>0</v>
      </c>
      <c r="GU3" s="62">
        <f t="shared" si="8"/>
        <v>0</v>
      </c>
    </row>
    <row r="4" spans="1:203" x14ac:dyDescent="0.25">
      <c r="A4" s="8" t="s">
        <v>20</v>
      </c>
      <c r="B4" s="175"/>
      <c r="C4" s="62">
        <f>C6-C7-C8-C9</f>
        <v>0</v>
      </c>
      <c r="D4" s="62">
        <f>D6-D7-D8-D9</f>
        <v>0</v>
      </c>
      <c r="E4" s="62">
        <f t="shared" ref="E4:BP4" si="9">E6-E7-E8-E9</f>
        <v>0</v>
      </c>
      <c r="F4" s="62">
        <f t="shared" si="9"/>
        <v>0</v>
      </c>
      <c r="G4" s="62">
        <f t="shared" si="9"/>
        <v>0</v>
      </c>
      <c r="H4" s="62">
        <f t="shared" si="9"/>
        <v>0</v>
      </c>
      <c r="I4" s="62">
        <f t="shared" si="9"/>
        <v>0</v>
      </c>
      <c r="J4" s="62">
        <f t="shared" si="9"/>
        <v>0</v>
      </c>
      <c r="K4" s="62">
        <f t="shared" si="9"/>
        <v>0</v>
      </c>
      <c r="L4" s="62">
        <f t="shared" si="9"/>
        <v>0</v>
      </c>
      <c r="M4" s="62">
        <f t="shared" si="9"/>
        <v>0</v>
      </c>
      <c r="N4" s="62">
        <f t="shared" si="9"/>
        <v>0</v>
      </c>
      <c r="O4" s="62">
        <f t="shared" si="9"/>
        <v>0</v>
      </c>
      <c r="P4" s="62">
        <f t="shared" si="9"/>
        <v>0</v>
      </c>
      <c r="Q4" s="62">
        <f t="shared" si="9"/>
        <v>0</v>
      </c>
      <c r="R4" s="62">
        <f t="shared" si="9"/>
        <v>0</v>
      </c>
      <c r="S4" s="62">
        <f t="shared" si="9"/>
        <v>0</v>
      </c>
      <c r="T4" s="62">
        <f t="shared" si="9"/>
        <v>0</v>
      </c>
      <c r="U4" s="62">
        <f t="shared" si="9"/>
        <v>0</v>
      </c>
      <c r="V4" s="62">
        <f t="shared" si="9"/>
        <v>0</v>
      </c>
      <c r="W4" s="62">
        <f t="shared" si="9"/>
        <v>0</v>
      </c>
      <c r="X4" s="62">
        <f t="shared" si="9"/>
        <v>0</v>
      </c>
      <c r="Y4" s="62">
        <f t="shared" si="9"/>
        <v>0</v>
      </c>
      <c r="Z4" s="62">
        <f t="shared" si="9"/>
        <v>0</v>
      </c>
      <c r="AA4" s="62">
        <f t="shared" si="9"/>
        <v>0</v>
      </c>
      <c r="AB4" s="62">
        <f t="shared" si="9"/>
        <v>0</v>
      </c>
      <c r="AC4" s="62">
        <f t="shared" si="9"/>
        <v>0</v>
      </c>
      <c r="AD4" s="62">
        <f t="shared" si="9"/>
        <v>0</v>
      </c>
      <c r="AE4" s="62">
        <f t="shared" si="9"/>
        <v>0</v>
      </c>
      <c r="AF4" s="62">
        <f t="shared" si="9"/>
        <v>0</v>
      </c>
      <c r="AG4" s="62">
        <f t="shared" si="9"/>
        <v>0</v>
      </c>
      <c r="AH4" s="62">
        <f t="shared" si="9"/>
        <v>0</v>
      </c>
      <c r="AI4" s="62">
        <f t="shared" si="9"/>
        <v>0</v>
      </c>
      <c r="AJ4" s="62">
        <f t="shared" si="9"/>
        <v>0</v>
      </c>
      <c r="AK4" s="62">
        <f t="shared" si="9"/>
        <v>0</v>
      </c>
      <c r="AL4" s="62">
        <f t="shared" si="9"/>
        <v>0</v>
      </c>
      <c r="AM4" s="62">
        <f t="shared" si="9"/>
        <v>0</v>
      </c>
      <c r="AN4" s="62">
        <f t="shared" si="9"/>
        <v>0</v>
      </c>
      <c r="AO4" s="62">
        <f t="shared" si="9"/>
        <v>0</v>
      </c>
      <c r="AP4" s="62">
        <f t="shared" si="9"/>
        <v>0</v>
      </c>
      <c r="AQ4" s="62">
        <f t="shared" si="9"/>
        <v>0</v>
      </c>
      <c r="AR4" s="62">
        <f t="shared" si="9"/>
        <v>0</v>
      </c>
      <c r="AS4" s="62">
        <f t="shared" si="9"/>
        <v>0</v>
      </c>
      <c r="AT4" s="62">
        <f t="shared" si="9"/>
        <v>0</v>
      </c>
      <c r="AU4" s="62">
        <f t="shared" si="9"/>
        <v>0</v>
      </c>
      <c r="AV4" s="62">
        <f t="shared" si="9"/>
        <v>0</v>
      </c>
      <c r="AW4" s="62">
        <f t="shared" si="9"/>
        <v>0</v>
      </c>
      <c r="AX4" s="62">
        <f t="shared" si="9"/>
        <v>0</v>
      </c>
      <c r="AY4" s="62">
        <f t="shared" si="9"/>
        <v>0</v>
      </c>
      <c r="AZ4" s="62">
        <f t="shared" si="9"/>
        <v>0</v>
      </c>
      <c r="BA4" s="62">
        <f t="shared" si="9"/>
        <v>0</v>
      </c>
      <c r="BB4" s="62">
        <f t="shared" si="9"/>
        <v>0</v>
      </c>
      <c r="BC4" s="62">
        <f t="shared" si="9"/>
        <v>0</v>
      </c>
      <c r="BD4" s="62">
        <f t="shared" si="9"/>
        <v>0</v>
      </c>
      <c r="BE4" s="62">
        <f t="shared" si="9"/>
        <v>0</v>
      </c>
      <c r="BF4" s="62">
        <f t="shared" si="9"/>
        <v>0</v>
      </c>
      <c r="BG4" s="62">
        <f t="shared" si="9"/>
        <v>0</v>
      </c>
      <c r="BH4" s="62">
        <f t="shared" si="9"/>
        <v>0</v>
      </c>
      <c r="BI4" s="62">
        <f t="shared" si="9"/>
        <v>0</v>
      </c>
      <c r="BJ4" s="62">
        <f t="shared" si="9"/>
        <v>0</v>
      </c>
      <c r="BK4" s="62">
        <f t="shared" si="9"/>
        <v>0</v>
      </c>
      <c r="BL4" s="62">
        <f t="shared" si="9"/>
        <v>0</v>
      </c>
      <c r="BM4" s="62">
        <f t="shared" si="9"/>
        <v>0</v>
      </c>
      <c r="BN4" s="62">
        <f t="shared" si="9"/>
        <v>0</v>
      </c>
      <c r="BO4" s="62">
        <f t="shared" si="9"/>
        <v>0</v>
      </c>
      <c r="BP4" s="62">
        <f t="shared" si="9"/>
        <v>0</v>
      </c>
      <c r="BQ4" s="62">
        <f t="shared" ref="BQ4:EB4" si="10">BQ6-BQ7-BQ8-BQ9</f>
        <v>0</v>
      </c>
      <c r="BR4" s="62">
        <f t="shared" si="10"/>
        <v>0</v>
      </c>
      <c r="BS4" s="62">
        <f t="shared" si="10"/>
        <v>0</v>
      </c>
      <c r="BT4" s="62">
        <f t="shared" si="10"/>
        <v>0</v>
      </c>
      <c r="BU4" s="62">
        <f t="shared" si="10"/>
        <v>0</v>
      </c>
      <c r="BV4" s="62">
        <f t="shared" si="10"/>
        <v>0</v>
      </c>
      <c r="BW4" s="62">
        <f t="shared" si="10"/>
        <v>0</v>
      </c>
      <c r="BX4" s="62">
        <f t="shared" si="10"/>
        <v>0</v>
      </c>
      <c r="BY4" s="62">
        <f t="shared" si="10"/>
        <v>0</v>
      </c>
      <c r="BZ4" s="62">
        <f t="shared" si="10"/>
        <v>0</v>
      </c>
      <c r="CA4" s="62">
        <f t="shared" si="10"/>
        <v>0</v>
      </c>
      <c r="CB4" s="62">
        <f t="shared" si="10"/>
        <v>0</v>
      </c>
      <c r="CC4" s="62">
        <f t="shared" si="10"/>
        <v>0</v>
      </c>
      <c r="CD4" s="62">
        <f t="shared" si="10"/>
        <v>0</v>
      </c>
      <c r="CE4" s="62">
        <f t="shared" si="10"/>
        <v>0</v>
      </c>
      <c r="CF4" s="62">
        <f t="shared" si="10"/>
        <v>0</v>
      </c>
      <c r="CG4" s="62">
        <f t="shared" si="10"/>
        <v>0</v>
      </c>
      <c r="CH4" s="62">
        <f t="shared" si="10"/>
        <v>0</v>
      </c>
      <c r="CI4" s="62">
        <f t="shared" si="10"/>
        <v>0</v>
      </c>
      <c r="CJ4" s="62">
        <f t="shared" si="10"/>
        <v>0</v>
      </c>
      <c r="CK4" s="62">
        <f t="shared" si="10"/>
        <v>0</v>
      </c>
      <c r="CL4" s="62">
        <f t="shared" si="10"/>
        <v>0</v>
      </c>
      <c r="CM4" s="62">
        <f t="shared" si="10"/>
        <v>0</v>
      </c>
      <c r="CN4" s="62">
        <f t="shared" si="10"/>
        <v>0</v>
      </c>
      <c r="CO4" s="62">
        <f t="shared" si="10"/>
        <v>0</v>
      </c>
      <c r="CP4" s="62">
        <f t="shared" si="10"/>
        <v>0</v>
      </c>
      <c r="CQ4" s="62">
        <f t="shared" si="10"/>
        <v>0</v>
      </c>
      <c r="CR4" s="62">
        <f t="shared" si="10"/>
        <v>0</v>
      </c>
      <c r="CS4" s="62">
        <f t="shared" si="10"/>
        <v>0</v>
      </c>
      <c r="CT4" s="62">
        <f t="shared" si="10"/>
        <v>0</v>
      </c>
      <c r="CU4" s="62">
        <f t="shared" si="10"/>
        <v>0</v>
      </c>
      <c r="CV4" s="62">
        <f t="shared" si="10"/>
        <v>0</v>
      </c>
      <c r="CW4" s="62">
        <f t="shared" si="10"/>
        <v>0</v>
      </c>
      <c r="CX4" s="62">
        <f t="shared" si="10"/>
        <v>0</v>
      </c>
      <c r="CY4" s="62">
        <f t="shared" si="10"/>
        <v>0</v>
      </c>
      <c r="CZ4" s="62">
        <f t="shared" si="10"/>
        <v>0</v>
      </c>
      <c r="DA4" s="62">
        <f t="shared" si="10"/>
        <v>0</v>
      </c>
      <c r="DB4" s="62">
        <f t="shared" si="10"/>
        <v>0</v>
      </c>
      <c r="DC4" s="62">
        <f t="shared" si="10"/>
        <v>0</v>
      </c>
      <c r="DD4" s="62">
        <f t="shared" si="10"/>
        <v>0</v>
      </c>
      <c r="DE4" s="62">
        <f t="shared" si="10"/>
        <v>0</v>
      </c>
      <c r="DF4" s="62">
        <f t="shared" si="10"/>
        <v>0</v>
      </c>
      <c r="DG4" s="62">
        <f t="shared" si="10"/>
        <v>0</v>
      </c>
      <c r="DH4" s="62">
        <f t="shared" si="10"/>
        <v>0</v>
      </c>
      <c r="DI4" s="62">
        <f t="shared" si="10"/>
        <v>0</v>
      </c>
      <c r="DJ4" s="62">
        <f t="shared" si="10"/>
        <v>0</v>
      </c>
      <c r="DK4" s="62">
        <f t="shared" si="10"/>
        <v>0</v>
      </c>
      <c r="DL4" s="62">
        <f t="shared" si="10"/>
        <v>0</v>
      </c>
      <c r="DM4" s="62">
        <f t="shared" si="10"/>
        <v>0</v>
      </c>
      <c r="DN4" s="62">
        <f t="shared" si="10"/>
        <v>0</v>
      </c>
      <c r="DO4" s="62">
        <f t="shared" si="10"/>
        <v>0</v>
      </c>
      <c r="DP4" s="62">
        <f t="shared" si="10"/>
        <v>0</v>
      </c>
      <c r="DQ4" s="62">
        <f t="shared" si="10"/>
        <v>0</v>
      </c>
      <c r="DR4" s="62">
        <f t="shared" si="10"/>
        <v>0</v>
      </c>
      <c r="DS4" s="62">
        <f t="shared" si="10"/>
        <v>0</v>
      </c>
      <c r="DT4" s="62">
        <f t="shared" si="10"/>
        <v>0</v>
      </c>
      <c r="DU4" s="62">
        <f t="shared" si="10"/>
        <v>0</v>
      </c>
      <c r="DV4" s="62">
        <f t="shared" si="10"/>
        <v>0</v>
      </c>
      <c r="DW4" s="62">
        <f t="shared" si="10"/>
        <v>0</v>
      </c>
      <c r="DX4" s="62">
        <f t="shared" si="10"/>
        <v>0</v>
      </c>
      <c r="DY4" s="62">
        <f t="shared" si="10"/>
        <v>0</v>
      </c>
      <c r="DZ4" s="62">
        <f t="shared" si="10"/>
        <v>0</v>
      </c>
      <c r="EA4" s="62">
        <f t="shared" si="10"/>
        <v>0</v>
      </c>
      <c r="EB4" s="62">
        <f t="shared" si="10"/>
        <v>0</v>
      </c>
      <c r="EC4" s="62">
        <f t="shared" ref="EC4:GN4" si="11">EC6-EC7-EC8-EC9</f>
        <v>0</v>
      </c>
      <c r="ED4" s="62">
        <f t="shared" si="11"/>
        <v>0</v>
      </c>
      <c r="EE4" s="62">
        <f t="shared" si="11"/>
        <v>0</v>
      </c>
      <c r="EF4" s="62">
        <f t="shared" si="11"/>
        <v>0</v>
      </c>
      <c r="EG4" s="62">
        <f t="shared" si="11"/>
        <v>0</v>
      </c>
      <c r="EH4" s="62">
        <f t="shared" si="11"/>
        <v>0</v>
      </c>
      <c r="EI4" s="62">
        <f t="shared" si="11"/>
        <v>0</v>
      </c>
      <c r="EJ4" s="62">
        <f t="shared" si="11"/>
        <v>0</v>
      </c>
      <c r="EK4" s="62">
        <f t="shared" si="11"/>
        <v>0</v>
      </c>
      <c r="EL4" s="62">
        <f t="shared" si="11"/>
        <v>0</v>
      </c>
      <c r="EM4" s="62">
        <f t="shared" si="11"/>
        <v>0</v>
      </c>
      <c r="EN4" s="62">
        <f t="shared" si="11"/>
        <v>0</v>
      </c>
      <c r="EO4" s="62">
        <f t="shared" si="11"/>
        <v>0</v>
      </c>
      <c r="EP4" s="62">
        <f t="shared" si="11"/>
        <v>0</v>
      </c>
      <c r="EQ4" s="62">
        <f t="shared" si="11"/>
        <v>0</v>
      </c>
      <c r="ER4" s="62">
        <f t="shared" si="11"/>
        <v>0</v>
      </c>
      <c r="ES4" s="62">
        <f t="shared" si="11"/>
        <v>0</v>
      </c>
      <c r="ET4" s="62">
        <f t="shared" si="11"/>
        <v>0</v>
      </c>
      <c r="EU4" s="62">
        <f t="shared" si="11"/>
        <v>0</v>
      </c>
      <c r="EV4" s="62">
        <f t="shared" si="11"/>
        <v>0</v>
      </c>
      <c r="EW4" s="62">
        <f t="shared" si="11"/>
        <v>0</v>
      </c>
      <c r="EX4" s="62">
        <f t="shared" si="11"/>
        <v>0</v>
      </c>
      <c r="EY4" s="62">
        <f t="shared" si="11"/>
        <v>0</v>
      </c>
      <c r="EZ4" s="62">
        <f t="shared" si="11"/>
        <v>0</v>
      </c>
      <c r="FA4" s="62">
        <f t="shared" si="11"/>
        <v>0</v>
      </c>
      <c r="FB4" s="62">
        <f t="shared" si="11"/>
        <v>0</v>
      </c>
      <c r="FC4" s="62">
        <f t="shared" si="11"/>
        <v>0</v>
      </c>
      <c r="FD4" s="62">
        <f t="shared" si="11"/>
        <v>0</v>
      </c>
      <c r="FE4" s="62">
        <f t="shared" si="11"/>
        <v>0</v>
      </c>
      <c r="FF4" s="62">
        <f t="shared" si="11"/>
        <v>0</v>
      </c>
      <c r="FG4" s="62">
        <f t="shared" si="11"/>
        <v>0</v>
      </c>
      <c r="FH4" s="62">
        <f t="shared" si="11"/>
        <v>0</v>
      </c>
      <c r="FI4" s="62">
        <f t="shared" si="11"/>
        <v>0</v>
      </c>
      <c r="FJ4" s="62">
        <f t="shared" si="11"/>
        <v>0</v>
      </c>
      <c r="FK4" s="62">
        <f t="shared" si="11"/>
        <v>0</v>
      </c>
      <c r="FL4" s="62">
        <f t="shared" si="11"/>
        <v>0</v>
      </c>
      <c r="FM4" s="62">
        <f t="shared" si="11"/>
        <v>0</v>
      </c>
      <c r="FN4" s="62">
        <f t="shared" si="11"/>
        <v>0</v>
      </c>
      <c r="FO4" s="62">
        <f t="shared" si="11"/>
        <v>0</v>
      </c>
      <c r="FP4" s="62">
        <f t="shared" si="11"/>
        <v>0</v>
      </c>
      <c r="FQ4" s="62">
        <f t="shared" si="11"/>
        <v>0</v>
      </c>
      <c r="FR4" s="62">
        <f t="shared" si="11"/>
        <v>0</v>
      </c>
      <c r="FS4" s="62">
        <f t="shared" si="11"/>
        <v>0</v>
      </c>
      <c r="FT4" s="62">
        <f t="shared" si="11"/>
        <v>0</v>
      </c>
      <c r="FU4" s="62">
        <f t="shared" si="11"/>
        <v>0</v>
      </c>
      <c r="FV4" s="62">
        <f t="shared" si="11"/>
        <v>0</v>
      </c>
      <c r="FW4" s="62">
        <f t="shared" si="11"/>
        <v>0</v>
      </c>
      <c r="FX4" s="62">
        <f t="shared" si="11"/>
        <v>0</v>
      </c>
      <c r="FY4" s="62">
        <f t="shared" si="11"/>
        <v>0</v>
      </c>
      <c r="FZ4" s="62">
        <f t="shared" si="11"/>
        <v>0</v>
      </c>
      <c r="GA4" s="62">
        <f t="shared" si="11"/>
        <v>0</v>
      </c>
      <c r="GB4" s="62">
        <f t="shared" si="11"/>
        <v>0</v>
      </c>
      <c r="GC4" s="62">
        <f t="shared" si="11"/>
        <v>0</v>
      </c>
      <c r="GD4" s="62">
        <f t="shared" si="11"/>
        <v>0</v>
      </c>
      <c r="GE4" s="62">
        <f t="shared" si="11"/>
        <v>0</v>
      </c>
      <c r="GF4" s="62">
        <f t="shared" si="11"/>
        <v>0</v>
      </c>
      <c r="GG4" s="62">
        <f t="shared" si="11"/>
        <v>0</v>
      </c>
      <c r="GH4" s="62">
        <f t="shared" si="11"/>
        <v>0</v>
      </c>
      <c r="GI4" s="62">
        <f t="shared" si="11"/>
        <v>0</v>
      </c>
      <c r="GJ4" s="62">
        <f t="shared" si="11"/>
        <v>0</v>
      </c>
      <c r="GK4" s="62">
        <f t="shared" si="11"/>
        <v>0</v>
      </c>
      <c r="GL4" s="62">
        <f t="shared" si="11"/>
        <v>0</v>
      </c>
      <c r="GM4" s="62">
        <f t="shared" si="11"/>
        <v>0</v>
      </c>
      <c r="GN4" s="62">
        <f t="shared" si="11"/>
        <v>0</v>
      </c>
      <c r="GO4" s="62">
        <f t="shared" ref="GO4:GU4" si="12">GO6-GO7-GO8-GO9</f>
        <v>0</v>
      </c>
      <c r="GP4" s="62">
        <f t="shared" si="12"/>
        <v>0</v>
      </c>
      <c r="GQ4" s="62">
        <f t="shared" si="12"/>
        <v>0</v>
      </c>
      <c r="GR4" s="62">
        <f t="shared" si="12"/>
        <v>0</v>
      </c>
      <c r="GS4" s="62">
        <f t="shared" si="12"/>
        <v>0</v>
      </c>
      <c r="GT4" s="62">
        <f t="shared" si="12"/>
        <v>0</v>
      </c>
      <c r="GU4" s="62">
        <f t="shared" si="12"/>
        <v>0</v>
      </c>
    </row>
    <row r="5" spans="1:203" x14ac:dyDescent="0.25">
      <c r="A5" s="8" t="s">
        <v>67</v>
      </c>
      <c r="B5" s="175"/>
      <c r="C5" s="62">
        <f>UNLOAD!F5</f>
        <v>0</v>
      </c>
      <c r="D5" s="62">
        <f>VLOOKUP(D1,UNLOAD!$A:$B,2,FALSE)</f>
        <v>0</v>
      </c>
      <c r="E5" s="62">
        <f>VLOOKUP(E1,UNLOAD!$A:$B,2,FALSE)</f>
        <v>0</v>
      </c>
      <c r="F5" s="62">
        <f>VLOOKUP(F1,UNLOAD!$A:$B,2,FALSE)</f>
        <v>0</v>
      </c>
      <c r="G5" s="62">
        <f>VLOOKUP(G1,UNLOAD!$A:$B,2,FALSE)</f>
        <v>0</v>
      </c>
      <c r="H5" s="62">
        <f>VLOOKUP(H1,UNLOAD!$A:$B,2,FALSE)</f>
        <v>0</v>
      </c>
      <c r="I5" s="62">
        <f>VLOOKUP(I1,UNLOAD!$A:$B,2,FALSE)</f>
        <v>0</v>
      </c>
      <c r="J5" s="62">
        <f>VLOOKUP(J1,UNLOAD!$A:$B,2,FALSE)</f>
        <v>0</v>
      </c>
      <c r="K5" s="62">
        <f>VLOOKUP(K1,UNLOAD!$A:$B,2,FALSE)</f>
        <v>0</v>
      </c>
      <c r="L5" s="62">
        <f>VLOOKUP(L1,UNLOAD!$A:$B,2,FALSE)</f>
        <v>0</v>
      </c>
      <c r="M5" s="62">
        <f>VLOOKUP(M1,UNLOAD!$A:$B,2,FALSE)</f>
        <v>0</v>
      </c>
      <c r="N5" s="62">
        <f>VLOOKUP(N1,UNLOAD!$A:$B,2,FALSE)</f>
        <v>0</v>
      </c>
      <c r="O5" s="62">
        <f>VLOOKUP(O1,UNLOAD!$A:$B,2,FALSE)</f>
        <v>0</v>
      </c>
      <c r="P5" s="62">
        <f>VLOOKUP(P1,UNLOAD!$A:$B,2,FALSE)</f>
        <v>0</v>
      </c>
      <c r="Q5" s="62">
        <f>VLOOKUP(Q1,UNLOAD!$A:$B,2,FALSE)</f>
        <v>0</v>
      </c>
      <c r="R5" s="62">
        <f>VLOOKUP(R1,UNLOAD!$A:$B,2,FALSE)</f>
        <v>0</v>
      </c>
      <c r="S5" s="62">
        <f>VLOOKUP(S1,UNLOAD!$A:$B,2,FALSE)</f>
        <v>0</v>
      </c>
      <c r="T5" s="62">
        <f>VLOOKUP(T1,UNLOAD!$A:$B,2,FALSE)</f>
        <v>0</v>
      </c>
      <c r="U5" s="62">
        <f>VLOOKUP(U1,UNLOAD!$A:$B,2,FALSE)</f>
        <v>0</v>
      </c>
      <c r="V5" s="62">
        <f>VLOOKUP(V1,UNLOAD!$A:$B,2,FALSE)</f>
        <v>0</v>
      </c>
      <c r="W5" s="62">
        <f>VLOOKUP(W1,UNLOAD!$A:$B,2,FALSE)</f>
        <v>0</v>
      </c>
      <c r="X5" s="62">
        <f>VLOOKUP(X1,UNLOAD!$A:$B,2,FALSE)</f>
        <v>0</v>
      </c>
      <c r="Y5" s="62">
        <f>VLOOKUP(Y1,UNLOAD!$A:$B,2,FALSE)</f>
        <v>0</v>
      </c>
      <c r="Z5" s="62">
        <f>VLOOKUP(Z1,UNLOAD!$A:$B,2,FALSE)</f>
        <v>0</v>
      </c>
      <c r="AA5" s="62">
        <f>VLOOKUP(AA1,UNLOAD!$A:$B,2,FALSE)</f>
        <v>0</v>
      </c>
      <c r="AB5" s="62">
        <f>VLOOKUP(AB1,UNLOAD!$A:$B,2,FALSE)</f>
        <v>0</v>
      </c>
      <c r="AC5" s="62">
        <f>VLOOKUP(AC1,UNLOAD!$A:$B,2,FALSE)</f>
        <v>0</v>
      </c>
      <c r="AD5" s="62">
        <f>VLOOKUP(AD1,UNLOAD!$A:$B,2,FALSE)</f>
        <v>0</v>
      </c>
      <c r="AE5" s="62">
        <f>VLOOKUP(AE1,UNLOAD!$A:$B,2,FALSE)</f>
        <v>0</v>
      </c>
      <c r="AF5" s="62">
        <f>VLOOKUP(AF1,UNLOAD!$A:$B,2,FALSE)</f>
        <v>0</v>
      </c>
      <c r="AG5" s="62">
        <f>VLOOKUP(AG1,UNLOAD!$A:$B,2,FALSE)</f>
        <v>0</v>
      </c>
      <c r="AH5" s="62">
        <f>VLOOKUP(AH1,UNLOAD!$A:$B,2,FALSE)</f>
        <v>0</v>
      </c>
      <c r="AI5" s="62">
        <f>VLOOKUP(AI1,UNLOAD!$A:$B,2,FALSE)</f>
        <v>0</v>
      </c>
      <c r="AJ5" s="62">
        <f>VLOOKUP(AJ1,UNLOAD!$A:$B,2,FALSE)</f>
        <v>0</v>
      </c>
      <c r="AK5" s="62">
        <f>VLOOKUP(AK1,UNLOAD!$A:$B,2,FALSE)</f>
        <v>0</v>
      </c>
      <c r="AL5" s="62">
        <f>VLOOKUP(AL1,UNLOAD!$A:$B,2,FALSE)</f>
        <v>0</v>
      </c>
      <c r="AM5" s="62">
        <f>VLOOKUP(AM1,UNLOAD!$A:$B,2,FALSE)</f>
        <v>0</v>
      </c>
      <c r="AN5" s="62">
        <f>VLOOKUP(AN1,UNLOAD!$A:$B,2,FALSE)</f>
        <v>0</v>
      </c>
      <c r="AO5" s="62">
        <f>VLOOKUP(AO1,UNLOAD!$A:$B,2,FALSE)</f>
        <v>0</v>
      </c>
      <c r="AP5" s="62">
        <f>VLOOKUP(AP1,UNLOAD!$A:$B,2,FALSE)</f>
        <v>0</v>
      </c>
      <c r="AQ5" s="62">
        <f>VLOOKUP(AQ1,UNLOAD!$A:$B,2,FALSE)</f>
        <v>0</v>
      </c>
      <c r="AR5" s="62">
        <f>VLOOKUP(AR1,UNLOAD!$A:$B,2,FALSE)</f>
        <v>0</v>
      </c>
      <c r="AS5" s="62">
        <f>VLOOKUP(AS1,UNLOAD!$A:$B,2,FALSE)</f>
        <v>0</v>
      </c>
      <c r="AT5" s="62">
        <f>VLOOKUP(AT1,UNLOAD!$A:$B,2,FALSE)</f>
        <v>0</v>
      </c>
      <c r="AU5" s="62">
        <f>VLOOKUP(AU1,UNLOAD!$A:$B,2,FALSE)</f>
        <v>0</v>
      </c>
      <c r="AV5" s="62">
        <f>VLOOKUP(AV1,UNLOAD!$A:$B,2,FALSE)</f>
        <v>0</v>
      </c>
      <c r="AW5" s="62">
        <f>VLOOKUP(AW1,UNLOAD!$A:$B,2,FALSE)</f>
        <v>0</v>
      </c>
      <c r="AX5" s="62">
        <f>VLOOKUP(AX1,UNLOAD!$A:$B,2,FALSE)</f>
        <v>0</v>
      </c>
      <c r="AY5" s="62">
        <f>VLOOKUP(AY1,UNLOAD!$A:$B,2,FALSE)</f>
        <v>0</v>
      </c>
      <c r="AZ5" s="62">
        <f>VLOOKUP(AZ1,UNLOAD!$A:$B,2,FALSE)</f>
        <v>0</v>
      </c>
      <c r="BA5" s="62">
        <f>VLOOKUP(BA1,UNLOAD!$A:$B,2,FALSE)</f>
        <v>0</v>
      </c>
      <c r="BB5" s="62">
        <f>VLOOKUP(BB1,UNLOAD!$A:$B,2,FALSE)</f>
        <v>0</v>
      </c>
      <c r="BC5" s="62">
        <f>VLOOKUP(BC1,UNLOAD!$A:$B,2,FALSE)</f>
        <v>0</v>
      </c>
      <c r="BD5" s="62">
        <f>VLOOKUP(BD1,UNLOAD!$A:$B,2,FALSE)</f>
        <v>0</v>
      </c>
      <c r="BE5" s="62">
        <f>VLOOKUP(BE1,UNLOAD!$A:$B,2,FALSE)</f>
        <v>0</v>
      </c>
      <c r="BF5" s="62">
        <f>VLOOKUP(BF1,UNLOAD!$A:$B,2,FALSE)</f>
        <v>0</v>
      </c>
      <c r="BG5" s="62">
        <f>VLOOKUP(BG1,UNLOAD!$A:$B,2,FALSE)</f>
        <v>0</v>
      </c>
      <c r="BH5" s="62">
        <f>VLOOKUP(BH1,UNLOAD!$A:$B,2,FALSE)</f>
        <v>0</v>
      </c>
      <c r="BI5" s="62">
        <f>VLOOKUP(BI1,UNLOAD!$A:$B,2,FALSE)</f>
        <v>0</v>
      </c>
      <c r="BJ5" s="62">
        <f>VLOOKUP(BJ1,UNLOAD!$A:$B,2,FALSE)</f>
        <v>0</v>
      </c>
      <c r="BK5" s="62">
        <f>VLOOKUP(BK1,UNLOAD!$A:$B,2,FALSE)</f>
        <v>0</v>
      </c>
      <c r="BL5" s="62">
        <f>VLOOKUP(BL1,UNLOAD!$A:$B,2,FALSE)</f>
        <v>0</v>
      </c>
      <c r="BM5" s="62">
        <f>VLOOKUP(BM1,UNLOAD!$A:$B,2,FALSE)</f>
        <v>0</v>
      </c>
      <c r="BN5" s="62">
        <f>VLOOKUP(BN1,UNLOAD!$A:$B,2,FALSE)</f>
        <v>0</v>
      </c>
      <c r="BO5" s="62">
        <f>VLOOKUP(BO1,UNLOAD!$A:$B,2,FALSE)</f>
        <v>0</v>
      </c>
      <c r="BP5" s="62">
        <f>VLOOKUP(BP1,UNLOAD!$A:$B,2,FALSE)</f>
        <v>0</v>
      </c>
      <c r="BQ5" s="62">
        <f>VLOOKUP(BQ1,UNLOAD!$A:$B,2,FALSE)</f>
        <v>0</v>
      </c>
      <c r="BR5" s="62">
        <f>VLOOKUP(BR1,UNLOAD!$A:$B,2,FALSE)</f>
        <v>0</v>
      </c>
      <c r="BS5" s="62">
        <f>VLOOKUP(BS1,UNLOAD!$A:$B,2,FALSE)</f>
        <v>0</v>
      </c>
      <c r="BT5" s="62">
        <f>VLOOKUP(BT1,UNLOAD!$A:$B,2,FALSE)</f>
        <v>0</v>
      </c>
      <c r="BU5" s="62">
        <f>VLOOKUP(BU1,UNLOAD!$A:$B,2,FALSE)</f>
        <v>0</v>
      </c>
      <c r="BV5" s="62">
        <f>VLOOKUP(BV1,UNLOAD!$A:$B,2,FALSE)</f>
        <v>0</v>
      </c>
      <c r="BW5" s="62">
        <f>VLOOKUP(BW1,UNLOAD!$A:$B,2,FALSE)</f>
        <v>0</v>
      </c>
      <c r="BX5" s="62">
        <f>VLOOKUP(BX1,UNLOAD!$A:$B,2,FALSE)</f>
        <v>0</v>
      </c>
      <c r="BY5" s="62">
        <f>VLOOKUP(BY1,UNLOAD!$A:$B,2,FALSE)</f>
        <v>0</v>
      </c>
      <c r="BZ5" s="62">
        <f>VLOOKUP(BZ1,UNLOAD!$A:$B,2,FALSE)</f>
        <v>0</v>
      </c>
      <c r="CA5" s="62">
        <f>VLOOKUP(CA1,UNLOAD!$A:$B,2,FALSE)</f>
        <v>0</v>
      </c>
      <c r="CB5" s="62">
        <f>VLOOKUP(CB1,UNLOAD!$A:$B,2,FALSE)</f>
        <v>0</v>
      </c>
      <c r="CC5" s="62">
        <f>VLOOKUP(CC1,UNLOAD!$A:$B,2,FALSE)</f>
        <v>0</v>
      </c>
      <c r="CD5" s="62">
        <f>VLOOKUP(CD1,UNLOAD!$A:$B,2,FALSE)</f>
        <v>0</v>
      </c>
      <c r="CE5" s="62">
        <f>VLOOKUP(CE1,UNLOAD!$A:$B,2,FALSE)</f>
        <v>0</v>
      </c>
      <c r="CF5" s="62">
        <f>VLOOKUP(CF1,UNLOAD!$A:$B,2,FALSE)</f>
        <v>0</v>
      </c>
      <c r="CG5" s="62">
        <f>VLOOKUP(CG1,UNLOAD!$A:$B,2,FALSE)</f>
        <v>0</v>
      </c>
      <c r="CH5" s="62">
        <f>VLOOKUP(CH1,UNLOAD!$A:$B,2,FALSE)</f>
        <v>0</v>
      </c>
      <c r="CI5" s="62">
        <f>VLOOKUP(CI1,UNLOAD!$A:$B,2,FALSE)</f>
        <v>0</v>
      </c>
      <c r="CJ5" s="62">
        <f>VLOOKUP(CJ1,UNLOAD!$A:$B,2,FALSE)</f>
        <v>0</v>
      </c>
      <c r="CK5" s="62">
        <f>VLOOKUP(CK1,UNLOAD!$A:$B,2,FALSE)</f>
        <v>0</v>
      </c>
      <c r="CL5" s="62">
        <f>VLOOKUP(CL1,UNLOAD!$A:$B,2,FALSE)</f>
        <v>0</v>
      </c>
      <c r="CM5" s="62">
        <f>VLOOKUP(CM1,UNLOAD!$A:$B,2,FALSE)</f>
        <v>0</v>
      </c>
      <c r="CN5" s="62">
        <f>VLOOKUP(CN1,UNLOAD!$A:$B,2,FALSE)</f>
        <v>0</v>
      </c>
      <c r="CO5" s="62">
        <f>VLOOKUP(CO1,UNLOAD!$A:$B,2,FALSE)</f>
        <v>0</v>
      </c>
      <c r="CP5" s="62">
        <f>VLOOKUP(CP1,UNLOAD!$A:$B,2,FALSE)</f>
        <v>0</v>
      </c>
      <c r="CQ5" s="62">
        <f>VLOOKUP(CQ1,UNLOAD!$A:$B,2,FALSE)</f>
        <v>0</v>
      </c>
      <c r="CR5" s="62">
        <f>VLOOKUP(CR1,UNLOAD!$A:$B,2,FALSE)</f>
        <v>0</v>
      </c>
      <c r="CS5" s="62">
        <f>VLOOKUP(CS1,UNLOAD!$A:$B,2,FALSE)</f>
        <v>0</v>
      </c>
      <c r="CT5" s="62">
        <f>VLOOKUP(CT1,UNLOAD!$A:$B,2,FALSE)</f>
        <v>0</v>
      </c>
      <c r="CU5" s="62">
        <f>VLOOKUP(CU1,UNLOAD!$A:$B,2,FALSE)</f>
        <v>0</v>
      </c>
      <c r="CV5" s="62">
        <f>VLOOKUP(CV1,UNLOAD!$A:$B,2,FALSE)</f>
        <v>0</v>
      </c>
      <c r="CW5" s="62">
        <f>VLOOKUP(CW1,UNLOAD!$A:$B,2,FALSE)</f>
        <v>0</v>
      </c>
      <c r="CX5" s="62">
        <f>VLOOKUP(CX1,UNLOAD!$A:$B,2,FALSE)</f>
        <v>0</v>
      </c>
      <c r="CY5" s="62">
        <f>VLOOKUP(CY1,UNLOAD!$A:$B,2,FALSE)</f>
        <v>0</v>
      </c>
      <c r="CZ5" s="62">
        <f>VLOOKUP(CZ1,UNLOAD!$A:$B,2,FALSE)</f>
        <v>0</v>
      </c>
      <c r="DA5" s="62">
        <f>VLOOKUP(DA1,UNLOAD!$A:$B,2,FALSE)</f>
        <v>0</v>
      </c>
      <c r="DB5" s="62">
        <f>VLOOKUP(DB1,UNLOAD!$A:$B,2,FALSE)</f>
        <v>0</v>
      </c>
      <c r="DC5" s="62">
        <f>VLOOKUP(DC1,UNLOAD!$A:$B,2,FALSE)</f>
        <v>0</v>
      </c>
      <c r="DD5" s="62">
        <f>VLOOKUP(DD1,UNLOAD!$A:$B,2,FALSE)</f>
        <v>0</v>
      </c>
      <c r="DE5" s="62">
        <f>VLOOKUP(DE1,UNLOAD!$A:$B,2,FALSE)</f>
        <v>0</v>
      </c>
      <c r="DF5" s="62">
        <f>VLOOKUP(DF1,UNLOAD!$A:$B,2,FALSE)</f>
        <v>0</v>
      </c>
      <c r="DG5" s="62">
        <f>VLOOKUP(DG1,UNLOAD!$A:$B,2,FALSE)</f>
        <v>0</v>
      </c>
      <c r="DH5" s="62">
        <f>VLOOKUP(DH1,UNLOAD!$A:$B,2,FALSE)</f>
        <v>0</v>
      </c>
      <c r="DI5" s="62">
        <f>VLOOKUP(DI1,UNLOAD!$A:$B,2,FALSE)</f>
        <v>0</v>
      </c>
      <c r="DJ5" s="62">
        <f>VLOOKUP(DJ1,UNLOAD!$A:$B,2,FALSE)</f>
        <v>0</v>
      </c>
      <c r="DK5" s="62">
        <f>VLOOKUP(DK1,UNLOAD!$A:$B,2,FALSE)</f>
        <v>0</v>
      </c>
      <c r="DL5" s="62">
        <f>VLOOKUP(DL1,UNLOAD!$A:$B,2,FALSE)</f>
        <v>0</v>
      </c>
      <c r="DM5" s="62">
        <f>VLOOKUP(DM1,UNLOAD!$A:$B,2,FALSE)</f>
        <v>0</v>
      </c>
      <c r="DN5" s="62">
        <f>VLOOKUP(DN1,UNLOAD!$A:$B,2,FALSE)</f>
        <v>0</v>
      </c>
      <c r="DO5" s="62">
        <f>VLOOKUP(DO1,UNLOAD!$A:$B,2,FALSE)</f>
        <v>0</v>
      </c>
      <c r="DP5" s="62">
        <f>VLOOKUP(DP1,UNLOAD!$A:$B,2,FALSE)</f>
        <v>0</v>
      </c>
      <c r="DQ5" s="62">
        <f>VLOOKUP(DQ1,UNLOAD!$A:$B,2,FALSE)</f>
        <v>0</v>
      </c>
      <c r="DR5" s="62">
        <f>VLOOKUP(DR1,UNLOAD!$A:$B,2,FALSE)</f>
        <v>0</v>
      </c>
      <c r="DS5" s="62">
        <f>VLOOKUP(DS1,UNLOAD!$A:$B,2,FALSE)</f>
        <v>0</v>
      </c>
      <c r="DT5" s="62">
        <f>VLOOKUP(DT1,UNLOAD!$A:$B,2,FALSE)</f>
        <v>0</v>
      </c>
      <c r="DU5" s="62">
        <f>VLOOKUP(DU1,UNLOAD!$A:$B,2,FALSE)</f>
        <v>0</v>
      </c>
      <c r="DV5" s="62">
        <f>VLOOKUP(DV1,UNLOAD!$A:$B,2,FALSE)</f>
        <v>0</v>
      </c>
      <c r="DW5" s="62">
        <f>VLOOKUP(DW1,UNLOAD!$A:$B,2,FALSE)</f>
        <v>0</v>
      </c>
      <c r="DX5" s="62">
        <f>VLOOKUP(DX1,UNLOAD!$A:$B,2,FALSE)</f>
        <v>0</v>
      </c>
      <c r="DY5" s="62">
        <f>VLOOKUP(DY1,UNLOAD!$A:$B,2,FALSE)</f>
        <v>0</v>
      </c>
      <c r="DZ5" s="62">
        <f>VLOOKUP(DZ1,UNLOAD!$A:$B,2,FALSE)</f>
        <v>0</v>
      </c>
      <c r="EA5" s="62">
        <f>VLOOKUP(EA1,UNLOAD!$A:$B,2,FALSE)</f>
        <v>0</v>
      </c>
      <c r="EB5" s="62">
        <f>VLOOKUP(EB1,UNLOAD!$A:$B,2,FALSE)</f>
        <v>0</v>
      </c>
      <c r="EC5" s="62">
        <f>VLOOKUP(EC1,UNLOAD!$A:$B,2,FALSE)</f>
        <v>0</v>
      </c>
      <c r="ED5" s="62">
        <f>VLOOKUP(ED1,UNLOAD!$A:$B,2,FALSE)</f>
        <v>0</v>
      </c>
      <c r="EE5" s="62">
        <f>VLOOKUP(EE1,UNLOAD!$A:$B,2,FALSE)</f>
        <v>0</v>
      </c>
      <c r="EF5" s="62">
        <f>VLOOKUP(EF1,UNLOAD!$A:$B,2,FALSE)</f>
        <v>0</v>
      </c>
      <c r="EG5" s="62">
        <f>VLOOKUP(EG1,UNLOAD!$A:$B,2,FALSE)</f>
        <v>0</v>
      </c>
      <c r="EH5" s="62">
        <f>VLOOKUP(EH1,UNLOAD!$A:$B,2,FALSE)</f>
        <v>0</v>
      </c>
      <c r="EI5" s="62">
        <f>VLOOKUP(EI1,UNLOAD!$A:$B,2,FALSE)</f>
        <v>0</v>
      </c>
      <c r="EJ5" s="62">
        <f>VLOOKUP(EJ1,UNLOAD!$A:$B,2,FALSE)</f>
        <v>0</v>
      </c>
      <c r="EK5" s="62">
        <f>VLOOKUP(EK1,UNLOAD!$A:$B,2,FALSE)</f>
        <v>0</v>
      </c>
      <c r="EL5" s="62">
        <f>VLOOKUP(EL1,UNLOAD!$A:$B,2,FALSE)</f>
        <v>0</v>
      </c>
      <c r="EM5" s="62">
        <f>VLOOKUP(EM1,UNLOAD!$A:$B,2,FALSE)</f>
        <v>0</v>
      </c>
      <c r="EN5" s="62">
        <f>VLOOKUP(EN1,UNLOAD!$A:$B,2,FALSE)</f>
        <v>0</v>
      </c>
      <c r="EO5" s="62">
        <f>VLOOKUP(EO1,UNLOAD!$A:$B,2,FALSE)</f>
        <v>0</v>
      </c>
      <c r="EP5" s="62">
        <f>VLOOKUP(EP1,UNLOAD!$A:$B,2,FALSE)</f>
        <v>0</v>
      </c>
      <c r="EQ5" s="62">
        <f>VLOOKUP(EQ1,UNLOAD!$A:$B,2,FALSE)</f>
        <v>0</v>
      </c>
      <c r="ER5" s="62">
        <f>VLOOKUP(ER1,UNLOAD!$A:$B,2,FALSE)</f>
        <v>0</v>
      </c>
      <c r="ES5" s="62">
        <f>VLOOKUP(ES1,UNLOAD!$A:$B,2,FALSE)</f>
        <v>0</v>
      </c>
      <c r="ET5" s="62">
        <f>VLOOKUP(ET1,UNLOAD!$A:$B,2,FALSE)</f>
        <v>0</v>
      </c>
      <c r="EU5" s="62">
        <f>VLOOKUP(EU1,UNLOAD!$A:$B,2,FALSE)</f>
        <v>0</v>
      </c>
      <c r="EV5" s="62">
        <f>VLOOKUP(EV1,UNLOAD!$A:$B,2,FALSE)</f>
        <v>0</v>
      </c>
      <c r="EW5" s="62">
        <f>VLOOKUP(EW1,UNLOAD!$A:$B,2,FALSE)</f>
        <v>0</v>
      </c>
      <c r="EX5" s="62">
        <f>VLOOKUP(EX1,UNLOAD!$A:$B,2,FALSE)</f>
        <v>0</v>
      </c>
      <c r="EY5" s="62">
        <f>VLOOKUP(EY1,UNLOAD!$A:$B,2,FALSE)</f>
        <v>0</v>
      </c>
      <c r="EZ5" s="62">
        <f>VLOOKUP(EZ1,UNLOAD!$A:$B,2,FALSE)</f>
        <v>0</v>
      </c>
      <c r="FA5" s="62">
        <f>VLOOKUP(FA1,UNLOAD!$A:$B,2,FALSE)</f>
        <v>0</v>
      </c>
      <c r="FB5" s="62">
        <f>VLOOKUP(FB1,UNLOAD!$A:$B,2,FALSE)</f>
        <v>0</v>
      </c>
      <c r="FC5" s="62">
        <f>VLOOKUP(FC1,UNLOAD!$A:$B,2,FALSE)</f>
        <v>0</v>
      </c>
      <c r="FD5" s="62">
        <f>VLOOKUP(FD1,UNLOAD!$A:$B,2,FALSE)</f>
        <v>0</v>
      </c>
      <c r="FE5" s="62">
        <f>VLOOKUP(FE1,UNLOAD!$A:$B,2,FALSE)</f>
        <v>0</v>
      </c>
      <c r="FF5" s="62">
        <f>VLOOKUP(FF1,UNLOAD!$A:$B,2,FALSE)</f>
        <v>0</v>
      </c>
      <c r="FG5" s="62">
        <f>VLOOKUP(FG1,UNLOAD!$A:$B,2,FALSE)</f>
        <v>0</v>
      </c>
      <c r="FH5" s="62">
        <f>VLOOKUP(FH1,UNLOAD!$A:$B,2,FALSE)</f>
        <v>0</v>
      </c>
      <c r="FI5" s="62">
        <f>VLOOKUP(FI1,UNLOAD!$A:$B,2,FALSE)</f>
        <v>0</v>
      </c>
      <c r="FJ5" s="62">
        <f>VLOOKUP(FJ1,UNLOAD!$A:$B,2,FALSE)</f>
        <v>0</v>
      </c>
      <c r="FK5" s="62">
        <f>VLOOKUP(FK1,UNLOAD!$A:$B,2,FALSE)</f>
        <v>0</v>
      </c>
      <c r="FL5" s="62">
        <f>VLOOKUP(FL1,UNLOAD!$A:$B,2,FALSE)</f>
        <v>0</v>
      </c>
      <c r="FM5" s="62">
        <f>VLOOKUP(FM1,UNLOAD!$A:$B,2,FALSE)</f>
        <v>0</v>
      </c>
      <c r="FN5" s="62">
        <f>VLOOKUP(FN1,UNLOAD!$A:$B,2,FALSE)</f>
        <v>0</v>
      </c>
      <c r="FO5" s="62">
        <f>VLOOKUP(FO1,UNLOAD!$A:$B,2,FALSE)</f>
        <v>0</v>
      </c>
      <c r="FP5" s="62">
        <f>VLOOKUP(FP1,UNLOAD!$A:$B,2,FALSE)</f>
        <v>0</v>
      </c>
      <c r="FQ5" s="62">
        <f>VLOOKUP(FQ1,UNLOAD!$A:$B,2,FALSE)</f>
        <v>0</v>
      </c>
      <c r="FR5" s="62">
        <f>VLOOKUP(FR1,UNLOAD!$A:$B,2,FALSE)</f>
        <v>0</v>
      </c>
      <c r="FS5" s="62">
        <f>VLOOKUP(FS1,UNLOAD!$A:$B,2,FALSE)</f>
        <v>0</v>
      </c>
      <c r="FT5" s="62">
        <f>VLOOKUP(FT1,UNLOAD!$A:$B,2,FALSE)</f>
        <v>0</v>
      </c>
      <c r="FU5" s="62">
        <f>VLOOKUP(FU1,UNLOAD!$A:$B,2,FALSE)</f>
        <v>0</v>
      </c>
      <c r="FV5" s="62">
        <f>VLOOKUP(FV1,UNLOAD!$A:$B,2,FALSE)</f>
        <v>0</v>
      </c>
      <c r="FW5" s="62">
        <f>VLOOKUP(FW1,UNLOAD!$A:$B,2,FALSE)</f>
        <v>0</v>
      </c>
      <c r="FX5" s="62">
        <f>VLOOKUP(FX1,UNLOAD!$A:$B,2,FALSE)</f>
        <v>0</v>
      </c>
      <c r="FY5" s="62">
        <f>VLOOKUP(FY1,UNLOAD!$A:$B,2,FALSE)</f>
        <v>0</v>
      </c>
      <c r="FZ5" s="62">
        <f>VLOOKUP(FZ1,UNLOAD!$A:$B,2,FALSE)</f>
        <v>0</v>
      </c>
      <c r="GA5" s="62">
        <f>VLOOKUP(GA1,UNLOAD!$A:$B,2,FALSE)</f>
        <v>0</v>
      </c>
      <c r="GB5" s="62">
        <f>VLOOKUP(GB1,UNLOAD!$A:$B,2,FALSE)</f>
        <v>0</v>
      </c>
      <c r="GC5" s="62">
        <f>VLOOKUP(GC1,UNLOAD!$A:$B,2,FALSE)</f>
        <v>0</v>
      </c>
      <c r="GD5" s="62">
        <f>VLOOKUP(GD1,UNLOAD!$A:$B,2,FALSE)</f>
        <v>0</v>
      </c>
      <c r="GE5" s="62">
        <f>VLOOKUP(GE1,UNLOAD!$A:$B,2,FALSE)</f>
        <v>0</v>
      </c>
      <c r="GF5" s="62">
        <f>VLOOKUP(GF1,UNLOAD!$A:$B,2,FALSE)</f>
        <v>0</v>
      </c>
      <c r="GG5" s="62">
        <f>VLOOKUP(GG1,UNLOAD!$A:$B,2,FALSE)</f>
        <v>0</v>
      </c>
      <c r="GH5" s="62">
        <f>VLOOKUP(GH1,UNLOAD!$A:$B,2,FALSE)</f>
        <v>0</v>
      </c>
      <c r="GI5" s="62">
        <f>VLOOKUP(GI1,UNLOAD!$A:$B,2,FALSE)</f>
        <v>0</v>
      </c>
      <c r="GJ5" s="62">
        <f>VLOOKUP(GJ1,UNLOAD!$A:$B,2,FALSE)</f>
        <v>0</v>
      </c>
      <c r="GK5" s="62">
        <f>VLOOKUP(GK1,UNLOAD!$A:$B,2,FALSE)</f>
        <v>0</v>
      </c>
      <c r="GL5" s="62">
        <f>VLOOKUP(GL1,UNLOAD!$A:$B,2,FALSE)</f>
        <v>0</v>
      </c>
      <c r="GM5" s="62">
        <f>VLOOKUP(GM1,UNLOAD!$A:$B,2,FALSE)</f>
        <v>0</v>
      </c>
      <c r="GN5" s="62">
        <f>VLOOKUP(GN1,UNLOAD!$A:$B,2,FALSE)</f>
        <v>0</v>
      </c>
      <c r="GO5" s="62">
        <f>VLOOKUP(GO1,UNLOAD!$A:$B,2,FALSE)</f>
        <v>0</v>
      </c>
      <c r="GP5" s="62">
        <f>VLOOKUP(GP1,UNLOAD!$A:$B,2,FALSE)</f>
        <v>0</v>
      </c>
      <c r="GQ5" s="62">
        <f>VLOOKUP(GQ1,UNLOAD!$A:$B,2,FALSE)</f>
        <v>0</v>
      </c>
      <c r="GR5" s="62">
        <f>VLOOKUP(GR1,UNLOAD!$A:$B,2,FALSE)</f>
        <v>0</v>
      </c>
      <c r="GS5" s="62">
        <f>VLOOKUP(GS1,UNLOAD!$A:$B,2,FALSE)</f>
        <v>0</v>
      </c>
      <c r="GT5" s="62">
        <f>VLOOKUP(GT1,UNLOAD!$A:$B,2,FALSE)</f>
        <v>0</v>
      </c>
      <c r="GU5" s="62">
        <f>VLOOKUP(GU1,UNLOAD!$A:$B,2,FALSE)</f>
        <v>0</v>
      </c>
    </row>
    <row r="6" spans="1:203" x14ac:dyDescent="0.25">
      <c r="A6" s="8" t="s">
        <v>19</v>
      </c>
      <c r="B6" s="175"/>
      <c r="C6" s="140">
        <f>UNLOAD!F8</f>
        <v>0</v>
      </c>
      <c r="D6" s="62">
        <f>VLOOKUP(D1,UNLOAD!$A:$C,3,FALSE)</f>
        <v>0</v>
      </c>
      <c r="E6" s="62">
        <f>VLOOKUP(E1,UNLOAD!$A:$C,3,FALSE)</f>
        <v>0</v>
      </c>
      <c r="F6" s="62">
        <f>VLOOKUP(F1,UNLOAD!$A:$C,3,FALSE)</f>
        <v>0</v>
      </c>
      <c r="G6" s="62">
        <f>VLOOKUP(G1,UNLOAD!$A:$C,3,FALSE)</f>
        <v>0</v>
      </c>
      <c r="H6" s="62">
        <f>VLOOKUP(H1,UNLOAD!$A:$C,3,FALSE)</f>
        <v>0</v>
      </c>
      <c r="I6" s="62">
        <f>VLOOKUP(I1,UNLOAD!$A:$C,3,FALSE)</f>
        <v>0</v>
      </c>
      <c r="J6" s="62">
        <f>VLOOKUP(J1,UNLOAD!$A:$C,3,FALSE)</f>
        <v>0</v>
      </c>
      <c r="K6" s="62">
        <f>VLOOKUP(K1,UNLOAD!$A:$C,3,FALSE)</f>
        <v>0</v>
      </c>
      <c r="L6" s="62">
        <f>VLOOKUP(L1,UNLOAD!$A:$C,3,FALSE)</f>
        <v>0</v>
      </c>
      <c r="M6" s="62">
        <f>VLOOKUP(M1,UNLOAD!$A:$C,3,FALSE)</f>
        <v>0</v>
      </c>
      <c r="N6" s="62">
        <f>VLOOKUP(N1,UNLOAD!$A:$C,3,FALSE)</f>
        <v>0</v>
      </c>
      <c r="O6" s="62">
        <f>VLOOKUP(O1,UNLOAD!$A:$C,3,FALSE)</f>
        <v>0</v>
      </c>
      <c r="P6" s="62">
        <f>VLOOKUP(P1,UNLOAD!$A:$C,3,FALSE)</f>
        <v>0</v>
      </c>
      <c r="Q6" s="62">
        <f>VLOOKUP(Q1,UNLOAD!$A:$C,3,FALSE)</f>
        <v>0</v>
      </c>
      <c r="R6" s="62">
        <f>VLOOKUP(R1,UNLOAD!$A:$C,3,FALSE)</f>
        <v>0</v>
      </c>
      <c r="S6" s="62">
        <f>VLOOKUP(S1,UNLOAD!$A:$C,3,FALSE)</f>
        <v>0</v>
      </c>
      <c r="T6" s="62">
        <f>VLOOKUP(T1,UNLOAD!$A:$C,3,FALSE)</f>
        <v>0</v>
      </c>
      <c r="U6" s="62">
        <f>VLOOKUP(U1,UNLOAD!$A:$C,3,FALSE)</f>
        <v>0</v>
      </c>
      <c r="V6" s="62">
        <f>VLOOKUP(V1,UNLOAD!$A:$C,3,FALSE)</f>
        <v>0</v>
      </c>
      <c r="W6" s="62">
        <f>VLOOKUP(W1,UNLOAD!$A:$C,3,FALSE)</f>
        <v>0</v>
      </c>
      <c r="X6" s="62">
        <f>VLOOKUP(X1,UNLOAD!$A:$C,3,FALSE)</f>
        <v>0</v>
      </c>
      <c r="Y6" s="62">
        <f>VLOOKUP(Y1,UNLOAD!$A:$C,3,FALSE)</f>
        <v>0</v>
      </c>
      <c r="Z6" s="62">
        <f>VLOOKUP(Z1,UNLOAD!$A:$C,3,FALSE)</f>
        <v>0</v>
      </c>
      <c r="AA6" s="62">
        <f>VLOOKUP(AA1,UNLOAD!$A:$C,3,FALSE)</f>
        <v>0</v>
      </c>
      <c r="AB6" s="62">
        <f>VLOOKUP(AB1,UNLOAD!$A:$C,3,FALSE)</f>
        <v>0</v>
      </c>
      <c r="AC6" s="62">
        <f>VLOOKUP(AC1,UNLOAD!$A:$C,3,FALSE)</f>
        <v>0</v>
      </c>
      <c r="AD6" s="62">
        <f>VLOOKUP(AD1,UNLOAD!$A:$C,3,FALSE)</f>
        <v>0</v>
      </c>
      <c r="AE6" s="62">
        <f>VLOOKUP(AE1,UNLOAD!$A:$C,3,FALSE)</f>
        <v>0</v>
      </c>
      <c r="AF6" s="62">
        <f>VLOOKUP(AF1,UNLOAD!$A:$C,3,FALSE)</f>
        <v>0</v>
      </c>
      <c r="AG6" s="62">
        <f>VLOOKUP(AG1,UNLOAD!$A:$C,3,FALSE)</f>
        <v>0</v>
      </c>
      <c r="AH6" s="62">
        <f>VLOOKUP(AH1,UNLOAD!$A:$C,3,FALSE)</f>
        <v>0</v>
      </c>
      <c r="AI6" s="62">
        <f>VLOOKUP(AI1,UNLOAD!$A:$C,3,FALSE)</f>
        <v>0</v>
      </c>
      <c r="AJ6" s="62">
        <f>VLOOKUP(AJ1,UNLOAD!$A:$C,3,FALSE)</f>
        <v>0</v>
      </c>
      <c r="AK6" s="62">
        <f>VLOOKUP(AK1,UNLOAD!$A:$C,3,FALSE)</f>
        <v>0</v>
      </c>
      <c r="AL6" s="62">
        <f>VLOOKUP(AL1,UNLOAD!$A:$C,3,FALSE)</f>
        <v>0</v>
      </c>
      <c r="AM6" s="62">
        <f>VLOOKUP(AM1,UNLOAD!$A:$C,3,FALSE)</f>
        <v>0</v>
      </c>
      <c r="AN6" s="62">
        <f>VLOOKUP(AN1,UNLOAD!$A:$C,3,FALSE)</f>
        <v>0</v>
      </c>
      <c r="AO6" s="62">
        <f>VLOOKUP(AO1,UNLOAD!$A:$C,3,FALSE)</f>
        <v>0</v>
      </c>
      <c r="AP6" s="62">
        <f>VLOOKUP(AP1,UNLOAD!$A:$C,3,FALSE)</f>
        <v>0</v>
      </c>
      <c r="AQ6" s="62">
        <f>VLOOKUP(AQ1,UNLOAD!$A:$C,3,FALSE)</f>
        <v>0</v>
      </c>
      <c r="AR6" s="62">
        <f>VLOOKUP(AR1,UNLOAD!$A:$C,3,FALSE)</f>
        <v>0</v>
      </c>
      <c r="AS6" s="62">
        <f>VLOOKUP(AS1,UNLOAD!$A:$C,3,FALSE)</f>
        <v>0</v>
      </c>
      <c r="AT6" s="62">
        <f>VLOOKUP(AT1,UNLOAD!$A:$C,3,FALSE)</f>
        <v>0</v>
      </c>
      <c r="AU6" s="62">
        <f>VLOOKUP(AU1,UNLOAD!$A:$C,3,FALSE)</f>
        <v>0</v>
      </c>
      <c r="AV6" s="62">
        <f>VLOOKUP(AV1,UNLOAD!$A:$C,3,FALSE)</f>
        <v>0</v>
      </c>
      <c r="AW6" s="62">
        <f>VLOOKUP(AW1,UNLOAD!$A:$C,3,FALSE)</f>
        <v>0</v>
      </c>
      <c r="AX6" s="62">
        <f>VLOOKUP(AX1,UNLOAD!$A:$C,3,FALSE)</f>
        <v>0</v>
      </c>
      <c r="AY6" s="62">
        <f>VLOOKUP(AY1,UNLOAD!$A:$C,3,FALSE)</f>
        <v>0</v>
      </c>
      <c r="AZ6" s="62">
        <f>VLOOKUP(AZ1,UNLOAD!$A:$C,3,FALSE)</f>
        <v>0</v>
      </c>
      <c r="BA6" s="62">
        <f>VLOOKUP(BA1,UNLOAD!$A:$C,3,FALSE)</f>
        <v>0</v>
      </c>
      <c r="BB6" s="62">
        <f>VLOOKUP(BB1,UNLOAD!$A:$C,3,FALSE)</f>
        <v>0</v>
      </c>
      <c r="BC6" s="62">
        <f>VLOOKUP(BC1,UNLOAD!$A:$C,3,FALSE)</f>
        <v>0</v>
      </c>
      <c r="BD6" s="62">
        <f>VLOOKUP(BD1,UNLOAD!$A:$C,3,FALSE)</f>
        <v>0</v>
      </c>
      <c r="BE6" s="62">
        <f>VLOOKUP(BE1,UNLOAD!$A:$C,3,FALSE)</f>
        <v>0</v>
      </c>
      <c r="BF6" s="62">
        <f>VLOOKUP(BF1,UNLOAD!$A:$C,3,FALSE)</f>
        <v>0</v>
      </c>
      <c r="BG6" s="62">
        <f>VLOOKUP(BG1,UNLOAD!$A:$C,3,FALSE)</f>
        <v>0</v>
      </c>
      <c r="BH6" s="62">
        <f>VLOOKUP(BH1,UNLOAD!$A:$C,3,FALSE)</f>
        <v>0</v>
      </c>
      <c r="BI6" s="62">
        <f>VLOOKUP(BI1,UNLOAD!$A:$C,3,FALSE)</f>
        <v>0</v>
      </c>
      <c r="BJ6" s="62">
        <f>VLOOKUP(BJ1,UNLOAD!$A:$C,3,FALSE)</f>
        <v>0</v>
      </c>
      <c r="BK6" s="62">
        <f>VLOOKUP(BK1,UNLOAD!$A:$C,3,FALSE)</f>
        <v>0</v>
      </c>
      <c r="BL6" s="62">
        <f>VLOOKUP(BL1,UNLOAD!$A:$C,3,FALSE)</f>
        <v>0</v>
      </c>
      <c r="BM6" s="62">
        <f>VLOOKUP(BM1,UNLOAD!$A:$C,3,FALSE)</f>
        <v>0</v>
      </c>
      <c r="BN6" s="62">
        <f>VLOOKUP(BN1,UNLOAD!$A:$C,3,FALSE)</f>
        <v>0</v>
      </c>
      <c r="BO6" s="62">
        <f>VLOOKUP(BO1,UNLOAD!$A:$C,3,FALSE)</f>
        <v>0</v>
      </c>
      <c r="BP6" s="62">
        <f>VLOOKUP(BP1,UNLOAD!$A:$C,3,FALSE)</f>
        <v>0</v>
      </c>
      <c r="BQ6" s="62">
        <f>VLOOKUP(BQ1,UNLOAD!$A:$C,3,FALSE)</f>
        <v>0</v>
      </c>
      <c r="BR6" s="62">
        <f>VLOOKUP(BR1,UNLOAD!$A:$C,3,FALSE)</f>
        <v>0</v>
      </c>
      <c r="BS6" s="62">
        <f>VLOOKUP(BS1,UNLOAD!$A:$C,3,FALSE)</f>
        <v>0</v>
      </c>
      <c r="BT6" s="62">
        <f>VLOOKUP(BT1,UNLOAD!$A:$C,3,FALSE)</f>
        <v>0</v>
      </c>
      <c r="BU6" s="62">
        <f>VLOOKUP(BU1,UNLOAD!$A:$C,3,FALSE)</f>
        <v>0</v>
      </c>
      <c r="BV6" s="62">
        <f>VLOOKUP(BV1,UNLOAD!$A:$C,3,FALSE)</f>
        <v>0</v>
      </c>
      <c r="BW6" s="62">
        <f>VLOOKUP(BW1,UNLOAD!$A:$C,3,FALSE)</f>
        <v>0</v>
      </c>
      <c r="BX6" s="62">
        <f>VLOOKUP(BX1,UNLOAD!$A:$C,3,FALSE)</f>
        <v>0</v>
      </c>
      <c r="BY6" s="62">
        <f>VLOOKUP(BY1,UNLOAD!$A:$C,3,FALSE)</f>
        <v>0</v>
      </c>
      <c r="BZ6" s="62">
        <f>VLOOKUP(BZ1,UNLOAD!$A:$C,3,FALSE)</f>
        <v>0</v>
      </c>
      <c r="CA6" s="62">
        <f>VLOOKUP(CA1,UNLOAD!$A:$C,3,FALSE)</f>
        <v>0</v>
      </c>
      <c r="CB6" s="62">
        <f>VLOOKUP(CB1,UNLOAD!$A:$C,3,FALSE)</f>
        <v>0</v>
      </c>
      <c r="CC6" s="62">
        <f>VLOOKUP(CC1,UNLOAD!$A:$C,3,FALSE)</f>
        <v>0</v>
      </c>
      <c r="CD6" s="62">
        <f>VLOOKUP(CD1,UNLOAD!$A:$C,3,FALSE)</f>
        <v>0</v>
      </c>
      <c r="CE6" s="62">
        <f>VLOOKUP(CE1,UNLOAD!$A:$C,3,FALSE)</f>
        <v>0</v>
      </c>
      <c r="CF6" s="62">
        <f>VLOOKUP(CF1,UNLOAD!$A:$C,3,FALSE)</f>
        <v>0</v>
      </c>
      <c r="CG6" s="62">
        <f>VLOOKUP(CG1,UNLOAD!$A:$C,3,FALSE)</f>
        <v>0</v>
      </c>
      <c r="CH6" s="62">
        <f>VLOOKUP(CH1,UNLOAD!$A:$C,3,FALSE)</f>
        <v>0</v>
      </c>
      <c r="CI6" s="62">
        <f>VLOOKUP(CI1,UNLOAD!$A:$C,3,FALSE)</f>
        <v>0</v>
      </c>
      <c r="CJ6" s="62">
        <f>VLOOKUP(CJ1,UNLOAD!$A:$C,3,FALSE)</f>
        <v>0</v>
      </c>
      <c r="CK6" s="62">
        <f>VLOOKUP(CK1,UNLOAD!$A:$C,3,FALSE)</f>
        <v>0</v>
      </c>
      <c r="CL6" s="62">
        <f>VLOOKUP(CL1,UNLOAD!$A:$C,3,FALSE)</f>
        <v>0</v>
      </c>
      <c r="CM6" s="62">
        <f>VLOOKUP(CM1,UNLOAD!$A:$C,3,FALSE)</f>
        <v>0</v>
      </c>
      <c r="CN6" s="62">
        <f>VLOOKUP(CN1,UNLOAD!$A:$C,3,FALSE)</f>
        <v>0</v>
      </c>
      <c r="CO6" s="62">
        <f>VLOOKUP(CO1,UNLOAD!$A:$C,3,FALSE)</f>
        <v>0</v>
      </c>
      <c r="CP6" s="62">
        <f>VLOOKUP(CP1,UNLOAD!$A:$C,3,FALSE)</f>
        <v>0</v>
      </c>
      <c r="CQ6" s="62">
        <f>VLOOKUP(CQ1,UNLOAD!$A:$C,3,FALSE)</f>
        <v>0</v>
      </c>
      <c r="CR6" s="62">
        <f>VLOOKUP(CR1,UNLOAD!$A:$C,3,FALSE)</f>
        <v>0</v>
      </c>
      <c r="CS6" s="62">
        <f>VLOOKUP(CS1,UNLOAD!$A:$C,3,FALSE)</f>
        <v>0</v>
      </c>
      <c r="CT6" s="62">
        <f>VLOOKUP(CT1,UNLOAD!$A:$C,3,FALSE)</f>
        <v>0</v>
      </c>
      <c r="CU6" s="62">
        <f>VLOOKUP(CU1,UNLOAD!$A:$C,3,FALSE)</f>
        <v>0</v>
      </c>
      <c r="CV6" s="62">
        <f>VLOOKUP(CV1,UNLOAD!$A:$C,3,FALSE)</f>
        <v>0</v>
      </c>
      <c r="CW6" s="62">
        <f>VLOOKUP(CW1,UNLOAD!$A:$C,3,FALSE)</f>
        <v>0</v>
      </c>
      <c r="CX6" s="62">
        <f>VLOOKUP(CX1,UNLOAD!$A:$C,3,FALSE)</f>
        <v>0</v>
      </c>
      <c r="CY6" s="62">
        <f>VLOOKUP(CY1,UNLOAD!$A:$C,3,FALSE)</f>
        <v>0</v>
      </c>
      <c r="CZ6" s="62">
        <f>VLOOKUP(CZ1,UNLOAD!$A:$C,3,FALSE)</f>
        <v>0</v>
      </c>
      <c r="DA6" s="62">
        <f>VLOOKUP(DA1,UNLOAD!$A:$C,3,FALSE)</f>
        <v>0</v>
      </c>
      <c r="DB6" s="62">
        <f>VLOOKUP(DB1,UNLOAD!$A:$C,3,FALSE)</f>
        <v>0</v>
      </c>
      <c r="DC6" s="62">
        <f>VLOOKUP(DC1,UNLOAD!$A:$C,3,FALSE)</f>
        <v>0</v>
      </c>
      <c r="DD6" s="62">
        <f>VLOOKUP(DD1,UNLOAD!$A:$C,3,FALSE)</f>
        <v>0</v>
      </c>
      <c r="DE6" s="62">
        <f>VLOOKUP(DE1,UNLOAD!$A:$C,3,FALSE)</f>
        <v>0</v>
      </c>
      <c r="DF6" s="62">
        <f>VLOOKUP(DF1,UNLOAD!$A:$C,3,FALSE)</f>
        <v>0</v>
      </c>
      <c r="DG6" s="62">
        <f>VLOOKUP(DG1,UNLOAD!$A:$C,3,FALSE)</f>
        <v>0</v>
      </c>
      <c r="DH6" s="62">
        <f>VLOOKUP(DH1,UNLOAD!$A:$C,3,FALSE)</f>
        <v>0</v>
      </c>
      <c r="DI6" s="62">
        <f>VLOOKUP(DI1,UNLOAD!$A:$C,3,FALSE)</f>
        <v>0</v>
      </c>
      <c r="DJ6" s="62">
        <f>VLOOKUP(DJ1,UNLOAD!$A:$C,3,FALSE)</f>
        <v>0</v>
      </c>
      <c r="DK6" s="62">
        <f>VLOOKUP(DK1,UNLOAD!$A:$C,3,FALSE)</f>
        <v>0</v>
      </c>
      <c r="DL6" s="62">
        <f>VLOOKUP(DL1,UNLOAD!$A:$C,3,FALSE)</f>
        <v>0</v>
      </c>
      <c r="DM6" s="62">
        <f>VLOOKUP(DM1,UNLOAD!$A:$C,3,FALSE)</f>
        <v>0</v>
      </c>
      <c r="DN6" s="62">
        <f>VLOOKUP(DN1,UNLOAD!$A:$C,3,FALSE)</f>
        <v>0</v>
      </c>
      <c r="DO6" s="62">
        <f>VLOOKUP(DO1,UNLOAD!$A:$C,3,FALSE)</f>
        <v>0</v>
      </c>
      <c r="DP6" s="62">
        <f>VLOOKUP(DP1,UNLOAD!$A:$C,3,FALSE)</f>
        <v>0</v>
      </c>
      <c r="DQ6" s="62">
        <f>VLOOKUP(DQ1,UNLOAD!$A:$C,3,FALSE)</f>
        <v>0</v>
      </c>
      <c r="DR6" s="62">
        <f>VLOOKUP(DR1,UNLOAD!$A:$C,3,FALSE)</f>
        <v>0</v>
      </c>
      <c r="DS6" s="62">
        <f>VLOOKUP(DS1,UNLOAD!$A:$C,3,FALSE)</f>
        <v>0</v>
      </c>
      <c r="DT6" s="62">
        <f>VLOOKUP(DT1,UNLOAD!$A:$C,3,FALSE)</f>
        <v>0</v>
      </c>
      <c r="DU6" s="62">
        <f>VLOOKUP(DU1,UNLOAD!$A:$C,3,FALSE)</f>
        <v>0</v>
      </c>
      <c r="DV6" s="62">
        <f>VLOOKUP(DV1,UNLOAD!$A:$C,3,FALSE)</f>
        <v>0</v>
      </c>
      <c r="DW6" s="62">
        <f>VLOOKUP(DW1,UNLOAD!$A:$C,3,FALSE)</f>
        <v>0</v>
      </c>
      <c r="DX6" s="62">
        <f>VLOOKUP(DX1,UNLOAD!$A:$C,3,FALSE)</f>
        <v>0</v>
      </c>
      <c r="DY6" s="62">
        <f>VLOOKUP(DY1,UNLOAD!$A:$C,3,FALSE)</f>
        <v>0</v>
      </c>
      <c r="DZ6" s="62">
        <f>VLOOKUP(DZ1,UNLOAD!$A:$C,3,FALSE)</f>
        <v>0</v>
      </c>
      <c r="EA6" s="62">
        <f>VLOOKUP(EA1,UNLOAD!$A:$C,3,FALSE)</f>
        <v>0</v>
      </c>
      <c r="EB6" s="62">
        <f>VLOOKUP(EB1,UNLOAD!$A:$C,3,FALSE)</f>
        <v>0</v>
      </c>
      <c r="EC6" s="62">
        <f>VLOOKUP(EC1,UNLOAD!$A:$C,3,FALSE)</f>
        <v>0</v>
      </c>
      <c r="ED6" s="62">
        <f>VLOOKUP(ED1,UNLOAD!$A:$C,3,FALSE)</f>
        <v>0</v>
      </c>
      <c r="EE6" s="62">
        <f>VLOOKUP(EE1,UNLOAD!$A:$C,3,FALSE)</f>
        <v>0</v>
      </c>
      <c r="EF6" s="62">
        <f>VLOOKUP(EF1,UNLOAD!$A:$C,3,FALSE)</f>
        <v>0</v>
      </c>
      <c r="EG6" s="62">
        <f>VLOOKUP(EG1,UNLOAD!$A:$C,3,FALSE)</f>
        <v>0</v>
      </c>
      <c r="EH6" s="62">
        <f>VLOOKUP(EH1,UNLOAD!$A:$C,3,FALSE)</f>
        <v>0</v>
      </c>
      <c r="EI6" s="62">
        <f>VLOOKUP(EI1,UNLOAD!$A:$C,3,FALSE)</f>
        <v>0</v>
      </c>
      <c r="EJ6" s="62">
        <f>VLOOKUP(EJ1,UNLOAD!$A:$C,3,FALSE)</f>
        <v>0</v>
      </c>
      <c r="EK6" s="62">
        <f>VLOOKUP(EK1,UNLOAD!$A:$C,3,FALSE)</f>
        <v>0</v>
      </c>
      <c r="EL6" s="62">
        <f>VLOOKUP(EL1,UNLOAD!$A:$C,3,FALSE)</f>
        <v>0</v>
      </c>
      <c r="EM6" s="62">
        <f>VLOOKUP(EM1,UNLOAD!$A:$C,3,FALSE)</f>
        <v>0</v>
      </c>
      <c r="EN6" s="62">
        <f>VLOOKUP(EN1,UNLOAD!$A:$C,3,FALSE)</f>
        <v>0</v>
      </c>
      <c r="EO6" s="62">
        <f>VLOOKUP(EO1,UNLOAD!$A:$C,3,FALSE)</f>
        <v>0</v>
      </c>
      <c r="EP6" s="62">
        <f>VLOOKUP(EP1,UNLOAD!$A:$C,3,FALSE)</f>
        <v>0</v>
      </c>
      <c r="EQ6" s="62">
        <f>VLOOKUP(EQ1,UNLOAD!$A:$C,3,FALSE)</f>
        <v>0</v>
      </c>
      <c r="ER6" s="62">
        <f>VLOOKUP(ER1,UNLOAD!$A:$C,3,FALSE)</f>
        <v>0</v>
      </c>
      <c r="ES6" s="62">
        <f>VLOOKUP(ES1,UNLOAD!$A:$C,3,FALSE)</f>
        <v>0</v>
      </c>
      <c r="ET6" s="62">
        <f>VLOOKUP(ET1,UNLOAD!$A:$C,3,FALSE)</f>
        <v>0</v>
      </c>
      <c r="EU6" s="62">
        <f>VLOOKUP(EU1,UNLOAD!$A:$C,3,FALSE)</f>
        <v>0</v>
      </c>
      <c r="EV6" s="62">
        <f>VLOOKUP(EV1,UNLOAD!$A:$C,3,FALSE)</f>
        <v>0</v>
      </c>
      <c r="EW6" s="62">
        <f>VLOOKUP(EW1,UNLOAD!$A:$C,3,FALSE)</f>
        <v>0</v>
      </c>
      <c r="EX6" s="62">
        <f>VLOOKUP(EX1,UNLOAD!$A:$C,3,FALSE)</f>
        <v>0</v>
      </c>
      <c r="EY6" s="62">
        <f>VLOOKUP(EY1,UNLOAD!$A:$C,3,FALSE)</f>
        <v>0</v>
      </c>
      <c r="EZ6" s="62">
        <f>VLOOKUP(EZ1,UNLOAD!$A:$C,3,FALSE)</f>
        <v>0</v>
      </c>
      <c r="FA6" s="62">
        <f>VLOOKUP(FA1,UNLOAD!$A:$C,3,FALSE)</f>
        <v>0</v>
      </c>
      <c r="FB6" s="62">
        <f>VLOOKUP(FB1,UNLOAD!$A:$C,3,FALSE)</f>
        <v>0</v>
      </c>
      <c r="FC6" s="62">
        <f>VLOOKUP(FC1,UNLOAD!$A:$C,3,FALSE)</f>
        <v>0</v>
      </c>
      <c r="FD6" s="62">
        <f>VLOOKUP(FD1,UNLOAD!$A:$C,3,FALSE)</f>
        <v>0</v>
      </c>
      <c r="FE6" s="62">
        <f>VLOOKUP(FE1,UNLOAD!$A:$C,3,FALSE)</f>
        <v>0</v>
      </c>
      <c r="FF6" s="62">
        <f>VLOOKUP(FF1,UNLOAD!$A:$C,3,FALSE)</f>
        <v>0</v>
      </c>
      <c r="FG6" s="62">
        <f>VLOOKUP(FG1,UNLOAD!$A:$C,3,FALSE)</f>
        <v>0</v>
      </c>
      <c r="FH6" s="62">
        <f>VLOOKUP(FH1,UNLOAD!$A:$C,3,FALSE)</f>
        <v>0</v>
      </c>
      <c r="FI6" s="62">
        <f>VLOOKUP(FI1,UNLOAD!$A:$C,3,FALSE)</f>
        <v>0</v>
      </c>
      <c r="FJ6" s="62">
        <f>VLOOKUP(FJ1,UNLOAD!$A:$C,3,FALSE)</f>
        <v>0</v>
      </c>
      <c r="FK6" s="62">
        <f>VLOOKUP(FK1,UNLOAD!$A:$C,3,FALSE)</f>
        <v>0</v>
      </c>
      <c r="FL6" s="62">
        <f>VLOOKUP(FL1,UNLOAD!$A:$C,3,FALSE)</f>
        <v>0</v>
      </c>
      <c r="FM6" s="62">
        <f>VLOOKUP(FM1,UNLOAD!$A:$C,3,FALSE)</f>
        <v>0</v>
      </c>
      <c r="FN6" s="62">
        <f>VLOOKUP(FN1,UNLOAD!$A:$C,3,FALSE)</f>
        <v>0</v>
      </c>
      <c r="FO6" s="62">
        <f>VLOOKUP(FO1,UNLOAD!$A:$C,3,FALSE)</f>
        <v>0</v>
      </c>
      <c r="FP6" s="62">
        <f>VLOOKUP(FP1,UNLOAD!$A:$C,3,FALSE)</f>
        <v>0</v>
      </c>
      <c r="FQ6" s="62">
        <f>VLOOKUP(FQ1,UNLOAD!$A:$C,3,FALSE)</f>
        <v>0</v>
      </c>
      <c r="FR6" s="62">
        <f>VLOOKUP(FR1,UNLOAD!$A:$C,3,FALSE)</f>
        <v>0</v>
      </c>
      <c r="FS6" s="62">
        <f>VLOOKUP(FS1,UNLOAD!$A:$C,3,FALSE)</f>
        <v>0</v>
      </c>
      <c r="FT6" s="62">
        <f>VLOOKUP(FT1,UNLOAD!$A:$C,3,FALSE)</f>
        <v>0</v>
      </c>
      <c r="FU6" s="62">
        <f>VLOOKUP(FU1,UNLOAD!$A:$C,3,FALSE)</f>
        <v>0</v>
      </c>
      <c r="FV6" s="62">
        <f>VLOOKUP(FV1,UNLOAD!$A:$C,3,FALSE)</f>
        <v>0</v>
      </c>
      <c r="FW6" s="62">
        <f>VLOOKUP(FW1,UNLOAD!$A:$C,3,FALSE)</f>
        <v>0</v>
      </c>
      <c r="FX6" s="62">
        <f>VLOOKUP(FX1,UNLOAD!$A:$C,3,FALSE)</f>
        <v>0</v>
      </c>
      <c r="FY6" s="62">
        <f>VLOOKUP(FY1,UNLOAD!$A:$C,3,FALSE)</f>
        <v>0</v>
      </c>
      <c r="FZ6" s="62">
        <f>VLOOKUP(FZ1,UNLOAD!$A:$C,3,FALSE)</f>
        <v>0</v>
      </c>
      <c r="GA6" s="62">
        <f>VLOOKUP(GA1,UNLOAD!$A:$C,3,FALSE)</f>
        <v>0</v>
      </c>
      <c r="GB6" s="62">
        <f>VLOOKUP(GB1,UNLOAD!$A:$C,3,FALSE)</f>
        <v>0</v>
      </c>
      <c r="GC6" s="62">
        <f>VLOOKUP(GC1,UNLOAD!$A:$C,3,FALSE)</f>
        <v>0</v>
      </c>
      <c r="GD6" s="62">
        <f>VLOOKUP(GD1,UNLOAD!$A:$C,3,FALSE)</f>
        <v>0</v>
      </c>
      <c r="GE6" s="62">
        <f>VLOOKUP(GE1,UNLOAD!$A:$C,3,FALSE)</f>
        <v>0</v>
      </c>
      <c r="GF6" s="62">
        <f>VLOOKUP(GF1,UNLOAD!$A:$C,3,FALSE)</f>
        <v>0</v>
      </c>
      <c r="GG6" s="62">
        <f>VLOOKUP(GG1,UNLOAD!$A:$C,3,FALSE)</f>
        <v>0</v>
      </c>
      <c r="GH6" s="62">
        <f>VLOOKUP(GH1,UNLOAD!$A:$C,3,FALSE)</f>
        <v>0</v>
      </c>
      <c r="GI6" s="62">
        <f>VLOOKUP(GI1,UNLOAD!$A:$C,3,FALSE)</f>
        <v>0</v>
      </c>
      <c r="GJ6" s="62">
        <f>VLOOKUP(GJ1,UNLOAD!$A:$C,3,FALSE)</f>
        <v>0</v>
      </c>
      <c r="GK6" s="62">
        <f>VLOOKUP(GK1,UNLOAD!$A:$C,3,FALSE)</f>
        <v>0</v>
      </c>
      <c r="GL6" s="62">
        <f>VLOOKUP(GL1,UNLOAD!$A:$C,3,FALSE)</f>
        <v>0</v>
      </c>
      <c r="GM6" s="62">
        <f>VLOOKUP(GM1,UNLOAD!$A:$C,3,FALSE)</f>
        <v>0</v>
      </c>
      <c r="GN6" s="62">
        <f>VLOOKUP(GN1,UNLOAD!$A:$C,3,FALSE)</f>
        <v>0</v>
      </c>
      <c r="GO6" s="62">
        <f>VLOOKUP(GO1,UNLOAD!$A:$C,3,FALSE)</f>
        <v>0</v>
      </c>
      <c r="GP6" s="62">
        <f>VLOOKUP(GP1,UNLOAD!$A:$C,3,FALSE)</f>
        <v>0</v>
      </c>
      <c r="GQ6" s="62">
        <f>VLOOKUP(GQ1,UNLOAD!$A:$C,3,FALSE)</f>
        <v>0</v>
      </c>
      <c r="GR6" s="62">
        <f>VLOOKUP(GR1,UNLOAD!$A:$C,3,FALSE)</f>
        <v>0</v>
      </c>
      <c r="GS6" s="62">
        <f>VLOOKUP(GS1,UNLOAD!$A:$C,3,FALSE)</f>
        <v>0</v>
      </c>
      <c r="GT6" s="62">
        <f>VLOOKUP(GT1,UNLOAD!$A:$C,3,FALSE)</f>
        <v>0</v>
      </c>
      <c r="GU6" s="62">
        <f>VLOOKUP(GU1,UNLOAD!$A:$C,3,FALSE)</f>
        <v>0</v>
      </c>
    </row>
    <row r="7" spans="1:203" x14ac:dyDescent="0.25">
      <c r="A7" s="8" t="s">
        <v>71</v>
      </c>
      <c r="B7" s="176" t="str">
        <f>DATA!J11</f>
        <v/>
      </c>
      <c r="C7" s="140">
        <f>DATA!K11</f>
        <v>0</v>
      </c>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row>
    <row r="8" spans="1:203" x14ac:dyDescent="0.25">
      <c r="A8" s="8" t="s">
        <v>70</v>
      </c>
      <c r="B8" s="176" t="str">
        <f>DATA!J12</f>
        <v/>
      </c>
      <c r="C8" s="140">
        <f>DATA!K12</f>
        <v>0</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c r="CA8" s="62"/>
      <c r="CB8" s="62"/>
      <c r="CC8" s="62"/>
      <c r="CD8" s="62"/>
      <c r="CE8" s="62"/>
      <c r="CF8" s="62"/>
      <c r="CG8" s="62"/>
      <c r="CH8" s="62"/>
      <c r="CI8" s="62"/>
      <c r="CJ8" s="62"/>
      <c r="CK8" s="62"/>
      <c r="CL8" s="62"/>
      <c r="CM8" s="62"/>
      <c r="CN8" s="62"/>
      <c r="CO8" s="62"/>
      <c r="CP8" s="62"/>
      <c r="CQ8" s="62"/>
      <c r="CR8" s="62"/>
      <c r="CS8" s="62"/>
      <c r="CT8" s="62"/>
      <c r="CU8" s="62"/>
      <c r="CV8" s="62"/>
      <c r="CW8" s="62"/>
      <c r="CX8" s="62"/>
      <c r="CY8" s="62"/>
      <c r="CZ8" s="62"/>
      <c r="DA8" s="62"/>
      <c r="DB8" s="62"/>
      <c r="DC8" s="62"/>
      <c r="DD8" s="62"/>
      <c r="DE8" s="62"/>
      <c r="DF8" s="62"/>
      <c r="DG8" s="62"/>
      <c r="DH8" s="62"/>
      <c r="DI8" s="62"/>
      <c r="DJ8" s="62"/>
      <c r="DK8" s="62"/>
      <c r="DL8" s="62"/>
      <c r="DM8" s="62"/>
      <c r="DN8" s="62"/>
      <c r="DO8" s="62"/>
      <c r="DP8" s="62"/>
      <c r="DQ8" s="62"/>
      <c r="DR8" s="62"/>
      <c r="DS8" s="62"/>
      <c r="DT8" s="62"/>
      <c r="DU8" s="62"/>
      <c r="DV8" s="62"/>
      <c r="DW8" s="62"/>
      <c r="DX8" s="62"/>
      <c r="DY8" s="62"/>
      <c r="DZ8" s="62"/>
      <c r="EA8" s="62"/>
      <c r="EB8" s="62"/>
      <c r="EC8" s="62"/>
      <c r="ED8" s="62"/>
      <c r="EE8" s="62"/>
      <c r="EF8" s="62"/>
      <c r="EG8" s="62"/>
      <c r="EH8" s="62"/>
      <c r="EI8" s="62"/>
      <c r="EJ8" s="62"/>
      <c r="EK8" s="62"/>
      <c r="EL8" s="62"/>
      <c r="EM8" s="62"/>
      <c r="EN8" s="62"/>
      <c r="EO8" s="62"/>
      <c r="EP8" s="62"/>
      <c r="EQ8" s="62"/>
      <c r="ER8" s="62"/>
      <c r="ES8" s="62"/>
      <c r="ET8" s="62"/>
      <c r="EU8" s="62"/>
      <c r="EV8" s="62"/>
      <c r="EW8" s="62"/>
      <c r="EX8" s="62"/>
      <c r="EY8" s="62"/>
      <c r="EZ8" s="62"/>
      <c r="FA8" s="62"/>
      <c r="FB8" s="62"/>
      <c r="FC8" s="62"/>
      <c r="FD8" s="62"/>
      <c r="FE8" s="62"/>
      <c r="FF8" s="62"/>
      <c r="FG8" s="62"/>
      <c r="FH8" s="62"/>
      <c r="FI8" s="62"/>
      <c r="FJ8" s="62"/>
      <c r="FK8" s="62"/>
      <c r="FL8" s="62"/>
      <c r="FM8" s="62"/>
      <c r="FN8" s="62"/>
      <c r="FO8" s="62"/>
      <c r="FP8" s="62"/>
      <c r="FQ8" s="62"/>
      <c r="FR8" s="62"/>
      <c r="FS8" s="62"/>
      <c r="FT8" s="62"/>
      <c r="FU8" s="62"/>
      <c r="FV8" s="62"/>
      <c r="FW8" s="62"/>
      <c r="FX8" s="62"/>
      <c r="FY8" s="62"/>
      <c r="FZ8" s="62"/>
      <c r="GA8" s="62"/>
      <c r="GB8" s="62"/>
      <c r="GC8" s="62"/>
      <c r="GD8" s="62"/>
      <c r="GE8" s="62"/>
      <c r="GF8" s="62"/>
      <c r="GG8" s="62"/>
      <c r="GH8" s="62"/>
      <c r="GI8" s="62"/>
      <c r="GJ8" s="62"/>
      <c r="GK8" s="62"/>
      <c r="GL8" s="62"/>
      <c r="GM8" s="62"/>
      <c r="GN8" s="62"/>
      <c r="GO8" s="62"/>
      <c r="GP8" s="62"/>
      <c r="GQ8" s="62"/>
      <c r="GR8" s="62"/>
      <c r="GS8" s="62"/>
      <c r="GT8" s="62"/>
      <c r="GU8" s="62"/>
    </row>
    <row r="9" spans="1:203" x14ac:dyDescent="0.25">
      <c r="A9" s="8" t="s">
        <v>274</v>
      </c>
      <c r="B9" s="176" t="str">
        <f>DATA!J13</f>
        <v/>
      </c>
      <c r="C9" s="140">
        <f>DATA!K13</f>
        <v>0</v>
      </c>
      <c r="D9" s="62"/>
      <c r="E9" s="62"/>
      <c r="F9" s="62"/>
      <c r="G9" s="62"/>
      <c r="H9" s="62"/>
      <c r="I9" s="62"/>
      <c r="J9" s="62"/>
      <c r="K9" s="62"/>
      <c r="L9" s="62"/>
      <c r="M9" s="62"/>
      <c r="N9" s="62"/>
      <c r="O9" s="62"/>
      <c r="P9" s="62"/>
      <c r="Q9" s="62"/>
      <c r="R9" s="62"/>
      <c r="S9" s="62"/>
      <c r="T9" s="62"/>
      <c r="U9" s="62"/>
      <c r="V9" s="62"/>
      <c r="W9" s="62"/>
      <c r="X9" s="62"/>
      <c r="Y9" s="62"/>
      <c r="Z9" s="62"/>
      <c r="AA9" s="62"/>
      <c r="AB9" s="62"/>
      <c r="AC9" s="62"/>
      <c r="AD9" s="62"/>
      <c r="AE9" s="62"/>
      <c r="AF9" s="62"/>
      <c r="AG9" s="62"/>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62"/>
      <c r="CA9" s="62"/>
      <c r="CB9" s="62"/>
      <c r="CC9" s="62"/>
      <c r="CD9" s="62"/>
      <c r="CE9" s="62"/>
      <c r="CF9" s="62"/>
      <c r="CG9" s="62"/>
      <c r="CH9" s="62"/>
      <c r="CI9" s="62"/>
      <c r="CJ9" s="62"/>
      <c r="CK9" s="62"/>
      <c r="CL9" s="62"/>
      <c r="CM9" s="62"/>
      <c r="CN9" s="62"/>
      <c r="CO9" s="62"/>
      <c r="CP9" s="62"/>
      <c r="CQ9" s="62"/>
      <c r="CR9" s="62"/>
      <c r="CS9" s="62"/>
      <c r="CT9" s="62"/>
      <c r="CU9" s="62"/>
      <c r="CV9" s="62"/>
      <c r="CW9" s="62"/>
      <c r="CX9" s="62"/>
      <c r="CY9" s="62"/>
      <c r="CZ9" s="62"/>
      <c r="DA9" s="62"/>
      <c r="DB9" s="62"/>
      <c r="DC9" s="62"/>
      <c r="DD9" s="62"/>
      <c r="DE9" s="62"/>
      <c r="DF9" s="62"/>
      <c r="DG9" s="62"/>
      <c r="DH9" s="62"/>
      <c r="DI9" s="62"/>
      <c r="DJ9" s="62"/>
      <c r="DK9" s="62"/>
      <c r="DL9" s="62"/>
      <c r="DM9" s="62"/>
      <c r="DN9" s="62"/>
      <c r="DO9" s="62"/>
      <c r="DP9" s="62"/>
      <c r="DQ9" s="62"/>
      <c r="DR9" s="62"/>
      <c r="DS9" s="62"/>
      <c r="DT9" s="62"/>
      <c r="DU9" s="62"/>
      <c r="DV9" s="62"/>
      <c r="DW9" s="62"/>
      <c r="DX9" s="62"/>
      <c r="DY9" s="62"/>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62"/>
      <c r="FC9" s="62"/>
      <c r="FD9" s="62"/>
      <c r="FE9" s="62"/>
      <c r="FF9" s="62"/>
      <c r="FG9" s="62"/>
      <c r="FH9" s="62"/>
      <c r="FI9" s="62"/>
      <c r="FJ9" s="62"/>
      <c r="FK9" s="62"/>
      <c r="FL9" s="62"/>
      <c r="FM9" s="62"/>
      <c r="FN9" s="62"/>
      <c r="FO9" s="62"/>
      <c r="FP9" s="62"/>
      <c r="FQ9" s="62"/>
      <c r="FR9" s="62"/>
      <c r="FS9" s="62"/>
      <c r="FT9" s="62"/>
      <c r="FU9" s="62"/>
      <c r="FV9" s="62"/>
      <c r="FW9" s="62"/>
      <c r="FX9" s="62"/>
      <c r="FY9" s="62"/>
      <c r="FZ9" s="62"/>
      <c r="GA9" s="62"/>
      <c r="GB9" s="62"/>
      <c r="GC9" s="62"/>
      <c r="GD9" s="62"/>
      <c r="GE9" s="62"/>
      <c r="GF9" s="62"/>
      <c r="GG9" s="62"/>
      <c r="GH9" s="62"/>
      <c r="GI9" s="62"/>
      <c r="GJ9" s="62"/>
      <c r="GK9" s="62"/>
      <c r="GL9" s="62"/>
      <c r="GM9" s="62"/>
      <c r="GN9" s="62"/>
      <c r="GO9" s="62"/>
      <c r="GP9" s="62"/>
      <c r="GQ9" s="62"/>
      <c r="GR9" s="62"/>
      <c r="GS9" s="62"/>
      <c r="GT9" s="62"/>
      <c r="GU9" s="62"/>
    </row>
    <row r="10" spans="1:203" x14ac:dyDescent="0.25">
      <c r="A10" s="8" t="s">
        <v>149</v>
      </c>
      <c r="B10" s="176" t="str">
        <f>DATA!J14</f>
        <v/>
      </c>
      <c r="C10" s="140">
        <f>DATA!K14</f>
        <v>0</v>
      </c>
      <c r="D10" s="62"/>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row>
    <row r="11" spans="1:203" x14ac:dyDescent="0.25">
      <c r="A11" s="8" t="s">
        <v>150</v>
      </c>
      <c r="B11" s="176" t="str">
        <f>DATA!J15</f>
        <v/>
      </c>
      <c r="C11" s="140">
        <f>DATA!K15</f>
        <v>0</v>
      </c>
      <c r="D11" s="62"/>
      <c r="E11" s="62"/>
      <c r="F11" s="62"/>
      <c r="G11" s="62"/>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c r="DF11" s="62"/>
      <c r="DG11" s="62"/>
      <c r="DH11" s="62"/>
      <c r="DI11" s="62"/>
      <c r="DJ11" s="62"/>
      <c r="DK11" s="62"/>
      <c r="DL11" s="62"/>
      <c r="DM11" s="62"/>
      <c r="DN11" s="62"/>
      <c r="DO11" s="62"/>
      <c r="DP11" s="62"/>
      <c r="DQ11" s="62"/>
      <c r="DR11" s="62"/>
      <c r="DS11" s="62"/>
      <c r="DT11" s="62"/>
      <c r="DU11" s="62"/>
      <c r="DV11" s="62"/>
      <c r="DW11" s="62"/>
      <c r="DX11" s="62"/>
      <c r="DY11" s="62"/>
      <c r="DZ11" s="62"/>
      <c r="EA11" s="62"/>
      <c r="EB11" s="62"/>
      <c r="EC11" s="62"/>
      <c r="ED11" s="62"/>
      <c r="EE11" s="62"/>
      <c r="EF11" s="62"/>
      <c r="EG11" s="62"/>
      <c r="EH11" s="62"/>
      <c r="EI11" s="62"/>
      <c r="EJ11" s="62"/>
      <c r="EK11" s="62"/>
      <c r="EL11" s="62"/>
      <c r="EM11" s="62"/>
      <c r="EN11" s="62"/>
      <c r="EO11" s="62"/>
      <c r="EP11" s="62"/>
      <c r="EQ11" s="62"/>
      <c r="ER11" s="62"/>
      <c r="ES11" s="62"/>
      <c r="ET11" s="62"/>
      <c r="EU11" s="62"/>
      <c r="EV11" s="62"/>
      <c r="EW11" s="62"/>
      <c r="EX11" s="62"/>
      <c r="EY11" s="62"/>
      <c r="EZ11" s="62"/>
      <c r="FA11" s="62"/>
      <c r="FB11" s="62"/>
      <c r="FC11" s="62"/>
      <c r="FD11" s="62"/>
      <c r="FE11" s="62"/>
      <c r="FF11" s="62"/>
      <c r="FG11" s="62"/>
      <c r="FH11" s="62"/>
      <c r="FI11" s="62"/>
      <c r="FJ11" s="62"/>
      <c r="FK11" s="62"/>
      <c r="FL11" s="62"/>
      <c r="FM11" s="62"/>
      <c r="FN11" s="62"/>
      <c r="FO11" s="62"/>
      <c r="FP11" s="62"/>
      <c r="FQ11" s="62"/>
      <c r="FR11" s="62"/>
      <c r="FS11" s="62"/>
      <c r="FT11" s="62"/>
      <c r="FU11" s="62"/>
      <c r="FV11" s="62"/>
      <c r="FW11" s="62"/>
      <c r="FX11" s="62"/>
      <c r="FY11" s="62"/>
      <c r="FZ11" s="62"/>
      <c r="GA11" s="62"/>
      <c r="GB11" s="62"/>
      <c r="GC11" s="62"/>
      <c r="GD11" s="62"/>
      <c r="GE11" s="62"/>
      <c r="GF11" s="62"/>
      <c r="GG11" s="62"/>
      <c r="GH11" s="62"/>
      <c r="GI11" s="62"/>
      <c r="GJ11" s="62"/>
      <c r="GK11" s="62"/>
      <c r="GL11" s="62"/>
      <c r="GM11" s="62"/>
      <c r="GN11" s="62"/>
      <c r="GO11" s="62"/>
      <c r="GP11" s="62"/>
      <c r="GQ11" s="62"/>
      <c r="GR11" s="62"/>
      <c r="GS11" s="62"/>
      <c r="GT11" s="62"/>
      <c r="GU11" s="62"/>
    </row>
    <row r="12" spans="1:203" x14ac:dyDescent="0.25">
      <c r="A12" s="8" t="s">
        <v>151</v>
      </c>
      <c r="B12" s="176" t="str">
        <f>DATA!J16</f>
        <v/>
      </c>
      <c r="C12" s="140">
        <f>DATA!K16</f>
        <v>0</v>
      </c>
      <c r="D12" s="62"/>
      <c r="E12" s="62"/>
      <c r="F12" s="62"/>
      <c r="G12" s="62"/>
      <c r="H12" s="62"/>
      <c r="I12" s="62"/>
      <c r="J12" s="62"/>
      <c r="K12" s="62"/>
      <c r="L12" s="6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c r="DF12" s="62"/>
      <c r="DG12" s="62"/>
      <c r="DH12" s="62"/>
      <c r="DI12" s="62"/>
      <c r="DJ12" s="62"/>
      <c r="DK12" s="62"/>
      <c r="DL12" s="62"/>
      <c r="DM12" s="62"/>
      <c r="DN12" s="62"/>
      <c r="DO12" s="62"/>
      <c r="DP12" s="62"/>
      <c r="DQ12" s="62"/>
      <c r="DR12" s="62"/>
      <c r="DS12" s="62"/>
      <c r="DT12" s="62"/>
      <c r="DU12" s="62"/>
      <c r="DV12" s="62"/>
      <c r="DW12" s="62"/>
      <c r="DX12" s="62"/>
      <c r="DY12" s="62"/>
      <c r="DZ12" s="62"/>
      <c r="EA12" s="62"/>
      <c r="EB12" s="62"/>
      <c r="EC12" s="62"/>
      <c r="ED12" s="62"/>
      <c r="EE12" s="62"/>
      <c r="EF12" s="62"/>
      <c r="EG12" s="62"/>
      <c r="EH12" s="62"/>
      <c r="EI12" s="62"/>
      <c r="EJ12" s="62"/>
      <c r="EK12" s="62"/>
      <c r="EL12" s="62"/>
      <c r="EM12" s="62"/>
      <c r="EN12" s="62"/>
      <c r="EO12" s="62"/>
      <c r="EP12" s="62"/>
      <c r="EQ12" s="62"/>
      <c r="ER12" s="62"/>
      <c r="ES12" s="62"/>
      <c r="ET12" s="62"/>
      <c r="EU12" s="62"/>
      <c r="EV12" s="62"/>
      <c r="EW12" s="62"/>
      <c r="EX12" s="62"/>
      <c r="EY12" s="62"/>
      <c r="EZ12" s="62"/>
      <c r="FA12" s="62"/>
      <c r="FB12" s="62"/>
      <c r="FC12" s="62"/>
      <c r="FD12" s="62"/>
      <c r="FE12" s="62"/>
      <c r="FF12" s="62"/>
      <c r="FG12" s="62"/>
      <c r="FH12" s="62"/>
      <c r="FI12" s="62"/>
      <c r="FJ12" s="62"/>
      <c r="FK12" s="62"/>
      <c r="FL12" s="62"/>
      <c r="FM12" s="62"/>
      <c r="FN12" s="62"/>
      <c r="FO12" s="62"/>
      <c r="FP12" s="62"/>
      <c r="FQ12" s="62"/>
      <c r="FR12" s="62"/>
      <c r="FS12" s="62"/>
      <c r="FT12" s="62"/>
      <c r="FU12" s="62"/>
      <c r="FV12" s="62"/>
      <c r="FW12" s="62"/>
      <c r="FX12" s="62"/>
      <c r="FY12" s="62"/>
      <c r="FZ12" s="62"/>
      <c r="GA12" s="62"/>
      <c r="GB12" s="62"/>
      <c r="GC12" s="62"/>
      <c r="GD12" s="62"/>
      <c r="GE12" s="62"/>
      <c r="GF12" s="62"/>
      <c r="GG12" s="62"/>
      <c r="GH12" s="62"/>
      <c r="GI12" s="62"/>
      <c r="GJ12" s="62"/>
      <c r="GK12" s="62"/>
      <c r="GL12" s="62"/>
      <c r="GM12" s="62"/>
      <c r="GN12" s="62"/>
      <c r="GO12" s="62"/>
      <c r="GP12" s="62"/>
      <c r="GQ12" s="62"/>
      <c r="GR12" s="62"/>
      <c r="GS12" s="62"/>
      <c r="GT12" s="62"/>
      <c r="GU12" s="62"/>
    </row>
    <row r="13" spans="1:203" x14ac:dyDescent="0.25">
      <c r="A13" s="8" t="s">
        <v>152</v>
      </c>
      <c r="B13" s="176" t="str">
        <f>DATA!J17</f>
        <v/>
      </c>
      <c r="C13" s="140">
        <f>DATA!K17</f>
        <v>0</v>
      </c>
      <c r="D13" s="62"/>
      <c r="E13" s="62"/>
      <c r="F13" s="62"/>
      <c r="G13" s="62"/>
      <c r="H13" s="62"/>
      <c r="I13" s="62"/>
      <c r="J13" s="62"/>
      <c r="K13" s="62"/>
      <c r="L13" s="62"/>
      <c r="M13" s="62"/>
      <c r="N13" s="62"/>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c r="EO13" s="62"/>
      <c r="EP13" s="62"/>
      <c r="EQ13" s="62"/>
      <c r="ER13" s="62"/>
      <c r="ES13" s="62"/>
      <c r="ET13" s="62"/>
      <c r="EU13" s="62"/>
      <c r="EV13" s="62"/>
      <c r="EW13" s="62"/>
      <c r="EX13" s="62"/>
      <c r="EY13" s="62"/>
      <c r="EZ13" s="62"/>
      <c r="FA13" s="62"/>
      <c r="FB13" s="62"/>
      <c r="FC13" s="62"/>
      <c r="FD13" s="62"/>
      <c r="FE13" s="62"/>
      <c r="FF13" s="62"/>
      <c r="FG13" s="62"/>
      <c r="FH13" s="62"/>
      <c r="FI13" s="62"/>
      <c r="FJ13" s="62"/>
      <c r="FK13" s="62"/>
      <c r="FL13" s="62"/>
      <c r="FM13" s="62"/>
      <c r="FN13" s="62"/>
      <c r="FO13" s="62"/>
      <c r="FP13" s="62"/>
      <c r="FQ13" s="62"/>
      <c r="FR13" s="62"/>
      <c r="FS13" s="62"/>
      <c r="FT13" s="62"/>
      <c r="FU13" s="62"/>
      <c r="FV13" s="62"/>
      <c r="FW13" s="62"/>
      <c r="FX13" s="62"/>
      <c r="FY13" s="62"/>
      <c r="FZ13" s="62"/>
      <c r="GA13" s="62"/>
      <c r="GB13" s="62"/>
      <c r="GC13" s="62"/>
      <c r="GD13" s="62"/>
      <c r="GE13" s="62"/>
      <c r="GF13" s="62"/>
      <c r="GG13" s="62"/>
      <c r="GH13" s="62"/>
      <c r="GI13" s="62"/>
      <c r="GJ13" s="62"/>
      <c r="GK13" s="62"/>
      <c r="GL13" s="62"/>
      <c r="GM13" s="62"/>
      <c r="GN13" s="62"/>
      <c r="GO13" s="62"/>
      <c r="GP13" s="62"/>
      <c r="GQ13" s="62"/>
      <c r="GR13" s="62"/>
      <c r="GS13" s="62"/>
      <c r="GT13" s="62"/>
      <c r="GU13" s="62"/>
    </row>
    <row r="14" spans="1:203" x14ac:dyDescent="0.25">
      <c r="A14" s="8" t="s">
        <v>153</v>
      </c>
      <c r="B14" s="176" t="str">
        <f>DATA!J18</f>
        <v/>
      </c>
      <c r="C14" s="140">
        <f>DATA!K18</f>
        <v>0</v>
      </c>
      <c r="D14" s="62"/>
      <c r="E14" s="62"/>
      <c r="F14" s="62"/>
      <c r="G14" s="62"/>
      <c r="H14" s="62"/>
      <c r="I14" s="62"/>
      <c r="J14" s="62"/>
      <c r="K14" s="62"/>
      <c r="L14" s="62"/>
      <c r="M14" s="62"/>
      <c r="N14" s="62"/>
      <c r="O14" s="62"/>
      <c r="P14" s="62"/>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c r="BM14" s="62"/>
      <c r="BN14" s="62"/>
      <c r="BO14" s="62"/>
      <c r="BP14" s="62"/>
      <c r="BQ14" s="62"/>
      <c r="BR14" s="62"/>
      <c r="BS14" s="62"/>
      <c r="BT14" s="62"/>
      <c r="BU14" s="62"/>
      <c r="BV14" s="62"/>
      <c r="BW14" s="62"/>
      <c r="BX14" s="62"/>
      <c r="BY14" s="62"/>
      <c r="BZ14" s="62"/>
      <c r="CA14" s="62"/>
      <c r="CB14" s="62"/>
      <c r="CC14" s="62"/>
      <c r="CD14" s="62"/>
      <c r="CE14" s="62"/>
      <c r="CF14" s="62"/>
      <c r="CG14" s="62"/>
      <c r="CH14" s="62"/>
      <c r="CI14" s="62"/>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c r="EB14" s="62"/>
      <c r="EC14" s="62"/>
      <c r="ED14" s="62"/>
      <c r="EE14" s="62"/>
      <c r="EF14" s="62"/>
      <c r="EG14" s="62"/>
      <c r="EH14" s="62"/>
      <c r="EI14" s="62"/>
      <c r="EJ14" s="62"/>
      <c r="EK14" s="62"/>
      <c r="EL14" s="62"/>
      <c r="EM14" s="62"/>
      <c r="EN14" s="62"/>
      <c r="EO14" s="62"/>
      <c r="EP14" s="62"/>
      <c r="EQ14" s="62"/>
      <c r="ER14" s="62"/>
      <c r="ES14" s="62"/>
      <c r="ET14" s="62"/>
      <c r="EU14" s="62"/>
      <c r="EV14" s="62"/>
      <c r="EW14" s="62"/>
      <c r="EX14" s="62"/>
      <c r="EY14" s="62"/>
      <c r="EZ14" s="62"/>
      <c r="FA14" s="62"/>
      <c r="FB14" s="62"/>
      <c r="FC14" s="62"/>
      <c r="FD14" s="62"/>
      <c r="FE14" s="62"/>
      <c r="FF14" s="62"/>
      <c r="FG14" s="62"/>
      <c r="FH14" s="62"/>
      <c r="FI14" s="62"/>
      <c r="FJ14" s="62"/>
      <c r="FK14" s="62"/>
      <c r="FL14" s="62"/>
      <c r="FM14" s="62"/>
      <c r="FN14" s="62"/>
      <c r="FO14" s="62"/>
      <c r="FP14" s="62"/>
      <c r="FQ14" s="62"/>
      <c r="FR14" s="62"/>
      <c r="FS14" s="62"/>
      <c r="FT14" s="62"/>
      <c r="FU14" s="62"/>
      <c r="FV14" s="62"/>
      <c r="FW14" s="62"/>
      <c r="FX14" s="62"/>
      <c r="FY14" s="62"/>
      <c r="FZ14" s="62"/>
      <c r="GA14" s="62"/>
      <c r="GB14" s="62"/>
      <c r="GC14" s="62"/>
      <c r="GD14" s="62"/>
      <c r="GE14" s="62"/>
      <c r="GF14" s="62"/>
      <c r="GG14" s="62"/>
      <c r="GH14" s="62"/>
      <c r="GI14" s="62"/>
      <c r="GJ14" s="62"/>
      <c r="GK14" s="62"/>
      <c r="GL14" s="62"/>
      <c r="GM14" s="62"/>
      <c r="GN14" s="62"/>
      <c r="GO14" s="62"/>
      <c r="GP14" s="62"/>
      <c r="GQ14" s="62"/>
      <c r="GR14" s="62"/>
      <c r="GS14" s="62"/>
      <c r="GT14" s="62"/>
      <c r="GU14" s="62"/>
    </row>
    <row r="15" spans="1:203" x14ac:dyDescent="0.25">
      <c r="A15" s="8" t="s">
        <v>154</v>
      </c>
      <c r="B15" s="176" t="str">
        <f>DATA!J19</f>
        <v/>
      </c>
      <c r="C15" s="140">
        <f>DATA!K19</f>
        <v>0</v>
      </c>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c r="AR15" s="62"/>
      <c r="AS15" s="62"/>
      <c r="AT15" s="62"/>
      <c r="AU15" s="62"/>
      <c r="AV15" s="62"/>
      <c r="AW15" s="62"/>
      <c r="AX15" s="62"/>
      <c r="AY15" s="62"/>
      <c r="AZ15" s="62"/>
      <c r="BA15" s="62"/>
      <c r="BB15" s="62"/>
      <c r="BC15" s="62"/>
      <c r="BD15" s="62"/>
      <c r="BE15" s="62"/>
      <c r="BF15" s="62"/>
      <c r="BG15" s="62"/>
      <c r="BH15" s="62"/>
      <c r="BI15" s="62"/>
      <c r="BJ15" s="62"/>
      <c r="BK15" s="62"/>
      <c r="BL15" s="62"/>
      <c r="BM15" s="62"/>
      <c r="BN15" s="62"/>
      <c r="BO15" s="62"/>
      <c r="BP15" s="62"/>
      <c r="BQ15" s="62"/>
      <c r="BR15" s="62"/>
      <c r="BS15" s="62"/>
      <c r="BT15" s="62"/>
      <c r="BU15" s="62"/>
      <c r="BV15" s="62"/>
      <c r="BW15" s="62"/>
      <c r="BX15" s="62"/>
      <c r="BY15" s="62"/>
      <c r="BZ15" s="62"/>
      <c r="CA15" s="62"/>
      <c r="CB15" s="62"/>
      <c r="CC15" s="62"/>
      <c r="CD15" s="62"/>
      <c r="CE15" s="62"/>
      <c r="CF15" s="62"/>
      <c r="CG15" s="62"/>
      <c r="CH15" s="62"/>
      <c r="CI15" s="62"/>
      <c r="CJ15" s="62"/>
      <c r="CK15" s="62"/>
      <c r="CL15" s="62"/>
      <c r="CM15" s="62"/>
      <c r="CN15" s="62"/>
      <c r="CO15" s="62"/>
      <c r="CP15" s="62"/>
      <c r="CQ15" s="62"/>
      <c r="CR15" s="62"/>
      <c r="CS15" s="62"/>
      <c r="CT15" s="62"/>
      <c r="CU15" s="62"/>
      <c r="CV15" s="62"/>
      <c r="CW15" s="62"/>
      <c r="CX15" s="62"/>
      <c r="CY15" s="62"/>
      <c r="CZ15" s="62"/>
      <c r="DA15" s="62"/>
      <c r="DB15" s="62"/>
      <c r="DC15" s="62"/>
      <c r="DD15" s="62"/>
      <c r="DE15" s="62"/>
      <c r="DF15" s="62"/>
      <c r="DG15" s="62"/>
      <c r="DH15" s="62"/>
      <c r="DI15" s="62"/>
      <c r="DJ15" s="62"/>
      <c r="DK15" s="62"/>
      <c r="DL15" s="62"/>
      <c r="DM15" s="62"/>
      <c r="DN15" s="62"/>
      <c r="DO15" s="62"/>
      <c r="DP15" s="62"/>
      <c r="DQ15" s="62"/>
      <c r="DR15" s="62"/>
      <c r="DS15" s="62"/>
      <c r="DT15" s="62"/>
      <c r="DU15" s="62"/>
      <c r="DV15" s="62"/>
      <c r="DW15" s="62"/>
      <c r="DX15" s="62"/>
      <c r="DY15" s="62"/>
      <c r="DZ15" s="62"/>
      <c r="EA15" s="62"/>
      <c r="EB15" s="62"/>
      <c r="EC15" s="62"/>
      <c r="ED15" s="62"/>
      <c r="EE15" s="62"/>
      <c r="EF15" s="62"/>
      <c r="EG15" s="62"/>
      <c r="EH15" s="62"/>
      <c r="EI15" s="62"/>
      <c r="EJ15" s="62"/>
      <c r="EK15" s="62"/>
      <c r="EL15" s="62"/>
      <c r="EM15" s="62"/>
      <c r="EN15" s="62"/>
      <c r="EO15" s="62"/>
      <c r="EP15" s="62"/>
      <c r="EQ15" s="62"/>
      <c r="ER15" s="62"/>
      <c r="ES15" s="62"/>
      <c r="ET15" s="62"/>
      <c r="EU15" s="62"/>
      <c r="EV15" s="62"/>
      <c r="EW15" s="62"/>
      <c r="EX15" s="62"/>
      <c r="EY15" s="62"/>
      <c r="EZ15" s="62"/>
      <c r="FA15" s="62"/>
      <c r="FB15" s="62"/>
      <c r="FC15" s="62"/>
      <c r="FD15" s="62"/>
      <c r="FE15" s="62"/>
      <c r="FF15" s="62"/>
      <c r="FG15" s="62"/>
      <c r="FH15" s="62"/>
      <c r="FI15" s="62"/>
      <c r="FJ15" s="62"/>
      <c r="FK15" s="62"/>
      <c r="FL15" s="62"/>
      <c r="FM15" s="62"/>
      <c r="FN15" s="62"/>
      <c r="FO15" s="62"/>
      <c r="FP15" s="62"/>
      <c r="FQ15" s="62"/>
      <c r="FR15" s="62"/>
      <c r="FS15" s="62"/>
      <c r="FT15" s="62"/>
      <c r="FU15" s="62"/>
      <c r="FV15" s="62"/>
      <c r="FW15" s="62"/>
      <c r="FX15" s="62"/>
      <c r="FY15" s="62"/>
      <c r="FZ15" s="62"/>
      <c r="GA15" s="62"/>
      <c r="GB15" s="62"/>
      <c r="GC15" s="62"/>
      <c r="GD15" s="62"/>
      <c r="GE15" s="62"/>
      <c r="GF15" s="62"/>
      <c r="GG15" s="62"/>
      <c r="GH15" s="62"/>
      <c r="GI15" s="62"/>
      <c r="GJ15" s="62"/>
      <c r="GK15" s="62"/>
      <c r="GL15" s="62"/>
      <c r="GM15" s="62"/>
      <c r="GN15" s="62"/>
      <c r="GO15" s="62"/>
      <c r="GP15" s="62"/>
      <c r="GQ15" s="62"/>
      <c r="GR15" s="62"/>
      <c r="GS15" s="62"/>
      <c r="GT15" s="62"/>
      <c r="GU15" s="62"/>
    </row>
    <row r="16" spans="1:203" x14ac:dyDescent="0.25">
      <c r="A16" s="8" t="s">
        <v>155</v>
      </c>
      <c r="B16" s="176" t="str">
        <f>DATA!J20</f>
        <v/>
      </c>
      <c r="C16" s="140">
        <f>DATA!K20</f>
        <v>0</v>
      </c>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c r="BL16" s="62"/>
      <c r="BM16" s="62"/>
      <c r="BN16" s="62"/>
      <c r="BO16" s="62"/>
      <c r="BP16" s="62"/>
      <c r="BQ16" s="62"/>
      <c r="BR16" s="62"/>
      <c r="BS16" s="62"/>
      <c r="BT16" s="62"/>
      <c r="BU16" s="62"/>
      <c r="BV16" s="62"/>
      <c r="BW16" s="62"/>
      <c r="BX16" s="62"/>
      <c r="BY16" s="62"/>
      <c r="BZ16" s="62"/>
      <c r="CA16" s="62"/>
      <c r="CB16" s="62"/>
      <c r="CC16" s="62"/>
      <c r="CD16" s="62"/>
      <c r="CE16" s="62"/>
      <c r="CF16" s="62"/>
      <c r="CG16" s="62"/>
      <c r="CH16" s="62"/>
      <c r="CI16" s="62"/>
      <c r="CJ16" s="62"/>
      <c r="CK16" s="62"/>
      <c r="CL16" s="62"/>
      <c r="CM16" s="62"/>
      <c r="CN16" s="62"/>
      <c r="CO16" s="62"/>
      <c r="CP16" s="62"/>
      <c r="CQ16" s="62"/>
      <c r="CR16" s="62"/>
      <c r="CS16" s="62"/>
      <c r="CT16" s="62"/>
      <c r="CU16" s="62"/>
      <c r="CV16" s="62"/>
      <c r="CW16" s="62"/>
      <c r="CX16" s="62"/>
      <c r="CY16" s="62"/>
      <c r="CZ16" s="62"/>
      <c r="DA16" s="62"/>
      <c r="DB16" s="62"/>
      <c r="DC16" s="62"/>
      <c r="DD16" s="62"/>
      <c r="DE16" s="62"/>
      <c r="DF16" s="62"/>
      <c r="DG16" s="62"/>
      <c r="DH16" s="62"/>
      <c r="DI16" s="62"/>
      <c r="DJ16" s="62"/>
      <c r="DK16" s="62"/>
      <c r="DL16" s="62"/>
      <c r="DM16" s="62"/>
      <c r="DN16" s="62"/>
      <c r="DO16" s="62"/>
      <c r="DP16" s="62"/>
      <c r="DQ16" s="62"/>
      <c r="DR16" s="62"/>
      <c r="DS16" s="62"/>
      <c r="DT16" s="62"/>
      <c r="DU16" s="62"/>
      <c r="DV16" s="62"/>
      <c r="DW16" s="62"/>
      <c r="DX16" s="62"/>
      <c r="DY16" s="62"/>
      <c r="DZ16" s="62"/>
      <c r="EA16" s="62"/>
      <c r="EB16" s="62"/>
      <c r="EC16" s="62"/>
      <c r="ED16" s="62"/>
      <c r="EE16" s="62"/>
      <c r="EF16" s="62"/>
      <c r="EG16" s="62"/>
      <c r="EH16" s="62"/>
      <c r="EI16" s="62"/>
      <c r="EJ16" s="62"/>
      <c r="EK16" s="62"/>
      <c r="EL16" s="62"/>
      <c r="EM16" s="62"/>
      <c r="EN16" s="62"/>
      <c r="EO16" s="62"/>
      <c r="EP16" s="62"/>
      <c r="EQ16" s="62"/>
      <c r="ER16" s="62"/>
      <c r="ES16" s="62"/>
      <c r="ET16" s="62"/>
      <c r="EU16" s="62"/>
      <c r="EV16" s="62"/>
      <c r="EW16" s="62"/>
      <c r="EX16" s="62"/>
      <c r="EY16" s="62"/>
      <c r="EZ16" s="62"/>
      <c r="FA16" s="62"/>
      <c r="FB16" s="62"/>
      <c r="FC16" s="62"/>
      <c r="FD16" s="62"/>
      <c r="FE16" s="62"/>
      <c r="FF16" s="62"/>
      <c r="FG16" s="62"/>
      <c r="FH16" s="62"/>
      <c r="FI16" s="62"/>
      <c r="FJ16" s="62"/>
      <c r="FK16" s="62"/>
      <c r="FL16" s="62"/>
      <c r="FM16" s="62"/>
      <c r="FN16" s="62"/>
      <c r="FO16" s="62"/>
      <c r="FP16" s="62"/>
      <c r="FQ16" s="62"/>
      <c r="FR16" s="62"/>
      <c r="FS16" s="62"/>
      <c r="FT16" s="62"/>
      <c r="FU16" s="62"/>
      <c r="FV16" s="62"/>
      <c r="FW16" s="62"/>
      <c r="FX16" s="62"/>
      <c r="FY16" s="62"/>
      <c r="FZ16" s="62"/>
      <c r="GA16" s="62"/>
      <c r="GB16" s="62"/>
      <c r="GC16" s="62"/>
      <c r="GD16" s="62"/>
      <c r="GE16" s="62"/>
      <c r="GF16" s="62"/>
      <c r="GG16" s="62"/>
      <c r="GH16" s="62"/>
      <c r="GI16" s="62"/>
      <c r="GJ16" s="62"/>
      <c r="GK16" s="62"/>
      <c r="GL16" s="62"/>
      <c r="GM16" s="62"/>
      <c r="GN16" s="62"/>
      <c r="GO16" s="62"/>
      <c r="GP16" s="62"/>
      <c r="GQ16" s="62"/>
      <c r="GR16" s="62"/>
      <c r="GS16" s="62"/>
      <c r="GT16" s="62"/>
      <c r="GU16" s="62"/>
    </row>
    <row r="17" spans="1:203" x14ac:dyDescent="0.25">
      <c r="A17" s="8" t="s">
        <v>156</v>
      </c>
      <c r="B17" s="176" t="str">
        <f>DATA!J21</f>
        <v/>
      </c>
      <c r="C17" s="140">
        <f>DATA!K21</f>
        <v>0</v>
      </c>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2"/>
      <c r="AQ17" s="62"/>
      <c r="AR17" s="62"/>
      <c r="AS17" s="62"/>
      <c r="AT17" s="62"/>
      <c r="AU17" s="62"/>
      <c r="AV17" s="62"/>
      <c r="AW17" s="62"/>
      <c r="AX17" s="62"/>
      <c r="AY17" s="62"/>
      <c r="AZ17" s="62"/>
      <c r="BA17" s="62"/>
      <c r="BB17" s="62"/>
      <c r="BC17" s="62"/>
      <c r="BD17" s="62"/>
      <c r="BE17" s="62"/>
      <c r="BF17" s="62"/>
      <c r="BG17" s="62"/>
      <c r="BH17" s="62"/>
      <c r="BI17" s="62"/>
      <c r="BJ17" s="62"/>
      <c r="BK17" s="62"/>
      <c r="BL17" s="62"/>
      <c r="BM17" s="62"/>
      <c r="BN17" s="62"/>
      <c r="BO17" s="62"/>
      <c r="BP17" s="62"/>
      <c r="BQ17" s="62"/>
      <c r="BR17" s="62"/>
      <c r="BS17" s="62"/>
      <c r="BT17" s="62"/>
      <c r="BU17" s="62"/>
      <c r="BV17" s="62"/>
      <c r="BW17" s="62"/>
      <c r="BX17" s="62"/>
      <c r="BY17" s="62"/>
      <c r="BZ17" s="62"/>
      <c r="CA17" s="62"/>
      <c r="CB17" s="62"/>
      <c r="CC17" s="62"/>
      <c r="CD17" s="62"/>
      <c r="CE17" s="62"/>
      <c r="CF17" s="62"/>
      <c r="CG17" s="62"/>
      <c r="CH17" s="62"/>
      <c r="CI17" s="62"/>
      <c r="CJ17" s="62"/>
      <c r="CK17" s="62"/>
      <c r="CL17" s="62"/>
      <c r="CM17" s="62"/>
      <c r="CN17" s="62"/>
      <c r="CO17" s="62"/>
      <c r="CP17" s="62"/>
      <c r="CQ17" s="62"/>
      <c r="CR17" s="62"/>
      <c r="CS17" s="62"/>
      <c r="CT17" s="62"/>
      <c r="CU17" s="62"/>
      <c r="CV17" s="62"/>
      <c r="CW17" s="62"/>
      <c r="CX17" s="62"/>
      <c r="CY17" s="62"/>
      <c r="CZ17" s="62"/>
      <c r="DA17" s="62"/>
      <c r="DB17" s="62"/>
      <c r="DC17" s="62"/>
      <c r="DD17" s="62"/>
      <c r="DE17" s="62"/>
      <c r="DF17" s="62"/>
      <c r="DG17" s="62"/>
      <c r="DH17" s="62"/>
      <c r="DI17" s="62"/>
      <c r="DJ17" s="62"/>
      <c r="DK17" s="62"/>
      <c r="DL17" s="62"/>
      <c r="DM17" s="62"/>
      <c r="DN17" s="62"/>
      <c r="DO17" s="62"/>
      <c r="DP17" s="62"/>
      <c r="DQ17" s="62"/>
      <c r="DR17" s="62"/>
      <c r="DS17" s="62"/>
      <c r="DT17" s="62"/>
      <c r="DU17" s="62"/>
      <c r="DV17" s="62"/>
      <c r="DW17" s="62"/>
      <c r="DX17" s="62"/>
      <c r="DY17" s="62"/>
      <c r="DZ17" s="62"/>
      <c r="EA17" s="62"/>
      <c r="EB17" s="62"/>
      <c r="EC17" s="62"/>
      <c r="ED17" s="62"/>
      <c r="EE17" s="62"/>
      <c r="EF17" s="62"/>
      <c r="EG17" s="62"/>
      <c r="EH17" s="62"/>
      <c r="EI17" s="62"/>
      <c r="EJ17" s="62"/>
      <c r="EK17" s="62"/>
      <c r="EL17" s="62"/>
      <c r="EM17" s="62"/>
      <c r="EN17" s="62"/>
      <c r="EO17" s="62"/>
      <c r="EP17" s="62"/>
      <c r="EQ17" s="62"/>
      <c r="ER17" s="62"/>
      <c r="ES17" s="62"/>
      <c r="ET17" s="62"/>
      <c r="EU17" s="62"/>
      <c r="EV17" s="62"/>
      <c r="EW17" s="62"/>
      <c r="EX17" s="62"/>
      <c r="EY17" s="62"/>
      <c r="EZ17" s="62"/>
      <c r="FA17" s="62"/>
      <c r="FB17" s="62"/>
      <c r="FC17" s="62"/>
      <c r="FD17" s="62"/>
      <c r="FE17" s="62"/>
      <c r="FF17" s="62"/>
      <c r="FG17" s="62"/>
      <c r="FH17" s="62"/>
      <c r="FI17" s="62"/>
      <c r="FJ17" s="62"/>
      <c r="FK17" s="62"/>
      <c r="FL17" s="62"/>
      <c r="FM17" s="62"/>
      <c r="FN17" s="62"/>
      <c r="FO17" s="62"/>
      <c r="FP17" s="62"/>
      <c r="FQ17" s="62"/>
      <c r="FR17" s="62"/>
      <c r="FS17" s="62"/>
      <c r="FT17" s="62"/>
      <c r="FU17" s="62"/>
      <c r="FV17" s="62"/>
      <c r="FW17" s="62"/>
      <c r="FX17" s="62"/>
      <c r="FY17" s="62"/>
      <c r="FZ17" s="62"/>
      <c r="GA17" s="62"/>
      <c r="GB17" s="62"/>
      <c r="GC17" s="62"/>
      <c r="GD17" s="62"/>
      <c r="GE17" s="62"/>
      <c r="GF17" s="62"/>
      <c r="GG17" s="62"/>
      <c r="GH17" s="62"/>
      <c r="GI17" s="62"/>
      <c r="GJ17" s="62"/>
      <c r="GK17" s="62"/>
      <c r="GL17" s="62"/>
      <c r="GM17" s="62"/>
      <c r="GN17" s="62"/>
      <c r="GO17" s="62"/>
      <c r="GP17" s="62"/>
      <c r="GQ17" s="62"/>
      <c r="GR17" s="62"/>
      <c r="GS17" s="62"/>
      <c r="GT17" s="62"/>
      <c r="GU17" s="62"/>
    </row>
    <row r="18" spans="1:203" x14ac:dyDescent="0.25">
      <c r="A18" s="8" t="s">
        <v>157</v>
      </c>
      <c r="B18" s="176" t="str">
        <f>DATA!J22</f>
        <v/>
      </c>
      <c r="C18" s="140">
        <f>DATA!K22</f>
        <v>0</v>
      </c>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c r="BM18" s="62"/>
      <c r="BN18" s="62"/>
      <c r="BO18" s="62"/>
      <c r="BP18" s="62"/>
      <c r="BQ18" s="62"/>
      <c r="BR18" s="62"/>
      <c r="BS18" s="62"/>
      <c r="BT18" s="62"/>
      <c r="BU18" s="62"/>
      <c r="BV18" s="62"/>
      <c r="BW18" s="62"/>
      <c r="BX18" s="62"/>
      <c r="BY18" s="62"/>
      <c r="BZ18" s="62"/>
      <c r="CA18" s="62"/>
      <c r="CB18" s="62"/>
      <c r="CC18" s="62"/>
      <c r="CD18" s="62"/>
      <c r="CE18" s="62"/>
      <c r="CF18" s="62"/>
      <c r="CG18" s="62"/>
      <c r="CH18" s="62"/>
      <c r="CI18" s="62"/>
      <c r="CJ18" s="62"/>
      <c r="CK18" s="62"/>
      <c r="CL18" s="62"/>
      <c r="CM18" s="62"/>
      <c r="CN18" s="62"/>
      <c r="CO18" s="62"/>
      <c r="CP18" s="62"/>
      <c r="CQ18" s="62"/>
      <c r="CR18" s="62"/>
      <c r="CS18" s="62"/>
      <c r="CT18" s="62"/>
      <c r="CU18" s="62"/>
      <c r="CV18" s="62"/>
      <c r="CW18" s="62"/>
      <c r="CX18" s="62"/>
      <c r="CY18" s="62"/>
      <c r="CZ18" s="62"/>
      <c r="DA18" s="62"/>
      <c r="DB18" s="62"/>
      <c r="DC18" s="62"/>
      <c r="DD18" s="62"/>
      <c r="DE18" s="62"/>
      <c r="DF18" s="62"/>
      <c r="DG18" s="62"/>
      <c r="DH18" s="62"/>
      <c r="DI18" s="62"/>
      <c r="DJ18" s="62"/>
      <c r="DK18" s="62"/>
      <c r="DL18" s="62"/>
      <c r="DM18" s="62"/>
      <c r="DN18" s="62"/>
      <c r="DO18" s="62"/>
      <c r="DP18" s="62"/>
      <c r="DQ18" s="62"/>
      <c r="DR18" s="62"/>
      <c r="DS18" s="62"/>
      <c r="DT18" s="62"/>
      <c r="DU18" s="62"/>
      <c r="DV18" s="62"/>
      <c r="DW18" s="62"/>
      <c r="DX18" s="62"/>
      <c r="DY18" s="62"/>
      <c r="DZ18" s="62"/>
      <c r="EA18" s="62"/>
      <c r="EB18" s="62"/>
      <c r="EC18" s="62"/>
      <c r="ED18" s="62"/>
      <c r="EE18" s="62"/>
      <c r="EF18" s="62"/>
      <c r="EG18" s="62"/>
      <c r="EH18" s="62"/>
      <c r="EI18" s="62"/>
      <c r="EJ18" s="62"/>
      <c r="EK18" s="62"/>
      <c r="EL18" s="62"/>
      <c r="EM18" s="62"/>
      <c r="EN18" s="62"/>
      <c r="EO18" s="62"/>
      <c r="EP18" s="62"/>
      <c r="EQ18" s="62"/>
      <c r="ER18" s="62"/>
      <c r="ES18" s="62"/>
      <c r="ET18" s="62"/>
      <c r="EU18" s="62"/>
      <c r="EV18" s="62"/>
      <c r="EW18" s="62"/>
      <c r="EX18" s="62"/>
      <c r="EY18" s="62"/>
      <c r="EZ18" s="62"/>
      <c r="FA18" s="62"/>
      <c r="FB18" s="62"/>
      <c r="FC18" s="62"/>
      <c r="FD18" s="62"/>
      <c r="FE18" s="62"/>
      <c r="FF18" s="62"/>
      <c r="FG18" s="62"/>
      <c r="FH18" s="62"/>
      <c r="FI18" s="62"/>
      <c r="FJ18" s="62"/>
      <c r="FK18" s="62"/>
      <c r="FL18" s="62"/>
      <c r="FM18" s="62"/>
      <c r="FN18" s="62"/>
      <c r="FO18" s="62"/>
      <c r="FP18" s="62"/>
      <c r="FQ18" s="62"/>
      <c r="FR18" s="62"/>
      <c r="FS18" s="62"/>
      <c r="FT18" s="62"/>
      <c r="FU18" s="62"/>
      <c r="FV18" s="62"/>
      <c r="FW18" s="62"/>
      <c r="FX18" s="62"/>
      <c r="FY18" s="62"/>
      <c r="FZ18" s="62"/>
      <c r="GA18" s="62"/>
      <c r="GB18" s="62"/>
      <c r="GC18" s="62"/>
      <c r="GD18" s="62"/>
      <c r="GE18" s="62"/>
      <c r="GF18" s="62"/>
      <c r="GG18" s="62"/>
      <c r="GH18" s="62"/>
      <c r="GI18" s="62"/>
      <c r="GJ18" s="62"/>
      <c r="GK18" s="62"/>
      <c r="GL18" s="62"/>
      <c r="GM18" s="62"/>
      <c r="GN18" s="62"/>
      <c r="GO18" s="62"/>
      <c r="GP18" s="62"/>
      <c r="GQ18" s="62"/>
      <c r="GR18" s="62"/>
      <c r="GS18" s="62"/>
      <c r="GT18" s="62"/>
      <c r="GU18" s="62"/>
    </row>
    <row r="19" spans="1:203" x14ac:dyDescent="0.25">
      <c r="A19" s="8" t="s">
        <v>158</v>
      </c>
      <c r="B19" s="176" t="str">
        <f>DATA!J23</f>
        <v/>
      </c>
      <c r="C19" s="140">
        <f>DATA!K23</f>
        <v>0</v>
      </c>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2"/>
      <c r="AQ19" s="62"/>
      <c r="AR19" s="62"/>
      <c r="AS19" s="62"/>
      <c r="AT19" s="62"/>
      <c r="AU19" s="62"/>
      <c r="AV19" s="62"/>
      <c r="AW19" s="62"/>
      <c r="AX19" s="62"/>
      <c r="AY19" s="62"/>
      <c r="AZ19" s="62"/>
      <c r="BA19" s="62"/>
      <c r="BB19" s="62"/>
      <c r="BC19" s="62"/>
      <c r="BD19" s="62"/>
      <c r="BE19" s="62"/>
      <c r="BF19" s="62"/>
      <c r="BG19" s="62"/>
      <c r="BH19" s="62"/>
      <c r="BI19" s="62"/>
      <c r="BJ19" s="62"/>
      <c r="BK19" s="62"/>
      <c r="BL19" s="62"/>
      <c r="BM19" s="62"/>
      <c r="BN19" s="62"/>
      <c r="BO19" s="62"/>
      <c r="BP19" s="62"/>
      <c r="BQ19" s="62"/>
      <c r="BR19" s="62"/>
      <c r="BS19" s="62"/>
      <c r="BT19" s="62"/>
      <c r="BU19" s="62"/>
      <c r="BV19" s="62"/>
      <c r="BW19" s="62"/>
      <c r="BX19" s="62"/>
      <c r="BY19" s="62"/>
      <c r="BZ19" s="62"/>
      <c r="CA19" s="62"/>
      <c r="CB19" s="62"/>
      <c r="CC19" s="62"/>
      <c r="CD19" s="62"/>
      <c r="CE19" s="62"/>
      <c r="CF19" s="62"/>
      <c r="CG19" s="62"/>
      <c r="CH19" s="62"/>
      <c r="CI19" s="62"/>
      <c r="CJ19" s="62"/>
      <c r="CK19" s="62"/>
      <c r="CL19" s="62"/>
      <c r="CM19" s="62"/>
      <c r="CN19" s="62"/>
      <c r="CO19" s="62"/>
      <c r="CP19" s="62"/>
      <c r="CQ19" s="62"/>
      <c r="CR19" s="62"/>
      <c r="CS19" s="62"/>
      <c r="CT19" s="62"/>
      <c r="CU19" s="62"/>
      <c r="CV19" s="62"/>
      <c r="CW19" s="62"/>
      <c r="CX19" s="62"/>
      <c r="CY19" s="62"/>
      <c r="CZ19" s="62"/>
      <c r="DA19" s="62"/>
      <c r="DB19" s="62"/>
      <c r="DC19" s="62"/>
      <c r="DD19" s="62"/>
      <c r="DE19" s="62"/>
      <c r="DF19" s="62"/>
      <c r="DG19" s="62"/>
      <c r="DH19" s="62"/>
      <c r="DI19" s="62"/>
      <c r="DJ19" s="62"/>
      <c r="DK19" s="62"/>
      <c r="DL19" s="62"/>
      <c r="DM19" s="62"/>
      <c r="DN19" s="62"/>
      <c r="DO19" s="62"/>
      <c r="DP19" s="62"/>
      <c r="DQ19" s="62"/>
      <c r="DR19" s="62"/>
      <c r="DS19" s="62"/>
      <c r="DT19" s="62"/>
      <c r="DU19" s="62"/>
      <c r="DV19" s="62"/>
      <c r="DW19" s="62"/>
      <c r="DX19" s="62"/>
      <c r="DY19" s="62"/>
      <c r="DZ19" s="62"/>
      <c r="EA19" s="62"/>
      <c r="EB19" s="62"/>
      <c r="EC19" s="62"/>
      <c r="ED19" s="62"/>
      <c r="EE19" s="62"/>
      <c r="EF19" s="62"/>
      <c r="EG19" s="62"/>
      <c r="EH19" s="62"/>
      <c r="EI19" s="62"/>
      <c r="EJ19" s="62"/>
      <c r="EK19" s="62"/>
      <c r="EL19" s="62"/>
      <c r="EM19" s="62"/>
      <c r="EN19" s="62"/>
      <c r="EO19" s="62"/>
      <c r="EP19" s="62"/>
      <c r="EQ19" s="62"/>
      <c r="ER19" s="62"/>
      <c r="ES19" s="62"/>
      <c r="ET19" s="62"/>
      <c r="EU19" s="62"/>
      <c r="EV19" s="62"/>
      <c r="EW19" s="62"/>
      <c r="EX19" s="62"/>
      <c r="EY19" s="62"/>
      <c r="EZ19" s="62"/>
      <c r="FA19" s="62"/>
      <c r="FB19" s="62"/>
      <c r="FC19" s="62"/>
      <c r="FD19" s="62"/>
      <c r="FE19" s="62"/>
      <c r="FF19" s="62"/>
      <c r="FG19" s="62"/>
      <c r="FH19" s="62"/>
      <c r="FI19" s="62"/>
      <c r="FJ19" s="62"/>
      <c r="FK19" s="62"/>
      <c r="FL19" s="62"/>
      <c r="FM19" s="62"/>
      <c r="FN19" s="62"/>
      <c r="FO19" s="62"/>
      <c r="FP19" s="62"/>
      <c r="FQ19" s="62"/>
      <c r="FR19" s="62"/>
      <c r="FS19" s="62"/>
      <c r="FT19" s="62"/>
      <c r="FU19" s="62"/>
      <c r="FV19" s="62"/>
      <c r="FW19" s="62"/>
      <c r="FX19" s="62"/>
      <c r="FY19" s="62"/>
      <c r="FZ19" s="62"/>
      <c r="GA19" s="62"/>
      <c r="GB19" s="62"/>
      <c r="GC19" s="62"/>
      <c r="GD19" s="62"/>
      <c r="GE19" s="62"/>
      <c r="GF19" s="62"/>
      <c r="GG19" s="62"/>
      <c r="GH19" s="62"/>
      <c r="GI19" s="62"/>
      <c r="GJ19" s="62"/>
      <c r="GK19" s="62"/>
      <c r="GL19" s="62"/>
      <c r="GM19" s="62"/>
      <c r="GN19" s="62"/>
      <c r="GO19" s="62"/>
      <c r="GP19" s="62"/>
      <c r="GQ19" s="62"/>
      <c r="GR19" s="62"/>
      <c r="GS19" s="62"/>
      <c r="GT19" s="62"/>
      <c r="GU19" s="62"/>
    </row>
    <row r="20" spans="1:203" x14ac:dyDescent="0.25">
      <c r="A20" s="8" t="s">
        <v>159</v>
      </c>
      <c r="B20" s="176" t="str">
        <f>DATA!J24</f>
        <v/>
      </c>
      <c r="C20" s="140">
        <f>DATA!K24</f>
        <v>0</v>
      </c>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62"/>
      <c r="BI20" s="62"/>
      <c r="BJ20" s="62"/>
      <c r="BK20" s="62"/>
      <c r="BL20" s="62"/>
      <c r="BM20" s="62"/>
      <c r="BN20" s="62"/>
      <c r="BO20" s="62"/>
      <c r="BP20" s="62"/>
      <c r="BQ20" s="62"/>
      <c r="BR20" s="62"/>
      <c r="BS20" s="62"/>
      <c r="BT20" s="62"/>
      <c r="BU20" s="62"/>
      <c r="BV20" s="62"/>
      <c r="BW20" s="62"/>
      <c r="BX20" s="62"/>
      <c r="BY20" s="62"/>
      <c r="BZ20" s="62"/>
      <c r="CA20" s="62"/>
      <c r="CB20" s="62"/>
      <c r="CC20" s="62"/>
      <c r="CD20" s="62"/>
      <c r="CE20" s="62"/>
      <c r="CF20" s="62"/>
      <c r="CG20" s="62"/>
      <c r="CH20" s="62"/>
      <c r="CI20" s="62"/>
      <c r="CJ20" s="62"/>
      <c r="CK20" s="62"/>
      <c r="CL20" s="62"/>
      <c r="CM20" s="62"/>
      <c r="CN20" s="62"/>
      <c r="CO20" s="62"/>
      <c r="CP20" s="62"/>
      <c r="CQ20" s="62"/>
      <c r="CR20" s="62"/>
      <c r="CS20" s="62"/>
      <c r="CT20" s="62"/>
      <c r="CU20" s="62"/>
      <c r="CV20" s="62"/>
      <c r="CW20" s="62"/>
      <c r="CX20" s="62"/>
      <c r="CY20" s="62"/>
      <c r="CZ20" s="62"/>
      <c r="DA20" s="62"/>
      <c r="DB20" s="62"/>
      <c r="DC20" s="62"/>
      <c r="DD20" s="62"/>
      <c r="DE20" s="62"/>
      <c r="DF20" s="62"/>
      <c r="DG20" s="62"/>
      <c r="DH20" s="62"/>
      <c r="DI20" s="62"/>
      <c r="DJ20" s="62"/>
      <c r="DK20" s="62"/>
      <c r="DL20" s="62"/>
      <c r="DM20" s="62"/>
      <c r="DN20" s="62"/>
      <c r="DO20" s="62"/>
      <c r="DP20" s="62"/>
      <c r="DQ20" s="62"/>
      <c r="DR20" s="62"/>
      <c r="DS20" s="62"/>
      <c r="DT20" s="62"/>
      <c r="DU20" s="62"/>
      <c r="DV20" s="62"/>
      <c r="DW20" s="62"/>
      <c r="DX20" s="62"/>
      <c r="DY20" s="62"/>
      <c r="DZ20" s="62"/>
      <c r="EA20" s="62"/>
      <c r="EB20" s="62"/>
      <c r="EC20" s="62"/>
      <c r="ED20" s="62"/>
      <c r="EE20" s="62"/>
      <c r="EF20" s="62"/>
      <c r="EG20" s="62"/>
      <c r="EH20" s="62"/>
      <c r="EI20" s="62"/>
      <c r="EJ20" s="62"/>
      <c r="EK20" s="62"/>
      <c r="EL20" s="62"/>
      <c r="EM20" s="62"/>
      <c r="EN20" s="62"/>
      <c r="EO20" s="62"/>
      <c r="EP20" s="62"/>
      <c r="EQ20" s="62"/>
      <c r="ER20" s="62"/>
      <c r="ES20" s="62"/>
      <c r="ET20" s="62"/>
      <c r="EU20" s="62"/>
      <c r="EV20" s="62"/>
      <c r="EW20" s="62"/>
      <c r="EX20" s="62"/>
      <c r="EY20" s="62"/>
      <c r="EZ20" s="62"/>
      <c r="FA20" s="62"/>
      <c r="FB20" s="62"/>
      <c r="FC20" s="62"/>
      <c r="FD20" s="62"/>
      <c r="FE20" s="62"/>
      <c r="FF20" s="62"/>
      <c r="FG20" s="62"/>
      <c r="FH20" s="62"/>
      <c r="FI20" s="62"/>
      <c r="FJ20" s="62"/>
      <c r="FK20" s="62"/>
      <c r="FL20" s="62"/>
      <c r="FM20" s="62"/>
      <c r="FN20" s="62"/>
      <c r="FO20" s="62"/>
      <c r="FP20" s="62"/>
      <c r="FQ20" s="62"/>
      <c r="FR20" s="62"/>
      <c r="FS20" s="62"/>
      <c r="FT20" s="62"/>
      <c r="FU20" s="62"/>
      <c r="FV20" s="62"/>
      <c r="FW20" s="62"/>
      <c r="FX20" s="62"/>
      <c r="FY20" s="62"/>
      <c r="FZ20" s="62"/>
      <c r="GA20" s="62"/>
      <c r="GB20" s="62"/>
      <c r="GC20" s="62"/>
      <c r="GD20" s="62"/>
      <c r="GE20" s="62"/>
      <c r="GF20" s="62"/>
      <c r="GG20" s="62"/>
      <c r="GH20" s="62"/>
      <c r="GI20" s="62"/>
      <c r="GJ20" s="62"/>
      <c r="GK20" s="62"/>
      <c r="GL20" s="62"/>
      <c r="GM20" s="62"/>
      <c r="GN20" s="62"/>
      <c r="GO20" s="62"/>
      <c r="GP20" s="62"/>
      <c r="GQ20" s="62"/>
      <c r="GR20" s="62"/>
      <c r="GS20" s="62"/>
      <c r="GT20" s="62"/>
      <c r="GU20" s="62"/>
    </row>
    <row r="21" spans="1:203" x14ac:dyDescent="0.25">
      <c r="A21" s="8" t="s">
        <v>160</v>
      </c>
      <c r="B21" s="176" t="str">
        <f>DATA!J25</f>
        <v/>
      </c>
      <c r="C21" s="140">
        <f>DATA!K25</f>
        <v>0</v>
      </c>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62"/>
      <c r="BJ21" s="62"/>
      <c r="BK21" s="62"/>
      <c r="BL21" s="62"/>
      <c r="BM21" s="62"/>
      <c r="BN21" s="62"/>
      <c r="BO21" s="62"/>
      <c r="BP21" s="62"/>
      <c r="BQ21" s="62"/>
      <c r="BR21" s="62"/>
      <c r="BS21" s="62"/>
      <c r="BT21" s="62"/>
      <c r="BU21" s="62"/>
      <c r="BV21" s="62"/>
      <c r="BW21" s="62"/>
      <c r="BX21" s="62"/>
      <c r="BY21" s="62"/>
      <c r="BZ21" s="62"/>
      <c r="CA21" s="62"/>
      <c r="CB21" s="62"/>
      <c r="CC21" s="62"/>
      <c r="CD21" s="62"/>
      <c r="CE21" s="62"/>
      <c r="CF21" s="62"/>
      <c r="CG21" s="62"/>
      <c r="CH21" s="62"/>
      <c r="CI21" s="62"/>
      <c r="CJ21" s="62"/>
      <c r="CK21" s="62"/>
      <c r="CL21" s="62"/>
      <c r="CM21" s="62"/>
      <c r="CN21" s="62"/>
      <c r="CO21" s="62"/>
      <c r="CP21" s="62"/>
      <c r="CQ21" s="62"/>
      <c r="CR21" s="62"/>
      <c r="CS21" s="62"/>
      <c r="CT21" s="62"/>
      <c r="CU21" s="62"/>
      <c r="CV21" s="62"/>
      <c r="CW21" s="62"/>
      <c r="CX21" s="62"/>
      <c r="CY21" s="62"/>
      <c r="CZ21" s="62"/>
      <c r="DA21" s="62"/>
      <c r="DB21" s="62"/>
      <c r="DC21" s="62"/>
      <c r="DD21" s="62"/>
      <c r="DE21" s="62"/>
      <c r="DF21" s="62"/>
      <c r="DG21" s="62"/>
      <c r="DH21" s="62"/>
      <c r="DI21" s="62"/>
      <c r="DJ21" s="62"/>
      <c r="DK21" s="62"/>
      <c r="DL21" s="62"/>
      <c r="DM21" s="62"/>
      <c r="DN21" s="62"/>
      <c r="DO21" s="62"/>
      <c r="DP21" s="62"/>
      <c r="DQ21" s="62"/>
      <c r="DR21" s="62"/>
      <c r="DS21" s="62"/>
      <c r="DT21" s="62"/>
      <c r="DU21" s="62"/>
      <c r="DV21" s="62"/>
      <c r="DW21" s="62"/>
      <c r="DX21" s="62"/>
      <c r="DY21" s="62"/>
      <c r="DZ21" s="62"/>
      <c r="EA21" s="62"/>
      <c r="EB21" s="62"/>
      <c r="EC21" s="62"/>
      <c r="ED21" s="62"/>
      <c r="EE21" s="62"/>
      <c r="EF21" s="62"/>
      <c r="EG21" s="62"/>
      <c r="EH21" s="62"/>
      <c r="EI21" s="62"/>
      <c r="EJ21" s="62"/>
      <c r="EK21" s="62"/>
      <c r="EL21" s="62"/>
      <c r="EM21" s="62"/>
      <c r="EN21" s="62"/>
      <c r="EO21" s="62"/>
      <c r="EP21" s="62"/>
      <c r="EQ21" s="62"/>
      <c r="ER21" s="62"/>
      <c r="ES21" s="62"/>
      <c r="ET21" s="62"/>
      <c r="EU21" s="62"/>
      <c r="EV21" s="62"/>
      <c r="EW21" s="62"/>
      <c r="EX21" s="62"/>
      <c r="EY21" s="62"/>
      <c r="EZ21" s="62"/>
      <c r="FA21" s="62"/>
      <c r="FB21" s="62"/>
      <c r="FC21" s="62"/>
      <c r="FD21" s="62"/>
      <c r="FE21" s="62"/>
      <c r="FF21" s="62"/>
      <c r="FG21" s="62"/>
      <c r="FH21" s="62"/>
      <c r="FI21" s="62"/>
      <c r="FJ21" s="62"/>
      <c r="FK21" s="62"/>
      <c r="FL21" s="62"/>
      <c r="FM21" s="62"/>
      <c r="FN21" s="62"/>
      <c r="FO21" s="62"/>
      <c r="FP21" s="62"/>
      <c r="FQ21" s="62"/>
      <c r="FR21" s="62"/>
      <c r="FS21" s="62"/>
      <c r="FT21" s="62"/>
      <c r="FU21" s="62"/>
      <c r="FV21" s="62"/>
      <c r="FW21" s="62"/>
      <c r="FX21" s="62"/>
      <c r="FY21" s="62"/>
      <c r="FZ21" s="62"/>
      <c r="GA21" s="62"/>
      <c r="GB21" s="62"/>
      <c r="GC21" s="62"/>
      <c r="GD21" s="62"/>
      <c r="GE21" s="62"/>
      <c r="GF21" s="62"/>
      <c r="GG21" s="62"/>
      <c r="GH21" s="62"/>
      <c r="GI21" s="62"/>
      <c r="GJ21" s="62"/>
      <c r="GK21" s="62"/>
      <c r="GL21" s="62"/>
      <c r="GM21" s="62"/>
      <c r="GN21" s="62"/>
      <c r="GO21" s="62"/>
      <c r="GP21" s="62"/>
      <c r="GQ21" s="62"/>
      <c r="GR21" s="62"/>
      <c r="GS21" s="62"/>
      <c r="GT21" s="62"/>
      <c r="GU21" s="62"/>
    </row>
    <row r="22" spans="1:203" x14ac:dyDescent="0.25">
      <c r="A22" s="149" t="s">
        <v>161</v>
      </c>
      <c r="B22" s="176" t="str">
        <f>DATA!J26</f>
        <v/>
      </c>
      <c r="C22" s="140">
        <f>DATA!K26</f>
        <v>0</v>
      </c>
      <c r="D22" s="68"/>
      <c r="E22" s="68"/>
      <c r="F22" s="68"/>
      <c r="G22" s="68"/>
      <c r="H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8"/>
      <c r="AY22" s="68"/>
      <c r="AZ22" s="68"/>
      <c r="BA22" s="68"/>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c r="DA22" s="68"/>
      <c r="DB22" s="68"/>
      <c r="DC22" s="68"/>
      <c r="DD22" s="68"/>
      <c r="DE22" s="68"/>
      <c r="DF22" s="68"/>
      <c r="DG22" s="68"/>
      <c r="DH22" s="68"/>
      <c r="DI22" s="68"/>
      <c r="DJ22" s="68"/>
      <c r="DK22" s="68"/>
      <c r="DL22" s="68"/>
      <c r="DM22" s="68"/>
      <c r="DN22" s="68"/>
      <c r="DO22" s="68"/>
      <c r="DP22" s="68"/>
      <c r="DQ22" s="68"/>
      <c r="DR22" s="68"/>
      <c r="DS22" s="68"/>
      <c r="DT22" s="68"/>
      <c r="DU22" s="68"/>
      <c r="DV22" s="68"/>
      <c r="DW22" s="68"/>
      <c r="DX22" s="68"/>
      <c r="DY22" s="68"/>
      <c r="DZ22" s="68"/>
      <c r="EA22" s="68"/>
      <c r="EB22" s="68"/>
      <c r="EC22" s="68"/>
      <c r="ED22" s="68"/>
      <c r="EE22" s="68"/>
      <c r="EF22" s="68"/>
      <c r="EG22" s="68"/>
      <c r="EH22" s="68"/>
      <c r="EI22" s="68"/>
      <c r="EJ22" s="68"/>
      <c r="EK22" s="68"/>
      <c r="EL22" s="68"/>
      <c r="EM22" s="68"/>
      <c r="EN22" s="68"/>
      <c r="EO22" s="68"/>
      <c r="EP22" s="68"/>
      <c r="EQ22" s="68"/>
      <c r="ER22" s="68"/>
      <c r="ES22" s="68"/>
      <c r="ET22" s="68"/>
      <c r="EU22" s="68"/>
      <c r="EV22" s="68"/>
      <c r="EW22" s="68"/>
      <c r="EX22" s="68"/>
      <c r="EY22" s="68"/>
      <c r="EZ22" s="68"/>
      <c r="FA22" s="68"/>
      <c r="FB22" s="68"/>
      <c r="FC22" s="68"/>
      <c r="FD22" s="68"/>
      <c r="FE22" s="68"/>
      <c r="FF22" s="68"/>
      <c r="FG22" s="68"/>
      <c r="FH22" s="68"/>
      <c r="FI22" s="68"/>
      <c r="FJ22" s="68"/>
      <c r="FK22" s="68"/>
      <c r="FL22" s="68"/>
      <c r="FM22" s="68"/>
      <c r="FN22" s="68"/>
      <c r="FO22" s="68"/>
      <c r="FP22" s="68"/>
      <c r="FQ22" s="68"/>
      <c r="FR22" s="68"/>
      <c r="FS22" s="68"/>
      <c r="FT22" s="68"/>
      <c r="FU22" s="68"/>
      <c r="FV22" s="68"/>
      <c r="FW22" s="68"/>
      <c r="FX22" s="68"/>
      <c r="FY22" s="68"/>
      <c r="FZ22" s="68"/>
      <c r="GA22" s="68"/>
      <c r="GB22" s="68"/>
      <c r="GC22" s="68"/>
      <c r="GD22" s="68"/>
      <c r="GE22" s="68"/>
      <c r="GF22" s="68"/>
      <c r="GG22" s="68"/>
      <c r="GH22" s="68"/>
      <c r="GI22" s="68"/>
      <c r="GJ22" s="68"/>
      <c r="GK22" s="68"/>
      <c r="GL22" s="68"/>
      <c r="GM22" s="68"/>
      <c r="GN22" s="68"/>
      <c r="GO22" s="68"/>
      <c r="GP22" s="68"/>
      <c r="GQ22" s="68"/>
      <c r="GR22" s="68"/>
      <c r="GS22" s="68"/>
      <c r="GT22" s="68"/>
      <c r="GU22" s="68"/>
    </row>
    <row r="23" spans="1:203" x14ac:dyDescent="0.25">
      <c r="A23" s="8" t="s">
        <v>136</v>
      </c>
      <c r="B23" s="176" t="str">
        <f>DATA!J27</f>
        <v/>
      </c>
      <c r="C23" s="140">
        <f>DATA!K27</f>
        <v>0</v>
      </c>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62"/>
      <c r="BJ23" s="62"/>
      <c r="BK23" s="62"/>
      <c r="BL23" s="62"/>
      <c r="BM23" s="62"/>
      <c r="BN23" s="62"/>
      <c r="BO23" s="62"/>
      <c r="BP23" s="62"/>
      <c r="BQ23" s="62"/>
      <c r="BR23" s="62"/>
      <c r="BS23" s="62"/>
      <c r="BT23" s="62"/>
      <c r="BU23" s="62"/>
      <c r="BV23" s="62"/>
      <c r="BW23" s="62"/>
      <c r="BX23" s="62"/>
      <c r="BY23" s="62"/>
      <c r="BZ23" s="62"/>
      <c r="CA23" s="62"/>
      <c r="CB23" s="62"/>
      <c r="CC23" s="62"/>
      <c r="CD23" s="62"/>
      <c r="CE23" s="62"/>
      <c r="CF23" s="62"/>
      <c r="CG23" s="62"/>
      <c r="CH23" s="62"/>
      <c r="CI23" s="62"/>
      <c r="CJ23" s="62"/>
      <c r="CK23" s="62"/>
      <c r="CL23" s="62"/>
      <c r="CM23" s="62"/>
      <c r="CN23" s="62"/>
      <c r="CO23" s="62"/>
      <c r="CP23" s="62"/>
      <c r="CQ23" s="62"/>
      <c r="CR23" s="62"/>
      <c r="CS23" s="62"/>
      <c r="CT23" s="62"/>
      <c r="CU23" s="62"/>
      <c r="CV23" s="62"/>
      <c r="CW23" s="62"/>
      <c r="CX23" s="62"/>
      <c r="CY23" s="62"/>
      <c r="CZ23" s="62"/>
      <c r="DA23" s="62"/>
      <c r="DB23" s="62"/>
      <c r="DC23" s="62"/>
      <c r="DD23" s="62"/>
      <c r="DE23" s="62"/>
      <c r="DF23" s="62"/>
      <c r="DG23" s="62"/>
      <c r="DH23" s="62"/>
      <c r="DI23" s="62"/>
      <c r="DJ23" s="62"/>
      <c r="DK23" s="62"/>
      <c r="DL23" s="62"/>
      <c r="DM23" s="62"/>
      <c r="DN23" s="62"/>
      <c r="DO23" s="62"/>
      <c r="DP23" s="62"/>
      <c r="DQ23" s="62"/>
      <c r="DR23" s="62"/>
      <c r="DS23" s="62"/>
      <c r="DT23" s="62"/>
      <c r="DU23" s="62"/>
      <c r="DV23" s="62"/>
      <c r="DW23" s="62"/>
      <c r="DX23" s="62"/>
      <c r="DY23" s="62"/>
      <c r="DZ23" s="62"/>
      <c r="EA23" s="62"/>
      <c r="EB23" s="62"/>
      <c r="EC23" s="62"/>
      <c r="ED23" s="62"/>
      <c r="EE23" s="62"/>
      <c r="EF23" s="62"/>
      <c r="EG23" s="62"/>
      <c r="EH23" s="62"/>
      <c r="EI23" s="62"/>
      <c r="EJ23" s="62"/>
      <c r="EK23" s="62"/>
      <c r="EL23" s="62"/>
      <c r="EM23" s="62"/>
      <c r="EN23" s="62"/>
      <c r="EO23" s="62"/>
      <c r="EP23" s="62"/>
      <c r="EQ23" s="62"/>
      <c r="ER23" s="62"/>
      <c r="ES23" s="62"/>
      <c r="ET23" s="62"/>
      <c r="EU23" s="62"/>
      <c r="EV23" s="62"/>
      <c r="EW23" s="62"/>
      <c r="EX23" s="62"/>
      <c r="EY23" s="62"/>
      <c r="EZ23" s="62"/>
      <c r="FA23" s="62"/>
      <c r="FB23" s="62"/>
      <c r="FC23" s="62"/>
      <c r="FD23" s="62"/>
      <c r="FE23" s="62"/>
      <c r="FF23" s="62"/>
      <c r="FG23" s="62"/>
      <c r="FH23" s="62"/>
      <c r="FI23" s="62"/>
      <c r="FJ23" s="62"/>
      <c r="FK23" s="62"/>
      <c r="FL23" s="62"/>
      <c r="FM23" s="62"/>
      <c r="FN23" s="62"/>
      <c r="FO23" s="62"/>
      <c r="FP23" s="62"/>
      <c r="FQ23" s="62"/>
      <c r="FR23" s="62"/>
      <c r="FS23" s="62"/>
      <c r="FT23" s="62"/>
      <c r="FU23" s="62"/>
      <c r="FV23" s="62"/>
      <c r="FW23" s="62"/>
      <c r="FX23" s="62"/>
      <c r="FY23" s="62"/>
      <c r="FZ23" s="62"/>
      <c r="GA23" s="62"/>
      <c r="GB23" s="62"/>
      <c r="GC23" s="62"/>
      <c r="GD23" s="62"/>
      <c r="GE23" s="62"/>
      <c r="GF23" s="62"/>
      <c r="GG23" s="62"/>
      <c r="GH23" s="62"/>
      <c r="GI23" s="62"/>
      <c r="GJ23" s="62"/>
      <c r="GK23" s="62"/>
      <c r="GL23" s="62"/>
      <c r="GM23" s="62"/>
      <c r="GN23" s="62"/>
      <c r="GO23" s="62"/>
      <c r="GP23" s="62"/>
      <c r="GQ23" s="62"/>
      <c r="GR23" s="62"/>
      <c r="GS23" s="62"/>
      <c r="GT23" s="62"/>
      <c r="GU23" s="62"/>
    </row>
    <row r="24" spans="1:203" x14ac:dyDescent="0.25">
      <c r="A24" s="8" t="s">
        <v>137</v>
      </c>
      <c r="B24" s="176" t="str">
        <f>DATA!J28</f>
        <v/>
      </c>
      <c r="C24" s="140">
        <f>DATA!K28</f>
        <v>0</v>
      </c>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c r="BM24" s="62"/>
      <c r="BN24" s="62"/>
      <c r="BO24" s="62"/>
      <c r="BP24" s="62"/>
      <c r="BQ24" s="62"/>
      <c r="BR24" s="62"/>
      <c r="BS24" s="62"/>
      <c r="BT24" s="62"/>
      <c r="BU24" s="62"/>
      <c r="BV24" s="62"/>
      <c r="BW24" s="62"/>
      <c r="BX24" s="62"/>
      <c r="BY24" s="62"/>
      <c r="BZ24" s="62"/>
      <c r="CA24" s="62"/>
      <c r="CB24" s="62"/>
      <c r="CC24" s="62"/>
      <c r="CD24" s="62"/>
      <c r="CE24" s="62"/>
      <c r="CF24" s="62"/>
      <c r="CG24" s="62"/>
      <c r="CH24" s="62"/>
      <c r="CI24" s="62"/>
      <c r="CJ24" s="62"/>
      <c r="CK24" s="62"/>
      <c r="CL24" s="62"/>
      <c r="CM24" s="62"/>
      <c r="CN24" s="62"/>
      <c r="CO24" s="62"/>
      <c r="CP24" s="62"/>
      <c r="CQ24" s="62"/>
      <c r="CR24" s="62"/>
      <c r="CS24" s="62"/>
      <c r="CT24" s="62"/>
      <c r="CU24" s="62"/>
      <c r="CV24" s="62"/>
      <c r="CW24" s="62"/>
      <c r="CX24" s="62"/>
      <c r="CY24" s="62"/>
      <c r="CZ24" s="62"/>
      <c r="DA24" s="62"/>
      <c r="DB24" s="62"/>
      <c r="DC24" s="62"/>
      <c r="DD24" s="62"/>
      <c r="DE24" s="62"/>
      <c r="DF24" s="62"/>
      <c r="DG24" s="62"/>
      <c r="DH24" s="62"/>
      <c r="DI24" s="62"/>
      <c r="DJ24" s="62"/>
      <c r="DK24" s="62"/>
      <c r="DL24" s="62"/>
      <c r="DM24" s="62"/>
      <c r="DN24" s="62"/>
      <c r="DO24" s="62"/>
      <c r="DP24" s="62"/>
      <c r="DQ24" s="62"/>
      <c r="DR24" s="62"/>
      <c r="DS24" s="62"/>
      <c r="DT24" s="62"/>
      <c r="DU24" s="62"/>
      <c r="DV24" s="62"/>
      <c r="DW24" s="62"/>
      <c r="DX24" s="62"/>
      <c r="DY24" s="62"/>
      <c r="DZ24" s="62"/>
      <c r="EA24" s="62"/>
      <c r="EB24" s="62"/>
      <c r="EC24" s="62"/>
      <c r="ED24" s="62"/>
      <c r="EE24" s="62"/>
      <c r="EF24" s="62"/>
      <c r="EG24" s="62"/>
      <c r="EH24" s="62"/>
      <c r="EI24" s="62"/>
      <c r="EJ24" s="62"/>
      <c r="EK24" s="62"/>
      <c r="EL24" s="62"/>
      <c r="EM24" s="62"/>
      <c r="EN24" s="62"/>
      <c r="EO24" s="62"/>
      <c r="EP24" s="62"/>
      <c r="EQ24" s="62"/>
      <c r="ER24" s="62"/>
      <c r="ES24" s="62"/>
      <c r="ET24" s="62"/>
      <c r="EU24" s="62"/>
      <c r="EV24" s="62"/>
      <c r="EW24" s="62"/>
      <c r="EX24" s="62"/>
      <c r="EY24" s="62"/>
      <c r="EZ24" s="62"/>
      <c r="FA24" s="62"/>
      <c r="FB24" s="62"/>
      <c r="FC24" s="62"/>
      <c r="FD24" s="62"/>
      <c r="FE24" s="62"/>
      <c r="FF24" s="62"/>
      <c r="FG24" s="62"/>
      <c r="FH24" s="62"/>
      <c r="FI24" s="62"/>
      <c r="FJ24" s="62"/>
      <c r="FK24" s="62"/>
      <c r="FL24" s="62"/>
      <c r="FM24" s="62"/>
      <c r="FN24" s="62"/>
      <c r="FO24" s="62"/>
      <c r="FP24" s="62"/>
      <c r="FQ24" s="62"/>
      <c r="FR24" s="62"/>
      <c r="FS24" s="62"/>
      <c r="FT24" s="62"/>
      <c r="FU24" s="62"/>
      <c r="FV24" s="62"/>
      <c r="FW24" s="62"/>
      <c r="FX24" s="62"/>
      <c r="FY24" s="62"/>
      <c r="FZ24" s="62"/>
      <c r="GA24" s="62"/>
      <c r="GB24" s="62"/>
      <c r="GC24" s="62"/>
      <c r="GD24" s="62"/>
      <c r="GE24" s="62"/>
      <c r="GF24" s="62"/>
      <c r="GG24" s="62"/>
      <c r="GH24" s="62"/>
      <c r="GI24" s="62"/>
      <c r="GJ24" s="62"/>
      <c r="GK24" s="62"/>
      <c r="GL24" s="62"/>
      <c r="GM24" s="62"/>
      <c r="GN24" s="62"/>
      <c r="GO24" s="62"/>
      <c r="GP24" s="62"/>
      <c r="GQ24" s="62"/>
      <c r="GR24" s="62"/>
      <c r="GS24" s="62"/>
      <c r="GT24" s="62"/>
      <c r="GU24" s="62"/>
    </row>
    <row r="25" spans="1:203" x14ac:dyDescent="0.25">
      <c r="A25" s="8" t="s">
        <v>138</v>
      </c>
      <c r="B25" s="176" t="str">
        <f>DATA!J29</f>
        <v/>
      </c>
      <c r="C25" s="140">
        <f>DATA!K29</f>
        <v>0</v>
      </c>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2"/>
      <c r="AQ25" s="62"/>
      <c r="AR25" s="62"/>
      <c r="AS25" s="62"/>
      <c r="AT25" s="62"/>
      <c r="AU25" s="62"/>
      <c r="AV25" s="62"/>
      <c r="AW25" s="62"/>
      <c r="AX25" s="62"/>
      <c r="AY25" s="62"/>
      <c r="AZ25" s="62"/>
      <c r="BA25" s="62"/>
      <c r="BB25" s="62"/>
      <c r="BC25" s="62"/>
      <c r="BD25" s="62"/>
      <c r="BE25" s="62"/>
      <c r="BF25" s="62"/>
      <c r="BG25" s="62"/>
      <c r="BH25" s="62"/>
      <c r="BI25" s="62"/>
      <c r="BJ25" s="62"/>
      <c r="BK25" s="62"/>
      <c r="BL25" s="62"/>
      <c r="BM25" s="62"/>
      <c r="BN25" s="62"/>
      <c r="BO25" s="62"/>
      <c r="BP25" s="62"/>
      <c r="BQ25" s="62"/>
      <c r="BR25" s="62"/>
      <c r="BS25" s="62"/>
      <c r="BT25" s="62"/>
      <c r="BU25" s="62"/>
      <c r="BV25" s="62"/>
      <c r="BW25" s="62"/>
      <c r="BX25" s="62"/>
      <c r="BY25" s="62"/>
      <c r="BZ25" s="62"/>
      <c r="CA25" s="62"/>
      <c r="CB25" s="62"/>
      <c r="CC25" s="62"/>
      <c r="CD25" s="62"/>
      <c r="CE25" s="62"/>
      <c r="CF25" s="62"/>
      <c r="CG25" s="62"/>
      <c r="CH25" s="62"/>
      <c r="CI25" s="62"/>
      <c r="CJ25" s="62"/>
      <c r="CK25" s="62"/>
      <c r="CL25" s="62"/>
      <c r="CM25" s="62"/>
      <c r="CN25" s="62"/>
      <c r="CO25" s="62"/>
      <c r="CP25" s="62"/>
      <c r="CQ25" s="62"/>
      <c r="CR25" s="62"/>
      <c r="CS25" s="62"/>
      <c r="CT25" s="62"/>
      <c r="CU25" s="62"/>
      <c r="CV25" s="62"/>
      <c r="CW25" s="62"/>
      <c r="CX25" s="62"/>
      <c r="CY25" s="62"/>
      <c r="CZ25" s="62"/>
      <c r="DA25" s="62"/>
      <c r="DB25" s="62"/>
      <c r="DC25" s="62"/>
      <c r="DD25" s="62"/>
      <c r="DE25" s="62"/>
      <c r="DF25" s="62"/>
      <c r="DG25" s="62"/>
      <c r="DH25" s="62"/>
      <c r="DI25" s="62"/>
      <c r="DJ25" s="62"/>
      <c r="DK25" s="62"/>
      <c r="DL25" s="62"/>
      <c r="DM25" s="62"/>
      <c r="DN25" s="62"/>
      <c r="DO25" s="62"/>
      <c r="DP25" s="62"/>
      <c r="DQ25" s="62"/>
      <c r="DR25" s="62"/>
      <c r="DS25" s="62"/>
      <c r="DT25" s="62"/>
      <c r="DU25" s="62"/>
      <c r="DV25" s="62"/>
      <c r="DW25" s="62"/>
      <c r="DX25" s="62"/>
      <c r="DY25" s="62"/>
      <c r="DZ25" s="62"/>
      <c r="EA25" s="62"/>
      <c r="EB25" s="62"/>
      <c r="EC25" s="62"/>
      <c r="ED25" s="62"/>
      <c r="EE25" s="62"/>
      <c r="EF25" s="62"/>
      <c r="EG25" s="62"/>
      <c r="EH25" s="62"/>
      <c r="EI25" s="62"/>
      <c r="EJ25" s="62"/>
      <c r="EK25" s="62"/>
      <c r="EL25" s="62"/>
      <c r="EM25" s="62"/>
      <c r="EN25" s="62"/>
      <c r="EO25" s="62"/>
      <c r="EP25" s="62"/>
      <c r="EQ25" s="62"/>
      <c r="ER25" s="62"/>
      <c r="ES25" s="62"/>
      <c r="ET25" s="62"/>
      <c r="EU25" s="62"/>
      <c r="EV25" s="62"/>
      <c r="EW25" s="62"/>
      <c r="EX25" s="62"/>
      <c r="EY25" s="62"/>
      <c r="EZ25" s="62"/>
      <c r="FA25" s="62"/>
      <c r="FB25" s="62"/>
      <c r="FC25" s="62"/>
      <c r="FD25" s="62"/>
      <c r="FE25" s="62"/>
      <c r="FF25" s="62"/>
      <c r="FG25" s="62"/>
      <c r="FH25" s="62"/>
      <c r="FI25" s="62"/>
      <c r="FJ25" s="62"/>
      <c r="FK25" s="62"/>
      <c r="FL25" s="62"/>
      <c r="FM25" s="62"/>
      <c r="FN25" s="62"/>
      <c r="FO25" s="62"/>
      <c r="FP25" s="62"/>
      <c r="FQ25" s="62"/>
      <c r="FR25" s="62"/>
      <c r="FS25" s="62"/>
      <c r="FT25" s="62"/>
      <c r="FU25" s="62"/>
      <c r="FV25" s="62"/>
      <c r="FW25" s="62"/>
      <c r="FX25" s="62"/>
      <c r="FY25" s="62"/>
      <c r="FZ25" s="62"/>
      <c r="GA25" s="62"/>
      <c r="GB25" s="62"/>
      <c r="GC25" s="62"/>
      <c r="GD25" s="62"/>
      <c r="GE25" s="62"/>
      <c r="GF25" s="62"/>
      <c r="GG25" s="62"/>
      <c r="GH25" s="62"/>
      <c r="GI25" s="62"/>
      <c r="GJ25" s="62"/>
      <c r="GK25" s="62"/>
      <c r="GL25" s="62"/>
      <c r="GM25" s="62"/>
      <c r="GN25" s="62"/>
      <c r="GO25" s="62"/>
      <c r="GP25" s="62"/>
      <c r="GQ25" s="62"/>
      <c r="GR25" s="62"/>
      <c r="GS25" s="62"/>
      <c r="GT25" s="62"/>
      <c r="GU25" s="62"/>
    </row>
    <row r="26" spans="1:203" x14ac:dyDescent="0.25">
      <c r="A26" s="8" t="s">
        <v>139</v>
      </c>
      <c r="B26" s="176" t="str">
        <f>DATA!J30</f>
        <v/>
      </c>
      <c r="C26" s="140">
        <f>DATA!K30</f>
        <v>0</v>
      </c>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2"/>
      <c r="BL26" s="62"/>
      <c r="BM26" s="62"/>
      <c r="BN26" s="62"/>
      <c r="BO26" s="62"/>
      <c r="BP26" s="62"/>
      <c r="BQ26" s="62"/>
      <c r="BR26" s="62"/>
      <c r="BS26" s="62"/>
      <c r="BT26" s="62"/>
      <c r="BU26" s="62"/>
      <c r="BV26" s="62"/>
      <c r="BW26" s="62"/>
      <c r="BX26" s="62"/>
      <c r="BY26" s="62"/>
      <c r="BZ26" s="62"/>
      <c r="CA26" s="62"/>
      <c r="CB26" s="62"/>
      <c r="CC26" s="62"/>
      <c r="CD26" s="62"/>
      <c r="CE26" s="62"/>
      <c r="CF26" s="62"/>
      <c r="CG26" s="62"/>
      <c r="CH26" s="62"/>
      <c r="CI26" s="62"/>
      <c r="CJ26" s="62"/>
      <c r="CK26" s="62"/>
      <c r="CL26" s="62"/>
      <c r="CM26" s="62"/>
      <c r="CN26" s="62"/>
      <c r="CO26" s="62"/>
      <c r="CP26" s="62"/>
      <c r="CQ26" s="62"/>
      <c r="CR26" s="62"/>
      <c r="CS26" s="62"/>
      <c r="CT26" s="62"/>
      <c r="CU26" s="62"/>
      <c r="CV26" s="62"/>
      <c r="CW26" s="62"/>
      <c r="CX26" s="62"/>
      <c r="CY26" s="62"/>
      <c r="CZ26" s="62"/>
      <c r="DA26" s="62"/>
      <c r="DB26" s="62"/>
      <c r="DC26" s="62"/>
      <c r="DD26" s="62"/>
      <c r="DE26" s="62"/>
      <c r="DF26" s="62"/>
      <c r="DG26" s="62"/>
      <c r="DH26" s="62"/>
      <c r="DI26" s="62"/>
      <c r="DJ26" s="62"/>
      <c r="DK26" s="62"/>
      <c r="DL26" s="62"/>
      <c r="DM26" s="62"/>
      <c r="DN26" s="62"/>
      <c r="DO26" s="62"/>
      <c r="DP26" s="62"/>
      <c r="DQ26" s="62"/>
      <c r="DR26" s="62"/>
      <c r="DS26" s="62"/>
      <c r="DT26" s="62"/>
      <c r="DU26" s="62"/>
      <c r="DV26" s="62"/>
      <c r="DW26" s="62"/>
      <c r="DX26" s="62"/>
      <c r="DY26" s="62"/>
      <c r="DZ26" s="62"/>
      <c r="EA26" s="62"/>
      <c r="EB26" s="62"/>
      <c r="EC26" s="62"/>
      <c r="ED26" s="62"/>
      <c r="EE26" s="62"/>
      <c r="EF26" s="62"/>
      <c r="EG26" s="62"/>
      <c r="EH26" s="62"/>
      <c r="EI26" s="62"/>
      <c r="EJ26" s="62"/>
      <c r="EK26" s="62"/>
      <c r="EL26" s="62"/>
      <c r="EM26" s="62"/>
      <c r="EN26" s="62"/>
      <c r="EO26" s="62"/>
      <c r="EP26" s="62"/>
      <c r="EQ26" s="62"/>
      <c r="ER26" s="62"/>
      <c r="ES26" s="62"/>
      <c r="ET26" s="62"/>
      <c r="EU26" s="62"/>
      <c r="EV26" s="62"/>
      <c r="EW26" s="62"/>
      <c r="EX26" s="62"/>
      <c r="EY26" s="62"/>
      <c r="EZ26" s="62"/>
      <c r="FA26" s="62"/>
      <c r="FB26" s="62"/>
      <c r="FC26" s="62"/>
      <c r="FD26" s="62"/>
      <c r="FE26" s="62"/>
      <c r="FF26" s="62"/>
      <c r="FG26" s="62"/>
      <c r="FH26" s="62"/>
      <c r="FI26" s="62"/>
      <c r="FJ26" s="62"/>
      <c r="FK26" s="62"/>
      <c r="FL26" s="62"/>
      <c r="FM26" s="62"/>
      <c r="FN26" s="62"/>
      <c r="FO26" s="62"/>
      <c r="FP26" s="62"/>
      <c r="FQ26" s="62"/>
      <c r="FR26" s="62"/>
      <c r="FS26" s="62"/>
      <c r="FT26" s="62"/>
      <c r="FU26" s="62"/>
      <c r="FV26" s="62"/>
      <c r="FW26" s="62"/>
      <c r="FX26" s="62"/>
      <c r="FY26" s="62"/>
      <c r="FZ26" s="62"/>
      <c r="GA26" s="62"/>
      <c r="GB26" s="62"/>
      <c r="GC26" s="62"/>
      <c r="GD26" s="62"/>
      <c r="GE26" s="62"/>
      <c r="GF26" s="62"/>
      <c r="GG26" s="62"/>
      <c r="GH26" s="62"/>
      <c r="GI26" s="62"/>
      <c r="GJ26" s="62"/>
      <c r="GK26" s="62"/>
      <c r="GL26" s="62"/>
      <c r="GM26" s="62"/>
      <c r="GN26" s="62"/>
      <c r="GO26" s="62"/>
      <c r="GP26" s="62"/>
      <c r="GQ26" s="62"/>
      <c r="GR26" s="62"/>
      <c r="GS26" s="62"/>
      <c r="GT26" s="62"/>
      <c r="GU26" s="62"/>
    </row>
    <row r="27" spans="1:203" x14ac:dyDescent="0.25">
      <c r="A27" s="8" t="s">
        <v>140</v>
      </c>
      <c r="B27" s="176" t="str">
        <f>DATA!J31</f>
        <v/>
      </c>
      <c r="C27" s="140">
        <f>DATA!K31</f>
        <v>0</v>
      </c>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62"/>
      <c r="BJ27" s="62"/>
      <c r="BK27" s="62"/>
      <c r="BL27" s="62"/>
      <c r="BM27" s="62"/>
      <c r="BN27" s="62"/>
      <c r="BO27" s="62"/>
      <c r="BP27" s="62"/>
      <c r="BQ27" s="62"/>
      <c r="BR27" s="62"/>
      <c r="BS27" s="62"/>
      <c r="BT27" s="62"/>
      <c r="BU27" s="62"/>
      <c r="BV27" s="62"/>
      <c r="BW27" s="62"/>
      <c r="BX27" s="62"/>
      <c r="BY27" s="62"/>
      <c r="BZ27" s="62"/>
      <c r="CA27" s="62"/>
      <c r="CB27" s="62"/>
      <c r="CC27" s="62"/>
      <c r="CD27" s="62"/>
      <c r="CE27" s="62"/>
      <c r="CF27" s="62"/>
      <c r="CG27" s="62"/>
      <c r="CH27" s="62"/>
      <c r="CI27" s="62"/>
      <c r="CJ27" s="62"/>
      <c r="CK27" s="62"/>
      <c r="CL27" s="62"/>
      <c r="CM27" s="62"/>
      <c r="CN27" s="62"/>
      <c r="CO27" s="62"/>
      <c r="CP27" s="62"/>
      <c r="CQ27" s="62"/>
      <c r="CR27" s="62"/>
      <c r="CS27" s="62"/>
      <c r="CT27" s="62"/>
      <c r="CU27" s="62"/>
      <c r="CV27" s="62"/>
      <c r="CW27" s="62"/>
      <c r="CX27" s="62"/>
      <c r="CY27" s="62"/>
      <c r="CZ27" s="62"/>
      <c r="DA27" s="62"/>
      <c r="DB27" s="62"/>
      <c r="DC27" s="62"/>
      <c r="DD27" s="62"/>
      <c r="DE27" s="62"/>
      <c r="DF27" s="62"/>
      <c r="DG27" s="62"/>
      <c r="DH27" s="62"/>
      <c r="DI27" s="62"/>
      <c r="DJ27" s="62"/>
      <c r="DK27" s="62"/>
      <c r="DL27" s="62"/>
      <c r="DM27" s="62"/>
      <c r="DN27" s="62"/>
      <c r="DO27" s="62"/>
      <c r="DP27" s="62"/>
      <c r="DQ27" s="62"/>
      <c r="DR27" s="62"/>
      <c r="DS27" s="62"/>
      <c r="DT27" s="62"/>
      <c r="DU27" s="62"/>
      <c r="DV27" s="62"/>
      <c r="DW27" s="62"/>
      <c r="DX27" s="62"/>
      <c r="DY27" s="62"/>
      <c r="DZ27" s="62"/>
      <c r="EA27" s="62"/>
      <c r="EB27" s="62"/>
      <c r="EC27" s="62"/>
      <c r="ED27" s="62"/>
      <c r="EE27" s="62"/>
      <c r="EF27" s="62"/>
      <c r="EG27" s="62"/>
      <c r="EH27" s="62"/>
      <c r="EI27" s="62"/>
      <c r="EJ27" s="62"/>
      <c r="EK27" s="62"/>
      <c r="EL27" s="62"/>
      <c r="EM27" s="62"/>
      <c r="EN27" s="62"/>
      <c r="EO27" s="62"/>
      <c r="EP27" s="62"/>
      <c r="EQ27" s="62"/>
      <c r="ER27" s="62"/>
      <c r="ES27" s="62"/>
      <c r="ET27" s="62"/>
      <c r="EU27" s="62"/>
      <c r="EV27" s="62"/>
      <c r="EW27" s="62"/>
      <c r="EX27" s="62"/>
      <c r="EY27" s="62"/>
      <c r="EZ27" s="62"/>
      <c r="FA27" s="62"/>
      <c r="FB27" s="62"/>
      <c r="FC27" s="62"/>
      <c r="FD27" s="62"/>
      <c r="FE27" s="62"/>
      <c r="FF27" s="62"/>
      <c r="FG27" s="62"/>
      <c r="FH27" s="62"/>
      <c r="FI27" s="62"/>
      <c r="FJ27" s="62"/>
      <c r="FK27" s="62"/>
      <c r="FL27" s="62"/>
      <c r="FM27" s="62"/>
      <c r="FN27" s="62"/>
      <c r="FO27" s="62"/>
      <c r="FP27" s="62"/>
      <c r="FQ27" s="62"/>
      <c r="FR27" s="62"/>
      <c r="FS27" s="62"/>
      <c r="FT27" s="62"/>
      <c r="FU27" s="62"/>
      <c r="FV27" s="62"/>
      <c r="FW27" s="62"/>
      <c r="FX27" s="62"/>
      <c r="FY27" s="62"/>
      <c r="FZ27" s="62"/>
      <c r="GA27" s="62"/>
      <c r="GB27" s="62"/>
      <c r="GC27" s="62"/>
      <c r="GD27" s="62"/>
      <c r="GE27" s="62"/>
      <c r="GF27" s="62"/>
      <c r="GG27" s="62"/>
      <c r="GH27" s="62"/>
      <c r="GI27" s="62"/>
      <c r="GJ27" s="62"/>
      <c r="GK27" s="62"/>
      <c r="GL27" s="62"/>
      <c r="GM27" s="62"/>
      <c r="GN27" s="62"/>
      <c r="GO27" s="62"/>
      <c r="GP27" s="62"/>
      <c r="GQ27" s="62"/>
      <c r="GR27" s="62"/>
      <c r="GS27" s="62"/>
      <c r="GT27" s="62"/>
      <c r="GU27" s="62"/>
    </row>
    <row r="28" spans="1:203" x14ac:dyDescent="0.25">
      <c r="A28" s="8" t="s">
        <v>141</v>
      </c>
      <c r="B28" s="176" t="str">
        <f>DATA!J32</f>
        <v/>
      </c>
      <c r="C28" s="140">
        <f>DATA!K32</f>
        <v>0</v>
      </c>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62"/>
      <c r="BB28" s="62"/>
      <c r="BC28" s="62"/>
      <c r="BD28" s="62"/>
      <c r="BE28" s="62"/>
      <c r="BF28" s="62"/>
      <c r="BG28" s="62"/>
      <c r="BH28" s="62"/>
      <c r="BI28" s="62"/>
      <c r="BJ28" s="62"/>
      <c r="BK28" s="62"/>
      <c r="BL28" s="62"/>
      <c r="BM28" s="62"/>
      <c r="BN28" s="62"/>
      <c r="BO28" s="62"/>
      <c r="BP28" s="62"/>
      <c r="BQ28" s="62"/>
      <c r="BR28" s="62"/>
      <c r="BS28" s="62"/>
      <c r="BT28" s="62"/>
      <c r="BU28" s="62"/>
      <c r="BV28" s="62"/>
      <c r="BW28" s="62"/>
      <c r="BX28" s="62"/>
      <c r="BY28" s="62"/>
      <c r="BZ28" s="62"/>
      <c r="CA28" s="62"/>
      <c r="CB28" s="62"/>
      <c r="CC28" s="62"/>
      <c r="CD28" s="62"/>
      <c r="CE28" s="62"/>
      <c r="CF28" s="62"/>
      <c r="CG28" s="62"/>
      <c r="CH28" s="62"/>
      <c r="CI28" s="62"/>
      <c r="CJ28" s="62"/>
      <c r="CK28" s="62"/>
      <c r="CL28" s="62"/>
      <c r="CM28" s="62"/>
      <c r="CN28" s="62"/>
      <c r="CO28" s="62"/>
      <c r="CP28" s="62"/>
      <c r="CQ28" s="62"/>
      <c r="CR28" s="62"/>
      <c r="CS28" s="62"/>
      <c r="CT28" s="62"/>
      <c r="CU28" s="62"/>
      <c r="CV28" s="62"/>
      <c r="CW28" s="62"/>
      <c r="CX28" s="62"/>
      <c r="CY28" s="62"/>
      <c r="CZ28" s="62"/>
      <c r="DA28" s="62"/>
      <c r="DB28" s="62"/>
      <c r="DC28" s="62"/>
      <c r="DD28" s="62"/>
      <c r="DE28" s="62"/>
      <c r="DF28" s="62"/>
      <c r="DG28" s="62"/>
      <c r="DH28" s="62"/>
      <c r="DI28" s="62"/>
      <c r="DJ28" s="62"/>
      <c r="DK28" s="62"/>
      <c r="DL28" s="62"/>
      <c r="DM28" s="62"/>
      <c r="DN28" s="62"/>
      <c r="DO28" s="62"/>
      <c r="DP28" s="62"/>
      <c r="DQ28" s="62"/>
      <c r="DR28" s="62"/>
      <c r="DS28" s="62"/>
      <c r="DT28" s="62"/>
      <c r="DU28" s="62"/>
      <c r="DV28" s="62"/>
      <c r="DW28" s="62"/>
      <c r="DX28" s="62"/>
      <c r="DY28" s="62"/>
      <c r="DZ28" s="62"/>
      <c r="EA28" s="62"/>
      <c r="EB28" s="62"/>
      <c r="EC28" s="62"/>
      <c r="ED28" s="62"/>
      <c r="EE28" s="62"/>
      <c r="EF28" s="62"/>
      <c r="EG28" s="62"/>
      <c r="EH28" s="62"/>
      <c r="EI28" s="62"/>
      <c r="EJ28" s="62"/>
      <c r="EK28" s="62"/>
      <c r="EL28" s="62"/>
      <c r="EM28" s="62"/>
      <c r="EN28" s="62"/>
      <c r="EO28" s="62"/>
      <c r="EP28" s="62"/>
      <c r="EQ28" s="62"/>
      <c r="ER28" s="62"/>
      <c r="ES28" s="62"/>
      <c r="ET28" s="62"/>
      <c r="EU28" s="62"/>
      <c r="EV28" s="62"/>
      <c r="EW28" s="62"/>
      <c r="EX28" s="62"/>
      <c r="EY28" s="62"/>
      <c r="EZ28" s="62"/>
      <c r="FA28" s="62"/>
      <c r="FB28" s="62"/>
      <c r="FC28" s="62"/>
      <c r="FD28" s="62"/>
      <c r="FE28" s="62"/>
      <c r="FF28" s="62"/>
      <c r="FG28" s="62"/>
      <c r="FH28" s="62"/>
      <c r="FI28" s="62"/>
      <c r="FJ28" s="62"/>
      <c r="FK28" s="62"/>
      <c r="FL28" s="62"/>
      <c r="FM28" s="62"/>
      <c r="FN28" s="62"/>
      <c r="FO28" s="62"/>
      <c r="FP28" s="62"/>
      <c r="FQ28" s="62"/>
      <c r="FR28" s="62"/>
      <c r="FS28" s="62"/>
      <c r="FT28" s="62"/>
      <c r="FU28" s="62"/>
      <c r="FV28" s="62"/>
      <c r="FW28" s="62"/>
      <c r="FX28" s="62"/>
      <c r="FY28" s="62"/>
      <c r="FZ28" s="62"/>
      <c r="GA28" s="62"/>
      <c r="GB28" s="62"/>
      <c r="GC28" s="62"/>
      <c r="GD28" s="62"/>
      <c r="GE28" s="62"/>
      <c r="GF28" s="62"/>
      <c r="GG28" s="62"/>
      <c r="GH28" s="62"/>
      <c r="GI28" s="62"/>
      <c r="GJ28" s="62"/>
      <c r="GK28" s="62"/>
      <c r="GL28" s="62"/>
      <c r="GM28" s="62"/>
      <c r="GN28" s="62"/>
      <c r="GO28" s="62"/>
      <c r="GP28" s="62"/>
      <c r="GQ28" s="62"/>
      <c r="GR28" s="62"/>
      <c r="GS28" s="62"/>
      <c r="GT28" s="62"/>
      <c r="GU28" s="62"/>
    </row>
    <row r="29" spans="1:203" x14ac:dyDescent="0.25">
      <c r="A29" s="8" t="s">
        <v>142</v>
      </c>
      <c r="B29" s="176" t="str">
        <f>DATA!J33</f>
        <v/>
      </c>
      <c r="C29" s="140">
        <f>DATA!K33</f>
        <v>0</v>
      </c>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62"/>
      <c r="AW29" s="62"/>
      <c r="AX29" s="62"/>
      <c r="AY29" s="62"/>
      <c r="AZ29" s="62"/>
      <c r="BA29" s="62"/>
      <c r="BB29" s="62"/>
      <c r="BC29" s="62"/>
      <c r="BD29" s="62"/>
      <c r="BE29" s="62"/>
      <c r="BF29" s="62"/>
      <c r="BG29" s="62"/>
      <c r="BH29" s="62"/>
      <c r="BI29" s="62"/>
      <c r="BJ29" s="62"/>
      <c r="BK29" s="62"/>
      <c r="BL29" s="62"/>
      <c r="BM29" s="62"/>
      <c r="BN29" s="62"/>
      <c r="BO29" s="62"/>
      <c r="BP29" s="62"/>
      <c r="BQ29" s="62"/>
      <c r="BR29" s="62"/>
      <c r="BS29" s="62"/>
      <c r="BT29" s="62"/>
      <c r="BU29" s="62"/>
      <c r="BV29" s="62"/>
      <c r="BW29" s="62"/>
      <c r="BX29" s="62"/>
      <c r="BY29" s="62"/>
      <c r="BZ29" s="62"/>
      <c r="CA29" s="62"/>
      <c r="CB29" s="62"/>
      <c r="CC29" s="62"/>
      <c r="CD29" s="62"/>
      <c r="CE29" s="62"/>
      <c r="CF29" s="62"/>
      <c r="CG29" s="62"/>
      <c r="CH29" s="62"/>
      <c r="CI29" s="62"/>
      <c r="CJ29" s="62"/>
      <c r="CK29" s="62"/>
      <c r="CL29" s="62"/>
      <c r="CM29" s="62"/>
      <c r="CN29" s="62"/>
      <c r="CO29" s="62"/>
      <c r="CP29" s="62"/>
      <c r="CQ29" s="62"/>
      <c r="CR29" s="62"/>
      <c r="CS29" s="62"/>
      <c r="CT29" s="62"/>
      <c r="CU29" s="62"/>
      <c r="CV29" s="62"/>
      <c r="CW29" s="62"/>
      <c r="CX29" s="62"/>
      <c r="CY29" s="62"/>
      <c r="CZ29" s="62"/>
      <c r="DA29" s="62"/>
      <c r="DB29" s="62"/>
      <c r="DC29" s="62"/>
      <c r="DD29" s="62"/>
      <c r="DE29" s="62"/>
      <c r="DF29" s="62"/>
      <c r="DG29" s="62"/>
      <c r="DH29" s="62"/>
      <c r="DI29" s="62"/>
      <c r="DJ29" s="62"/>
      <c r="DK29" s="62"/>
      <c r="DL29" s="62"/>
      <c r="DM29" s="62"/>
      <c r="DN29" s="62"/>
      <c r="DO29" s="62"/>
      <c r="DP29" s="62"/>
      <c r="DQ29" s="62"/>
      <c r="DR29" s="62"/>
      <c r="DS29" s="62"/>
      <c r="DT29" s="62"/>
      <c r="DU29" s="62"/>
      <c r="DV29" s="62"/>
      <c r="DW29" s="62"/>
      <c r="DX29" s="62"/>
      <c r="DY29" s="62"/>
      <c r="DZ29" s="62"/>
      <c r="EA29" s="62"/>
      <c r="EB29" s="62"/>
      <c r="EC29" s="62"/>
      <c r="ED29" s="62"/>
      <c r="EE29" s="62"/>
      <c r="EF29" s="62"/>
      <c r="EG29" s="62"/>
      <c r="EH29" s="62"/>
      <c r="EI29" s="62"/>
      <c r="EJ29" s="62"/>
      <c r="EK29" s="62"/>
      <c r="EL29" s="62"/>
      <c r="EM29" s="62"/>
      <c r="EN29" s="62"/>
      <c r="EO29" s="62"/>
      <c r="EP29" s="62"/>
      <c r="EQ29" s="62"/>
      <c r="ER29" s="62"/>
      <c r="ES29" s="62"/>
      <c r="ET29" s="62"/>
      <c r="EU29" s="62"/>
      <c r="EV29" s="62"/>
      <c r="EW29" s="62"/>
      <c r="EX29" s="62"/>
      <c r="EY29" s="62"/>
      <c r="EZ29" s="62"/>
      <c r="FA29" s="62"/>
      <c r="FB29" s="62"/>
      <c r="FC29" s="62"/>
      <c r="FD29" s="62"/>
      <c r="FE29" s="62"/>
      <c r="FF29" s="62"/>
      <c r="FG29" s="62"/>
      <c r="FH29" s="62"/>
      <c r="FI29" s="62"/>
      <c r="FJ29" s="62"/>
      <c r="FK29" s="62"/>
      <c r="FL29" s="62"/>
      <c r="FM29" s="62"/>
      <c r="FN29" s="62"/>
      <c r="FO29" s="62"/>
      <c r="FP29" s="62"/>
      <c r="FQ29" s="62"/>
      <c r="FR29" s="62"/>
      <c r="FS29" s="62"/>
      <c r="FT29" s="62"/>
      <c r="FU29" s="62"/>
      <c r="FV29" s="62"/>
      <c r="FW29" s="62"/>
      <c r="FX29" s="62"/>
      <c r="FY29" s="62"/>
      <c r="FZ29" s="62"/>
      <c r="GA29" s="62"/>
      <c r="GB29" s="62"/>
      <c r="GC29" s="62"/>
      <c r="GD29" s="62"/>
      <c r="GE29" s="62"/>
      <c r="GF29" s="62"/>
      <c r="GG29" s="62"/>
      <c r="GH29" s="62"/>
      <c r="GI29" s="62"/>
      <c r="GJ29" s="62"/>
      <c r="GK29" s="62"/>
      <c r="GL29" s="62"/>
      <c r="GM29" s="62"/>
      <c r="GN29" s="62"/>
      <c r="GO29" s="62"/>
      <c r="GP29" s="62"/>
      <c r="GQ29" s="62"/>
      <c r="GR29" s="62"/>
      <c r="GS29" s="62"/>
      <c r="GT29" s="62"/>
      <c r="GU29" s="62"/>
    </row>
    <row r="30" spans="1:203" x14ac:dyDescent="0.25">
      <c r="A30" s="8" t="s">
        <v>143</v>
      </c>
      <c r="B30" s="176" t="str">
        <f>DATA!J34</f>
        <v/>
      </c>
      <c r="C30" s="140">
        <f>DATA!K34</f>
        <v>0</v>
      </c>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62"/>
      <c r="AW30" s="62"/>
      <c r="AX30" s="62"/>
      <c r="AY30" s="62"/>
      <c r="AZ30" s="62"/>
      <c r="BA30" s="62"/>
      <c r="BB30" s="62"/>
      <c r="BC30" s="62"/>
      <c r="BD30" s="62"/>
      <c r="BE30" s="62"/>
      <c r="BF30" s="62"/>
      <c r="BG30" s="62"/>
      <c r="BH30" s="62"/>
      <c r="BI30" s="62"/>
      <c r="BJ30" s="62"/>
      <c r="BK30" s="62"/>
      <c r="BL30" s="62"/>
      <c r="BM30" s="62"/>
      <c r="BN30" s="62"/>
      <c r="BO30" s="62"/>
      <c r="BP30" s="62"/>
      <c r="BQ30" s="62"/>
      <c r="BR30" s="62"/>
      <c r="BS30" s="62"/>
      <c r="BT30" s="62"/>
      <c r="BU30" s="62"/>
      <c r="BV30" s="62"/>
      <c r="BW30" s="62"/>
      <c r="BX30" s="62"/>
      <c r="BY30" s="62"/>
      <c r="BZ30" s="62"/>
      <c r="CA30" s="62"/>
      <c r="CB30" s="62"/>
      <c r="CC30" s="62"/>
      <c r="CD30" s="62"/>
      <c r="CE30" s="62"/>
      <c r="CF30" s="62"/>
      <c r="CG30" s="62"/>
      <c r="CH30" s="62"/>
      <c r="CI30" s="62"/>
      <c r="CJ30" s="62"/>
      <c r="CK30" s="62"/>
      <c r="CL30" s="62"/>
      <c r="CM30" s="62"/>
      <c r="CN30" s="62"/>
      <c r="CO30" s="62"/>
      <c r="CP30" s="62"/>
      <c r="CQ30" s="62"/>
      <c r="CR30" s="62"/>
      <c r="CS30" s="62"/>
      <c r="CT30" s="62"/>
      <c r="CU30" s="62"/>
      <c r="CV30" s="62"/>
      <c r="CW30" s="62"/>
      <c r="CX30" s="62"/>
      <c r="CY30" s="62"/>
      <c r="CZ30" s="62"/>
      <c r="DA30" s="62"/>
      <c r="DB30" s="62"/>
      <c r="DC30" s="62"/>
      <c r="DD30" s="62"/>
      <c r="DE30" s="62"/>
      <c r="DF30" s="62"/>
      <c r="DG30" s="62"/>
      <c r="DH30" s="62"/>
      <c r="DI30" s="62"/>
      <c r="DJ30" s="62"/>
      <c r="DK30" s="62"/>
      <c r="DL30" s="62"/>
      <c r="DM30" s="62"/>
      <c r="DN30" s="62"/>
      <c r="DO30" s="62"/>
      <c r="DP30" s="62"/>
      <c r="DQ30" s="62"/>
      <c r="DR30" s="62"/>
      <c r="DS30" s="62"/>
      <c r="DT30" s="62"/>
      <c r="DU30" s="62"/>
      <c r="DV30" s="62"/>
      <c r="DW30" s="62"/>
      <c r="DX30" s="62"/>
      <c r="DY30" s="62"/>
      <c r="DZ30" s="62"/>
      <c r="EA30" s="62"/>
      <c r="EB30" s="62"/>
      <c r="EC30" s="62"/>
      <c r="ED30" s="62"/>
      <c r="EE30" s="62"/>
      <c r="EF30" s="62"/>
      <c r="EG30" s="62"/>
      <c r="EH30" s="62"/>
      <c r="EI30" s="62"/>
      <c r="EJ30" s="62"/>
      <c r="EK30" s="62"/>
      <c r="EL30" s="62"/>
      <c r="EM30" s="62"/>
      <c r="EN30" s="62"/>
      <c r="EO30" s="62"/>
      <c r="EP30" s="62"/>
      <c r="EQ30" s="62"/>
      <c r="ER30" s="62"/>
      <c r="ES30" s="62"/>
      <c r="ET30" s="62"/>
      <c r="EU30" s="62"/>
      <c r="EV30" s="62"/>
      <c r="EW30" s="62"/>
      <c r="EX30" s="62"/>
      <c r="EY30" s="62"/>
      <c r="EZ30" s="62"/>
      <c r="FA30" s="62"/>
      <c r="FB30" s="62"/>
      <c r="FC30" s="62"/>
      <c r="FD30" s="62"/>
      <c r="FE30" s="62"/>
      <c r="FF30" s="62"/>
      <c r="FG30" s="62"/>
      <c r="FH30" s="62"/>
      <c r="FI30" s="62"/>
      <c r="FJ30" s="62"/>
      <c r="FK30" s="62"/>
      <c r="FL30" s="62"/>
      <c r="FM30" s="62"/>
      <c r="FN30" s="62"/>
      <c r="FO30" s="62"/>
      <c r="FP30" s="62"/>
      <c r="FQ30" s="62"/>
      <c r="FR30" s="62"/>
      <c r="FS30" s="62"/>
      <c r="FT30" s="62"/>
      <c r="FU30" s="62"/>
      <c r="FV30" s="62"/>
      <c r="FW30" s="62"/>
      <c r="FX30" s="62"/>
      <c r="FY30" s="62"/>
      <c r="FZ30" s="62"/>
      <c r="GA30" s="62"/>
      <c r="GB30" s="62"/>
      <c r="GC30" s="62"/>
      <c r="GD30" s="62"/>
      <c r="GE30" s="62"/>
      <c r="GF30" s="62"/>
      <c r="GG30" s="62"/>
      <c r="GH30" s="62"/>
      <c r="GI30" s="62"/>
      <c r="GJ30" s="62"/>
      <c r="GK30" s="62"/>
      <c r="GL30" s="62"/>
      <c r="GM30" s="62"/>
      <c r="GN30" s="62"/>
      <c r="GO30" s="62"/>
      <c r="GP30" s="62"/>
      <c r="GQ30" s="62"/>
      <c r="GR30" s="62"/>
      <c r="GS30" s="62"/>
      <c r="GT30" s="62"/>
      <c r="GU30" s="62"/>
    </row>
    <row r="31" spans="1:203" x14ac:dyDescent="0.25">
      <c r="A31" s="8" t="s">
        <v>144</v>
      </c>
      <c r="B31" s="176" t="str">
        <f>DATA!J35</f>
        <v/>
      </c>
      <c r="C31" s="140">
        <f>DATA!K35</f>
        <v>0</v>
      </c>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2"/>
      <c r="AQ31" s="62"/>
      <c r="AR31" s="62"/>
      <c r="AS31" s="62"/>
      <c r="AT31" s="62"/>
      <c r="AU31" s="62"/>
      <c r="AV31" s="62"/>
      <c r="AW31" s="62"/>
      <c r="AX31" s="62"/>
      <c r="AY31" s="62"/>
      <c r="AZ31" s="62"/>
      <c r="BA31" s="62"/>
      <c r="BB31" s="62"/>
      <c r="BC31" s="62"/>
      <c r="BD31" s="62"/>
      <c r="BE31" s="62"/>
      <c r="BF31" s="62"/>
      <c r="BG31" s="62"/>
      <c r="BH31" s="62"/>
      <c r="BI31" s="62"/>
      <c r="BJ31" s="62"/>
      <c r="BK31" s="62"/>
      <c r="BL31" s="62"/>
      <c r="BM31" s="62"/>
      <c r="BN31" s="62"/>
      <c r="BO31" s="62"/>
      <c r="BP31" s="62"/>
      <c r="BQ31" s="62"/>
      <c r="BR31" s="62"/>
      <c r="BS31" s="62"/>
      <c r="BT31" s="62"/>
      <c r="BU31" s="62"/>
      <c r="BV31" s="62"/>
      <c r="BW31" s="62"/>
      <c r="BX31" s="62"/>
      <c r="BY31" s="62"/>
      <c r="BZ31" s="62"/>
      <c r="CA31" s="62"/>
      <c r="CB31" s="62"/>
      <c r="CC31" s="62"/>
      <c r="CD31" s="62"/>
      <c r="CE31" s="62"/>
      <c r="CF31" s="62"/>
      <c r="CG31" s="62"/>
      <c r="CH31" s="62"/>
      <c r="CI31" s="62"/>
      <c r="CJ31" s="62"/>
      <c r="CK31" s="62"/>
      <c r="CL31" s="62"/>
      <c r="CM31" s="62"/>
      <c r="CN31" s="62"/>
      <c r="CO31" s="62"/>
      <c r="CP31" s="62"/>
      <c r="CQ31" s="62"/>
      <c r="CR31" s="62"/>
      <c r="CS31" s="62"/>
      <c r="CT31" s="62"/>
      <c r="CU31" s="62"/>
      <c r="CV31" s="62"/>
      <c r="CW31" s="62"/>
      <c r="CX31" s="62"/>
      <c r="CY31" s="62"/>
      <c r="CZ31" s="62"/>
      <c r="DA31" s="62"/>
      <c r="DB31" s="62"/>
      <c r="DC31" s="62"/>
      <c r="DD31" s="62"/>
      <c r="DE31" s="62"/>
      <c r="DF31" s="62"/>
      <c r="DG31" s="62"/>
      <c r="DH31" s="62"/>
      <c r="DI31" s="62"/>
      <c r="DJ31" s="62"/>
      <c r="DK31" s="62"/>
      <c r="DL31" s="62"/>
      <c r="DM31" s="62"/>
      <c r="DN31" s="62"/>
      <c r="DO31" s="62"/>
      <c r="DP31" s="62"/>
      <c r="DQ31" s="62"/>
      <c r="DR31" s="62"/>
      <c r="DS31" s="62"/>
      <c r="DT31" s="62"/>
      <c r="DU31" s="62"/>
      <c r="DV31" s="62"/>
      <c r="DW31" s="62"/>
      <c r="DX31" s="62"/>
      <c r="DY31" s="62"/>
      <c r="DZ31" s="62"/>
      <c r="EA31" s="62"/>
      <c r="EB31" s="62"/>
      <c r="EC31" s="62"/>
      <c r="ED31" s="62"/>
      <c r="EE31" s="62"/>
      <c r="EF31" s="62"/>
      <c r="EG31" s="62"/>
      <c r="EH31" s="62"/>
      <c r="EI31" s="62"/>
      <c r="EJ31" s="62"/>
      <c r="EK31" s="62"/>
      <c r="EL31" s="62"/>
      <c r="EM31" s="62"/>
      <c r="EN31" s="62"/>
      <c r="EO31" s="62"/>
      <c r="EP31" s="62"/>
      <c r="EQ31" s="62"/>
      <c r="ER31" s="62"/>
      <c r="ES31" s="62"/>
      <c r="ET31" s="62"/>
      <c r="EU31" s="62"/>
      <c r="EV31" s="62"/>
      <c r="EW31" s="62"/>
      <c r="EX31" s="62"/>
      <c r="EY31" s="62"/>
      <c r="EZ31" s="62"/>
      <c r="FA31" s="62"/>
      <c r="FB31" s="62"/>
      <c r="FC31" s="62"/>
      <c r="FD31" s="62"/>
      <c r="FE31" s="62"/>
      <c r="FF31" s="62"/>
      <c r="FG31" s="62"/>
      <c r="FH31" s="62"/>
      <c r="FI31" s="62"/>
      <c r="FJ31" s="62"/>
      <c r="FK31" s="62"/>
      <c r="FL31" s="62"/>
      <c r="FM31" s="62"/>
      <c r="FN31" s="62"/>
      <c r="FO31" s="62"/>
      <c r="FP31" s="62"/>
      <c r="FQ31" s="62"/>
      <c r="FR31" s="62"/>
      <c r="FS31" s="62"/>
      <c r="FT31" s="62"/>
      <c r="FU31" s="62"/>
      <c r="FV31" s="62"/>
      <c r="FW31" s="62"/>
      <c r="FX31" s="62"/>
      <c r="FY31" s="62"/>
      <c r="FZ31" s="62"/>
      <c r="GA31" s="62"/>
      <c r="GB31" s="62"/>
      <c r="GC31" s="62"/>
      <c r="GD31" s="62"/>
      <c r="GE31" s="62"/>
      <c r="GF31" s="62"/>
      <c r="GG31" s="62"/>
      <c r="GH31" s="62"/>
      <c r="GI31" s="62"/>
      <c r="GJ31" s="62"/>
      <c r="GK31" s="62"/>
      <c r="GL31" s="62"/>
      <c r="GM31" s="62"/>
      <c r="GN31" s="62"/>
      <c r="GO31" s="62"/>
      <c r="GP31" s="62"/>
      <c r="GQ31" s="62"/>
      <c r="GR31" s="62"/>
      <c r="GS31" s="62"/>
      <c r="GT31" s="62"/>
      <c r="GU31" s="62"/>
    </row>
    <row r="32" spans="1:203" x14ac:dyDescent="0.25">
      <c r="A32" s="8" t="s">
        <v>145</v>
      </c>
      <c r="B32" s="176" t="str">
        <f>DATA!J36</f>
        <v/>
      </c>
      <c r="C32" s="140">
        <f>DATA!K36</f>
        <v>0</v>
      </c>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c r="BM32" s="62"/>
      <c r="BN32" s="62"/>
      <c r="BO32" s="62"/>
      <c r="BP32" s="62"/>
      <c r="BQ32" s="62"/>
      <c r="BR32" s="62"/>
      <c r="BS32" s="62"/>
      <c r="BT32" s="62"/>
      <c r="BU32" s="62"/>
      <c r="BV32" s="62"/>
      <c r="BW32" s="62"/>
      <c r="BX32" s="62"/>
      <c r="BY32" s="62"/>
      <c r="BZ32" s="62"/>
      <c r="CA32" s="62"/>
      <c r="CB32" s="62"/>
      <c r="CC32" s="62"/>
      <c r="CD32" s="62"/>
      <c r="CE32" s="62"/>
      <c r="CF32" s="62"/>
      <c r="CG32" s="62"/>
      <c r="CH32" s="62"/>
      <c r="CI32" s="62"/>
      <c r="CJ32" s="62"/>
      <c r="CK32" s="62"/>
      <c r="CL32" s="62"/>
      <c r="CM32" s="62"/>
      <c r="CN32" s="62"/>
      <c r="CO32" s="62"/>
      <c r="CP32" s="62"/>
      <c r="CQ32" s="62"/>
      <c r="CR32" s="62"/>
      <c r="CS32" s="62"/>
      <c r="CT32" s="62"/>
      <c r="CU32" s="62"/>
      <c r="CV32" s="62"/>
      <c r="CW32" s="62"/>
      <c r="CX32" s="62"/>
      <c r="CY32" s="62"/>
      <c r="CZ32" s="62"/>
      <c r="DA32" s="62"/>
      <c r="DB32" s="62"/>
      <c r="DC32" s="62"/>
      <c r="DD32" s="62"/>
      <c r="DE32" s="62"/>
      <c r="DF32" s="62"/>
      <c r="DG32" s="62"/>
      <c r="DH32" s="62"/>
      <c r="DI32" s="62"/>
      <c r="DJ32" s="62"/>
      <c r="DK32" s="62"/>
      <c r="DL32" s="62"/>
      <c r="DM32" s="62"/>
      <c r="DN32" s="62"/>
      <c r="DO32" s="62"/>
      <c r="DP32" s="62"/>
      <c r="DQ32" s="62"/>
      <c r="DR32" s="62"/>
      <c r="DS32" s="62"/>
      <c r="DT32" s="62"/>
      <c r="DU32" s="62"/>
      <c r="DV32" s="62"/>
      <c r="DW32" s="62"/>
      <c r="DX32" s="62"/>
      <c r="DY32" s="62"/>
      <c r="DZ32" s="62"/>
      <c r="EA32" s="62"/>
      <c r="EB32" s="62"/>
      <c r="EC32" s="62"/>
      <c r="ED32" s="62"/>
      <c r="EE32" s="62"/>
      <c r="EF32" s="62"/>
      <c r="EG32" s="62"/>
      <c r="EH32" s="62"/>
      <c r="EI32" s="62"/>
      <c r="EJ32" s="62"/>
      <c r="EK32" s="62"/>
      <c r="EL32" s="62"/>
      <c r="EM32" s="62"/>
      <c r="EN32" s="62"/>
      <c r="EO32" s="62"/>
      <c r="EP32" s="62"/>
      <c r="EQ32" s="62"/>
      <c r="ER32" s="62"/>
      <c r="ES32" s="62"/>
      <c r="ET32" s="62"/>
      <c r="EU32" s="62"/>
      <c r="EV32" s="62"/>
      <c r="EW32" s="62"/>
      <c r="EX32" s="62"/>
      <c r="EY32" s="62"/>
      <c r="EZ32" s="62"/>
      <c r="FA32" s="62"/>
      <c r="FB32" s="62"/>
      <c r="FC32" s="62"/>
      <c r="FD32" s="62"/>
      <c r="FE32" s="62"/>
      <c r="FF32" s="62"/>
      <c r="FG32" s="62"/>
      <c r="FH32" s="62"/>
      <c r="FI32" s="62"/>
      <c r="FJ32" s="62"/>
      <c r="FK32" s="62"/>
      <c r="FL32" s="62"/>
      <c r="FM32" s="62"/>
      <c r="FN32" s="62"/>
      <c r="FO32" s="62"/>
      <c r="FP32" s="62"/>
      <c r="FQ32" s="62"/>
      <c r="FR32" s="62"/>
      <c r="FS32" s="62"/>
      <c r="FT32" s="62"/>
      <c r="FU32" s="62"/>
      <c r="FV32" s="62"/>
      <c r="FW32" s="62"/>
      <c r="FX32" s="62"/>
      <c r="FY32" s="62"/>
      <c r="FZ32" s="62"/>
      <c r="GA32" s="62"/>
      <c r="GB32" s="62"/>
      <c r="GC32" s="62"/>
      <c r="GD32" s="62"/>
      <c r="GE32" s="62"/>
      <c r="GF32" s="62"/>
      <c r="GG32" s="62"/>
      <c r="GH32" s="62"/>
      <c r="GI32" s="62"/>
      <c r="GJ32" s="62"/>
      <c r="GK32" s="62"/>
      <c r="GL32" s="62"/>
      <c r="GM32" s="62"/>
      <c r="GN32" s="62"/>
      <c r="GO32" s="62"/>
      <c r="GP32" s="62"/>
      <c r="GQ32" s="62"/>
      <c r="GR32" s="62"/>
      <c r="GS32" s="62"/>
      <c r="GT32" s="62"/>
      <c r="GU32" s="62"/>
    </row>
    <row r="33" spans="1:203" x14ac:dyDescent="0.25">
      <c r="A33" s="8" t="s">
        <v>146</v>
      </c>
      <c r="B33" s="176" t="str">
        <f>DATA!J37</f>
        <v/>
      </c>
      <c r="C33" s="140">
        <f>DATA!K37</f>
        <v>0</v>
      </c>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62"/>
      <c r="BJ33" s="62"/>
      <c r="BK33" s="62"/>
      <c r="BL33" s="62"/>
      <c r="BM33" s="62"/>
      <c r="BN33" s="62"/>
      <c r="BO33" s="62"/>
      <c r="BP33" s="62"/>
      <c r="BQ33" s="62"/>
      <c r="BR33" s="62"/>
      <c r="BS33" s="62"/>
      <c r="BT33" s="62"/>
      <c r="BU33" s="62"/>
      <c r="BV33" s="62"/>
      <c r="BW33" s="62"/>
      <c r="BX33" s="62"/>
      <c r="BY33" s="62"/>
      <c r="BZ33" s="62"/>
      <c r="CA33" s="62"/>
      <c r="CB33" s="62"/>
      <c r="CC33" s="62"/>
      <c r="CD33" s="62"/>
      <c r="CE33" s="62"/>
      <c r="CF33" s="62"/>
      <c r="CG33" s="62"/>
      <c r="CH33" s="62"/>
      <c r="CI33" s="62"/>
      <c r="CJ33" s="62"/>
      <c r="CK33" s="62"/>
      <c r="CL33" s="62"/>
      <c r="CM33" s="62"/>
      <c r="CN33" s="62"/>
      <c r="CO33" s="62"/>
      <c r="CP33" s="62"/>
      <c r="CQ33" s="62"/>
      <c r="CR33" s="62"/>
      <c r="CS33" s="62"/>
      <c r="CT33" s="62"/>
      <c r="CU33" s="62"/>
      <c r="CV33" s="62"/>
      <c r="CW33" s="62"/>
      <c r="CX33" s="62"/>
      <c r="CY33" s="62"/>
      <c r="CZ33" s="62"/>
      <c r="DA33" s="62"/>
      <c r="DB33" s="62"/>
      <c r="DC33" s="62"/>
      <c r="DD33" s="62"/>
      <c r="DE33" s="62"/>
      <c r="DF33" s="62"/>
      <c r="DG33" s="62"/>
      <c r="DH33" s="62"/>
      <c r="DI33" s="62"/>
      <c r="DJ33" s="62"/>
      <c r="DK33" s="62"/>
      <c r="DL33" s="62"/>
      <c r="DM33" s="62"/>
      <c r="DN33" s="62"/>
      <c r="DO33" s="62"/>
      <c r="DP33" s="62"/>
      <c r="DQ33" s="62"/>
      <c r="DR33" s="62"/>
      <c r="DS33" s="62"/>
      <c r="DT33" s="62"/>
      <c r="DU33" s="62"/>
      <c r="DV33" s="62"/>
      <c r="DW33" s="62"/>
      <c r="DX33" s="62"/>
      <c r="DY33" s="62"/>
      <c r="DZ33" s="62"/>
      <c r="EA33" s="62"/>
      <c r="EB33" s="62"/>
      <c r="EC33" s="62"/>
      <c r="ED33" s="62"/>
      <c r="EE33" s="62"/>
      <c r="EF33" s="62"/>
      <c r="EG33" s="62"/>
      <c r="EH33" s="62"/>
      <c r="EI33" s="62"/>
      <c r="EJ33" s="62"/>
      <c r="EK33" s="62"/>
      <c r="EL33" s="62"/>
      <c r="EM33" s="62"/>
      <c r="EN33" s="62"/>
      <c r="EO33" s="62"/>
      <c r="EP33" s="62"/>
      <c r="EQ33" s="62"/>
      <c r="ER33" s="62"/>
      <c r="ES33" s="62"/>
      <c r="ET33" s="62"/>
      <c r="EU33" s="62"/>
      <c r="EV33" s="62"/>
      <c r="EW33" s="62"/>
      <c r="EX33" s="62"/>
      <c r="EY33" s="62"/>
      <c r="EZ33" s="62"/>
      <c r="FA33" s="62"/>
      <c r="FB33" s="62"/>
      <c r="FC33" s="62"/>
      <c r="FD33" s="62"/>
      <c r="FE33" s="62"/>
      <c r="FF33" s="62"/>
      <c r="FG33" s="62"/>
      <c r="FH33" s="62"/>
      <c r="FI33" s="62"/>
      <c r="FJ33" s="62"/>
      <c r="FK33" s="62"/>
      <c r="FL33" s="62"/>
      <c r="FM33" s="62"/>
      <c r="FN33" s="62"/>
      <c r="FO33" s="62"/>
      <c r="FP33" s="62"/>
      <c r="FQ33" s="62"/>
      <c r="FR33" s="62"/>
      <c r="FS33" s="62"/>
      <c r="FT33" s="62"/>
      <c r="FU33" s="62"/>
      <c r="FV33" s="62"/>
      <c r="FW33" s="62"/>
      <c r="FX33" s="62"/>
      <c r="FY33" s="62"/>
      <c r="FZ33" s="62"/>
      <c r="GA33" s="62"/>
      <c r="GB33" s="62"/>
      <c r="GC33" s="62"/>
      <c r="GD33" s="62"/>
      <c r="GE33" s="62"/>
      <c r="GF33" s="62"/>
      <c r="GG33" s="62"/>
      <c r="GH33" s="62"/>
      <c r="GI33" s="62"/>
      <c r="GJ33" s="62"/>
      <c r="GK33" s="62"/>
      <c r="GL33" s="62"/>
      <c r="GM33" s="62"/>
      <c r="GN33" s="62"/>
      <c r="GO33" s="62"/>
      <c r="GP33" s="62"/>
      <c r="GQ33" s="62"/>
      <c r="GR33" s="62"/>
      <c r="GS33" s="62"/>
      <c r="GT33" s="62"/>
      <c r="GU33" s="62"/>
    </row>
    <row r="34" spans="1:203" x14ac:dyDescent="0.25">
      <c r="A34" s="8" t="s">
        <v>147</v>
      </c>
      <c r="B34" s="176" t="str">
        <f>DATA!J38</f>
        <v/>
      </c>
      <c r="C34" s="140">
        <f>DATA!K38</f>
        <v>0</v>
      </c>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M34" s="62"/>
      <c r="CN34" s="62"/>
      <c r="CO34" s="62"/>
      <c r="CP34" s="62"/>
      <c r="CQ34" s="62"/>
      <c r="CR34" s="62"/>
      <c r="CS34" s="62"/>
      <c r="CT34" s="62"/>
      <c r="CU34" s="62"/>
      <c r="CV34" s="62"/>
      <c r="CW34" s="62"/>
      <c r="CX34" s="62"/>
      <c r="CY34" s="62"/>
      <c r="CZ34" s="62"/>
      <c r="DA34" s="62"/>
      <c r="DB34" s="62"/>
      <c r="DC34" s="62"/>
      <c r="DD34" s="62"/>
      <c r="DE34" s="62"/>
      <c r="DF34" s="62"/>
      <c r="DG34" s="62"/>
      <c r="DH34" s="62"/>
      <c r="DI34" s="62"/>
      <c r="DJ34" s="62"/>
      <c r="DK34" s="62"/>
      <c r="DL34" s="62"/>
      <c r="DM34" s="62"/>
      <c r="DN34" s="62"/>
      <c r="DO34" s="62"/>
      <c r="DP34" s="62"/>
      <c r="DQ34" s="62"/>
      <c r="DR34" s="62"/>
      <c r="DS34" s="62"/>
      <c r="DT34" s="62"/>
      <c r="DU34" s="62"/>
      <c r="DV34" s="62"/>
      <c r="DW34" s="62"/>
      <c r="DX34" s="62"/>
      <c r="DY34" s="62"/>
      <c r="DZ34" s="62"/>
      <c r="EA34" s="62"/>
      <c r="EB34" s="62"/>
      <c r="EC34" s="62"/>
      <c r="ED34" s="62"/>
      <c r="EE34" s="62"/>
      <c r="EF34" s="62"/>
      <c r="EG34" s="62"/>
      <c r="EH34" s="62"/>
      <c r="EI34" s="62"/>
      <c r="EJ34" s="62"/>
      <c r="EK34" s="62"/>
      <c r="EL34" s="62"/>
      <c r="EM34" s="62"/>
      <c r="EN34" s="62"/>
      <c r="EO34" s="62"/>
      <c r="EP34" s="62"/>
      <c r="EQ34" s="62"/>
      <c r="ER34" s="62"/>
      <c r="ES34" s="62"/>
      <c r="ET34" s="62"/>
      <c r="EU34" s="62"/>
      <c r="EV34" s="62"/>
      <c r="EW34" s="62"/>
      <c r="EX34" s="62"/>
      <c r="EY34" s="62"/>
      <c r="EZ34" s="62"/>
      <c r="FA34" s="62"/>
      <c r="FB34" s="62"/>
      <c r="FC34" s="62"/>
      <c r="FD34" s="62"/>
      <c r="FE34" s="62"/>
      <c r="FF34" s="62"/>
      <c r="FG34" s="62"/>
      <c r="FH34" s="62"/>
      <c r="FI34" s="62"/>
      <c r="FJ34" s="62"/>
      <c r="FK34" s="62"/>
      <c r="FL34" s="62"/>
      <c r="FM34" s="62"/>
      <c r="FN34" s="62"/>
      <c r="FO34" s="62"/>
      <c r="FP34" s="62"/>
      <c r="FQ34" s="62"/>
      <c r="FR34" s="62"/>
      <c r="FS34" s="62"/>
      <c r="FT34" s="62"/>
      <c r="FU34" s="62"/>
      <c r="FV34" s="62"/>
      <c r="FW34" s="62"/>
      <c r="FX34" s="62"/>
      <c r="FY34" s="62"/>
      <c r="FZ34" s="62"/>
      <c r="GA34" s="62"/>
      <c r="GB34" s="62"/>
      <c r="GC34" s="62"/>
      <c r="GD34" s="62"/>
      <c r="GE34" s="62"/>
      <c r="GF34" s="62"/>
      <c r="GG34" s="62"/>
      <c r="GH34" s="62"/>
      <c r="GI34" s="62"/>
      <c r="GJ34" s="62"/>
      <c r="GK34" s="62"/>
      <c r="GL34" s="62"/>
      <c r="GM34" s="62"/>
      <c r="GN34" s="62"/>
      <c r="GO34" s="62"/>
      <c r="GP34" s="62"/>
      <c r="GQ34" s="62"/>
      <c r="GR34" s="62"/>
      <c r="GS34" s="62"/>
      <c r="GT34" s="62"/>
      <c r="GU34" s="62"/>
    </row>
    <row r="35" spans="1:203" ht="15.75" thickBot="1" x14ac:dyDescent="0.3">
      <c r="A35" s="149" t="s">
        <v>148</v>
      </c>
      <c r="B35" s="177" t="str">
        <f>DATA!J39</f>
        <v/>
      </c>
      <c r="C35" s="141">
        <f>DATA!K39</f>
        <v>0</v>
      </c>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c r="BN35" s="68"/>
      <c r="BO35" s="68"/>
      <c r="BP35" s="68"/>
      <c r="BQ35" s="68"/>
      <c r="BR35" s="68"/>
      <c r="BS35" s="68"/>
      <c r="BT35" s="68"/>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68"/>
      <c r="DA35" s="68"/>
      <c r="DB35" s="68"/>
      <c r="DC35" s="68"/>
      <c r="DD35" s="68"/>
      <c r="DE35" s="68"/>
      <c r="DF35" s="68"/>
      <c r="DG35" s="68"/>
      <c r="DH35" s="68"/>
      <c r="DI35" s="68"/>
      <c r="DJ35" s="68"/>
      <c r="DK35" s="68"/>
      <c r="DL35" s="68"/>
      <c r="DM35" s="68"/>
      <c r="DN35" s="68"/>
      <c r="DO35" s="68"/>
      <c r="DP35" s="68"/>
      <c r="DQ35" s="68"/>
      <c r="DR35" s="68"/>
      <c r="DS35" s="68"/>
      <c r="DT35" s="68"/>
      <c r="DU35" s="68"/>
      <c r="DV35" s="68"/>
      <c r="DW35" s="68"/>
      <c r="DX35" s="68"/>
      <c r="DY35" s="68"/>
      <c r="DZ35" s="68"/>
      <c r="EA35" s="68"/>
      <c r="EB35" s="68"/>
      <c r="EC35" s="68"/>
      <c r="ED35" s="68"/>
      <c r="EE35" s="68"/>
      <c r="EF35" s="68"/>
      <c r="EG35" s="68"/>
      <c r="EH35" s="68"/>
      <c r="EI35" s="68"/>
      <c r="EJ35" s="68"/>
      <c r="EK35" s="68"/>
      <c r="EL35" s="68"/>
      <c r="EM35" s="68"/>
      <c r="EN35" s="68"/>
      <c r="EO35" s="68"/>
      <c r="EP35" s="68"/>
      <c r="EQ35" s="68"/>
      <c r="ER35" s="68"/>
      <c r="ES35" s="68"/>
      <c r="ET35" s="68"/>
      <c r="EU35" s="68"/>
      <c r="EV35" s="68"/>
      <c r="EW35" s="68"/>
      <c r="EX35" s="68"/>
      <c r="EY35" s="68"/>
      <c r="EZ35" s="68"/>
      <c r="FA35" s="68"/>
      <c r="FB35" s="68"/>
      <c r="FC35" s="68"/>
      <c r="FD35" s="68"/>
      <c r="FE35" s="68"/>
      <c r="FF35" s="68"/>
      <c r="FG35" s="68"/>
      <c r="FH35" s="68"/>
      <c r="FI35" s="68"/>
      <c r="FJ35" s="68"/>
      <c r="FK35" s="68"/>
      <c r="FL35" s="68"/>
      <c r="FM35" s="68"/>
      <c r="FN35" s="68"/>
      <c r="FO35" s="68"/>
      <c r="FP35" s="68"/>
      <c r="FQ35" s="68"/>
      <c r="FR35" s="68"/>
      <c r="FS35" s="68"/>
      <c r="FT35" s="68"/>
      <c r="FU35" s="68"/>
      <c r="FV35" s="68"/>
      <c r="FW35" s="68"/>
      <c r="FX35" s="68"/>
      <c r="FY35" s="68"/>
      <c r="FZ35" s="68"/>
      <c r="GA35" s="68"/>
      <c r="GB35" s="68"/>
      <c r="GC35" s="68"/>
      <c r="GD35" s="68"/>
      <c r="GE35" s="68"/>
      <c r="GF35" s="68"/>
      <c r="GG35" s="68"/>
      <c r="GH35" s="68"/>
      <c r="GI35" s="68"/>
      <c r="GJ35" s="68"/>
      <c r="GK35" s="68"/>
      <c r="GL35" s="68"/>
      <c r="GM35" s="68"/>
      <c r="GN35" s="68"/>
      <c r="GO35" s="68"/>
      <c r="GP35" s="68"/>
      <c r="GQ35" s="68"/>
      <c r="GR35" s="68"/>
      <c r="GS35" s="68"/>
      <c r="GT35" s="68"/>
      <c r="GU35" s="68"/>
    </row>
    <row r="36" spans="1:203" s="150" customFormat="1" x14ac:dyDescent="0.25">
      <c r="A36" s="98" t="s">
        <v>254</v>
      </c>
      <c r="B36" s="178" t="str">
        <f>DATA!J40</f>
        <v/>
      </c>
      <c r="C36" s="142">
        <f>DATA!K40</f>
        <v>0</v>
      </c>
      <c r="D36" s="63"/>
      <c r="E36" s="63"/>
      <c r="F36" s="63"/>
      <c r="G36" s="63"/>
      <c r="H36" s="63"/>
      <c r="I36" s="63"/>
      <c r="J36" s="63"/>
      <c r="K36" s="63"/>
      <c r="L36" s="63"/>
      <c r="M36" s="63"/>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3"/>
      <c r="CC36" s="63"/>
      <c r="CD36" s="63"/>
      <c r="CE36" s="63"/>
      <c r="CF36" s="63"/>
      <c r="CG36" s="63"/>
      <c r="CH36" s="63"/>
      <c r="CI36" s="63"/>
      <c r="CJ36" s="63"/>
      <c r="CK36" s="63"/>
      <c r="CL36" s="63"/>
      <c r="CM36" s="63"/>
      <c r="CN36" s="63"/>
      <c r="CO36" s="63"/>
      <c r="CP36" s="63"/>
      <c r="CQ36" s="63"/>
      <c r="CR36" s="63"/>
      <c r="CS36" s="63"/>
      <c r="CT36" s="63"/>
      <c r="CU36" s="63"/>
      <c r="CV36" s="63"/>
      <c r="CW36" s="63"/>
      <c r="CX36" s="63"/>
      <c r="CY36" s="63"/>
      <c r="CZ36" s="63"/>
      <c r="DA36" s="63"/>
      <c r="DB36" s="63"/>
      <c r="DC36" s="63"/>
      <c r="DD36" s="63"/>
      <c r="DE36" s="63"/>
      <c r="DF36" s="63"/>
      <c r="DG36" s="63"/>
      <c r="DH36" s="63"/>
      <c r="DI36" s="63"/>
      <c r="DJ36" s="63"/>
      <c r="DK36" s="63"/>
      <c r="DL36" s="63"/>
      <c r="DM36" s="63"/>
      <c r="DN36" s="63"/>
      <c r="DO36" s="63"/>
      <c r="DP36" s="63"/>
      <c r="DQ36" s="63"/>
      <c r="DR36" s="63"/>
      <c r="DS36" s="63"/>
      <c r="DT36" s="63"/>
      <c r="DU36" s="63"/>
      <c r="DV36" s="63"/>
      <c r="DW36" s="63"/>
      <c r="DX36" s="63"/>
      <c r="DY36" s="63"/>
      <c r="DZ36" s="63"/>
      <c r="EA36" s="63"/>
      <c r="EB36" s="63"/>
      <c r="EC36" s="63"/>
      <c r="ED36" s="63"/>
      <c r="EE36" s="63"/>
      <c r="EF36" s="63"/>
      <c r="EG36" s="63"/>
      <c r="EH36" s="63"/>
      <c r="EI36" s="63"/>
      <c r="EJ36" s="63"/>
      <c r="EK36" s="63"/>
      <c r="EL36" s="63"/>
      <c r="EM36" s="63"/>
      <c r="EN36" s="63"/>
      <c r="EO36" s="63"/>
      <c r="EP36" s="63"/>
      <c r="EQ36" s="63"/>
      <c r="ER36" s="63"/>
      <c r="ES36" s="63"/>
      <c r="ET36" s="63"/>
      <c r="EU36" s="63"/>
      <c r="EV36" s="63"/>
      <c r="EW36" s="63"/>
      <c r="EX36" s="63"/>
      <c r="EY36" s="63"/>
      <c r="EZ36" s="63"/>
      <c r="FA36" s="63"/>
      <c r="FB36" s="63"/>
      <c r="FC36" s="63"/>
      <c r="FD36" s="63"/>
      <c r="FE36" s="63"/>
      <c r="FF36" s="63"/>
      <c r="FG36" s="63"/>
      <c r="FH36" s="63"/>
      <c r="FI36" s="63"/>
      <c r="FJ36" s="63"/>
      <c r="FK36" s="63"/>
      <c r="FL36" s="63"/>
      <c r="FM36" s="63"/>
      <c r="FN36" s="63"/>
      <c r="FO36" s="63"/>
      <c r="FP36" s="63"/>
      <c r="FQ36" s="63"/>
      <c r="FR36" s="63"/>
      <c r="FS36" s="63"/>
      <c r="FT36" s="63"/>
      <c r="FU36" s="63"/>
      <c r="FV36" s="63"/>
      <c r="FW36" s="63"/>
      <c r="FX36" s="63"/>
      <c r="FY36" s="63"/>
      <c r="FZ36" s="63"/>
      <c r="GA36" s="63"/>
      <c r="GB36" s="63"/>
      <c r="GC36" s="63"/>
      <c r="GD36" s="63"/>
      <c r="GE36" s="63"/>
      <c r="GF36" s="63"/>
      <c r="GG36" s="63"/>
      <c r="GH36" s="63"/>
      <c r="GI36" s="63"/>
      <c r="GJ36" s="63"/>
      <c r="GK36" s="63"/>
      <c r="GL36" s="63"/>
      <c r="GM36" s="63"/>
      <c r="GN36" s="63"/>
      <c r="GO36" s="63"/>
      <c r="GP36" s="63"/>
      <c r="GQ36" s="63"/>
      <c r="GR36" s="63"/>
      <c r="GS36" s="63"/>
      <c r="GT36" s="63"/>
      <c r="GU36" s="63"/>
    </row>
    <row r="37" spans="1:203" s="151" customFormat="1" x14ac:dyDescent="0.25">
      <c r="A37" s="8" t="s">
        <v>255</v>
      </c>
      <c r="B37" s="176" t="str">
        <f>DATA!J41</f>
        <v/>
      </c>
      <c r="C37" s="140">
        <f>DATA!K41</f>
        <v>0</v>
      </c>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2"/>
      <c r="BL37" s="62"/>
      <c r="BM37" s="62"/>
      <c r="BN37" s="62"/>
      <c r="BO37" s="62"/>
      <c r="BP37" s="62"/>
      <c r="BQ37" s="62"/>
      <c r="BR37" s="62"/>
      <c r="BS37" s="62"/>
      <c r="BT37" s="62"/>
      <c r="BU37" s="62"/>
      <c r="BV37" s="62"/>
      <c r="BW37" s="62"/>
      <c r="BX37" s="62"/>
      <c r="BY37" s="62"/>
      <c r="BZ37" s="62"/>
      <c r="CA37" s="62"/>
      <c r="CB37" s="62"/>
      <c r="CC37" s="62"/>
      <c r="CD37" s="62"/>
      <c r="CE37" s="62"/>
      <c r="CF37" s="62"/>
      <c r="CG37" s="62"/>
      <c r="CH37" s="62"/>
      <c r="CI37" s="62"/>
      <c r="CJ37" s="62"/>
      <c r="CK37" s="62"/>
      <c r="CL37" s="62"/>
      <c r="CM37" s="62"/>
      <c r="CN37" s="62"/>
      <c r="CO37" s="62"/>
      <c r="CP37" s="62"/>
      <c r="CQ37" s="62"/>
      <c r="CR37" s="62"/>
      <c r="CS37" s="62"/>
      <c r="CT37" s="62"/>
      <c r="CU37" s="62"/>
      <c r="CV37" s="62"/>
      <c r="CW37" s="62"/>
      <c r="CX37" s="62"/>
      <c r="CY37" s="62"/>
      <c r="CZ37" s="62"/>
      <c r="DA37" s="62"/>
      <c r="DB37" s="62"/>
      <c r="DC37" s="62"/>
      <c r="DD37" s="62"/>
      <c r="DE37" s="62"/>
      <c r="DF37" s="62"/>
      <c r="DG37" s="62"/>
      <c r="DH37" s="62"/>
      <c r="DI37" s="62"/>
      <c r="DJ37" s="62"/>
      <c r="DK37" s="62"/>
      <c r="DL37" s="62"/>
      <c r="DM37" s="62"/>
      <c r="DN37" s="62"/>
      <c r="DO37" s="62"/>
      <c r="DP37" s="62"/>
      <c r="DQ37" s="62"/>
      <c r="DR37" s="62"/>
      <c r="DS37" s="62"/>
      <c r="DT37" s="62"/>
      <c r="DU37" s="62"/>
      <c r="DV37" s="62"/>
      <c r="DW37" s="62"/>
      <c r="DX37" s="62"/>
      <c r="DY37" s="62"/>
      <c r="DZ37" s="62"/>
      <c r="EA37" s="62"/>
      <c r="EB37" s="62"/>
      <c r="EC37" s="62"/>
      <c r="ED37" s="62"/>
      <c r="EE37" s="62"/>
      <c r="EF37" s="62"/>
      <c r="EG37" s="62"/>
      <c r="EH37" s="62"/>
      <c r="EI37" s="62"/>
      <c r="EJ37" s="62"/>
      <c r="EK37" s="62"/>
      <c r="EL37" s="62"/>
      <c r="EM37" s="62"/>
      <c r="EN37" s="62"/>
      <c r="EO37" s="62"/>
      <c r="EP37" s="62"/>
      <c r="EQ37" s="62"/>
      <c r="ER37" s="62"/>
      <c r="ES37" s="62"/>
      <c r="ET37" s="62"/>
      <c r="EU37" s="62"/>
      <c r="EV37" s="62"/>
      <c r="EW37" s="62"/>
      <c r="EX37" s="62"/>
      <c r="EY37" s="62"/>
      <c r="EZ37" s="62"/>
      <c r="FA37" s="62"/>
      <c r="FB37" s="62"/>
      <c r="FC37" s="62"/>
      <c r="FD37" s="62"/>
      <c r="FE37" s="62"/>
      <c r="FF37" s="62"/>
      <c r="FG37" s="62"/>
      <c r="FH37" s="62"/>
      <c r="FI37" s="62"/>
      <c r="FJ37" s="62"/>
      <c r="FK37" s="62"/>
      <c r="FL37" s="62"/>
      <c r="FM37" s="62"/>
      <c r="FN37" s="62"/>
      <c r="FO37" s="62"/>
      <c r="FP37" s="62"/>
      <c r="FQ37" s="62"/>
      <c r="FR37" s="62"/>
      <c r="FS37" s="62"/>
      <c r="FT37" s="62"/>
      <c r="FU37" s="62"/>
      <c r="FV37" s="62"/>
      <c r="FW37" s="62"/>
      <c r="FX37" s="62"/>
      <c r="FY37" s="62"/>
      <c r="FZ37" s="62"/>
      <c r="GA37" s="62"/>
      <c r="GB37" s="62"/>
      <c r="GC37" s="62"/>
      <c r="GD37" s="62"/>
      <c r="GE37" s="62"/>
      <c r="GF37" s="62"/>
      <c r="GG37" s="62"/>
      <c r="GH37" s="62"/>
      <c r="GI37" s="62"/>
      <c r="GJ37" s="62"/>
      <c r="GK37" s="62"/>
      <c r="GL37" s="62"/>
      <c r="GM37" s="62"/>
      <c r="GN37" s="62"/>
      <c r="GO37" s="62"/>
      <c r="GP37" s="62"/>
      <c r="GQ37" s="62"/>
      <c r="GR37" s="62"/>
      <c r="GS37" s="62"/>
      <c r="GT37" s="62"/>
      <c r="GU37" s="62"/>
    </row>
    <row r="38" spans="1:203" s="152" customFormat="1" ht="15.75" thickBot="1" x14ac:dyDescent="0.3">
      <c r="A38" s="99" t="s">
        <v>54</v>
      </c>
      <c r="B38" s="177" t="str">
        <f>DATA!J42</f>
        <v/>
      </c>
      <c r="C38" s="141">
        <f>DATA!K42</f>
        <v>0</v>
      </c>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c r="AM38" s="100"/>
      <c r="AN38" s="100"/>
      <c r="AO38" s="100"/>
      <c r="AP38" s="100"/>
      <c r="AQ38" s="100"/>
      <c r="AR38" s="100"/>
      <c r="AS38" s="100"/>
      <c r="AT38" s="100"/>
      <c r="AU38" s="100"/>
      <c r="AV38" s="100"/>
      <c r="AW38" s="100"/>
      <c r="AX38" s="100"/>
      <c r="AY38" s="100"/>
      <c r="AZ38" s="100"/>
      <c r="BA38" s="100"/>
      <c r="BB38" s="100"/>
      <c r="BC38" s="100"/>
      <c r="BD38" s="100"/>
      <c r="BE38" s="100"/>
      <c r="BF38" s="100"/>
      <c r="BG38" s="100"/>
      <c r="BH38" s="100"/>
      <c r="BI38" s="100"/>
      <c r="BJ38" s="100"/>
      <c r="BK38" s="100"/>
      <c r="BL38" s="100"/>
      <c r="BM38" s="100"/>
      <c r="BN38" s="100"/>
      <c r="BO38" s="100"/>
      <c r="BP38" s="100"/>
      <c r="BQ38" s="100"/>
      <c r="BR38" s="100"/>
      <c r="BS38" s="100"/>
      <c r="BT38" s="100"/>
      <c r="BU38" s="100"/>
      <c r="BV38" s="100"/>
      <c r="BW38" s="100"/>
      <c r="BX38" s="100"/>
      <c r="BY38" s="100"/>
      <c r="BZ38" s="100"/>
      <c r="CA38" s="100"/>
      <c r="CB38" s="100"/>
      <c r="CC38" s="100"/>
      <c r="CD38" s="100"/>
      <c r="CE38" s="100"/>
      <c r="CF38" s="100"/>
      <c r="CG38" s="100"/>
      <c r="CH38" s="100"/>
      <c r="CI38" s="100"/>
      <c r="CJ38" s="100"/>
      <c r="CK38" s="100"/>
      <c r="CL38" s="100"/>
      <c r="CM38" s="100"/>
      <c r="CN38" s="100"/>
      <c r="CO38" s="100"/>
      <c r="CP38" s="100"/>
      <c r="CQ38" s="100"/>
      <c r="CR38" s="100"/>
      <c r="CS38" s="100"/>
      <c r="CT38" s="100"/>
      <c r="CU38" s="100"/>
      <c r="CV38" s="100"/>
      <c r="CW38" s="100"/>
      <c r="CX38" s="100"/>
      <c r="CY38" s="100"/>
      <c r="CZ38" s="100"/>
      <c r="DA38" s="100"/>
      <c r="DB38" s="100"/>
      <c r="DC38" s="100"/>
      <c r="DD38" s="100"/>
      <c r="DE38" s="100"/>
      <c r="DF38" s="100"/>
      <c r="DG38" s="100"/>
      <c r="DH38" s="100"/>
      <c r="DI38" s="100"/>
      <c r="DJ38" s="100"/>
      <c r="DK38" s="100"/>
      <c r="DL38" s="100"/>
      <c r="DM38" s="100"/>
      <c r="DN38" s="100"/>
      <c r="DO38" s="100"/>
      <c r="DP38" s="100"/>
      <c r="DQ38" s="100"/>
      <c r="DR38" s="100"/>
      <c r="DS38" s="100"/>
      <c r="DT38" s="100"/>
      <c r="DU38" s="100"/>
      <c r="DV38" s="100"/>
      <c r="DW38" s="100"/>
      <c r="DX38" s="100"/>
      <c r="DY38" s="100"/>
      <c r="DZ38" s="100"/>
      <c r="EA38" s="100"/>
      <c r="EB38" s="100"/>
      <c r="EC38" s="100"/>
      <c r="ED38" s="100"/>
      <c r="EE38" s="100"/>
      <c r="EF38" s="100"/>
      <c r="EG38" s="100"/>
      <c r="EH38" s="100"/>
      <c r="EI38" s="100"/>
      <c r="EJ38" s="100"/>
      <c r="EK38" s="100"/>
      <c r="EL38" s="100"/>
      <c r="EM38" s="100"/>
      <c r="EN38" s="100"/>
      <c r="EO38" s="100"/>
      <c r="EP38" s="100"/>
      <c r="EQ38" s="100"/>
      <c r="ER38" s="100"/>
      <c r="ES38" s="100"/>
      <c r="ET38" s="100"/>
      <c r="EU38" s="100"/>
      <c r="EV38" s="100"/>
      <c r="EW38" s="100"/>
      <c r="EX38" s="100"/>
      <c r="EY38" s="100"/>
      <c r="EZ38" s="100"/>
      <c r="FA38" s="100"/>
      <c r="FB38" s="100"/>
      <c r="FC38" s="100"/>
      <c r="FD38" s="100"/>
      <c r="FE38" s="100"/>
      <c r="FF38" s="100"/>
      <c r="FG38" s="100"/>
      <c r="FH38" s="100"/>
      <c r="FI38" s="100"/>
      <c r="FJ38" s="100"/>
      <c r="FK38" s="100"/>
      <c r="FL38" s="100"/>
      <c r="FM38" s="100"/>
      <c r="FN38" s="100"/>
      <c r="FO38" s="100"/>
      <c r="FP38" s="100"/>
      <c r="FQ38" s="100"/>
      <c r="FR38" s="100"/>
      <c r="FS38" s="100"/>
      <c r="FT38" s="100"/>
      <c r="FU38" s="100"/>
      <c r="FV38" s="100"/>
      <c r="FW38" s="100"/>
      <c r="FX38" s="100"/>
      <c r="FY38" s="100"/>
      <c r="FZ38" s="100"/>
      <c r="GA38" s="100"/>
      <c r="GB38" s="100"/>
      <c r="GC38" s="100"/>
      <c r="GD38" s="100"/>
      <c r="GE38" s="100"/>
      <c r="GF38" s="100"/>
      <c r="GG38" s="100"/>
      <c r="GH38" s="100"/>
      <c r="GI38" s="100"/>
      <c r="GJ38" s="100"/>
      <c r="GK38" s="100"/>
      <c r="GL38" s="100"/>
      <c r="GM38" s="100"/>
      <c r="GN38" s="100"/>
      <c r="GO38" s="100"/>
      <c r="GP38" s="100"/>
      <c r="GQ38" s="100"/>
      <c r="GR38" s="100"/>
      <c r="GS38" s="100"/>
      <c r="GT38" s="100"/>
      <c r="GU38" s="100"/>
    </row>
    <row r="39" spans="1:203" x14ac:dyDescent="0.25">
      <c r="A39" s="8" t="s">
        <v>42</v>
      </c>
      <c r="B39" s="178" t="str">
        <f>DATA!J43</f>
        <v/>
      </c>
      <c r="C39" s="142">
        <f>DATA!K43</f>
        <v>0</v>
      </c>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2"/>
      <c r="BL39" s="62"/>
      <c r="BM39" s="62"/>
      <c r="BN39" s="62"/>
      <c r="BO39" s="62"/>
      <c r="BP39" s="62"/>
      <c r="BQ39" s="62"/>
      <c r="BR39" s="62"/>
      <c r="BS39" s="62"/>
      <c r="BT39" s="62"/>
      <c r="BU39" s="62"/>
      <c r="BV39" s="62"/>
      <c r="BW39" s="62"/>
      <c r="BX39" s="62"/>
      <c r="BY39" s="62"/>
      <c r="BZ39" s="62"/>
      <c r="CA39" s="62"/>
      <c r="CB39" s="62"/>
      <c r="CC39" s="62"/>
      <c r="CD39" s="62"/>
      <c r="CE39" s="62"/>
      <c r="CF39" s="62"/>
      <c r="CG39" s="62"/>
      <c r="CH39" s="62"/>
      <c r="CI39" s="62"/>
      <c r="CJ39" s="62"/>
      <c r="CK39" s="62"/>
      <c r="CL39" s="62"/>
      <c r="CM39" s="62"/>
      <c r="CN39" s="62"/>
      <c r="CO39" s="62"/>
      <c r="CP39" s="62"/>
      <c r="CQ39" s="62"/>
      <c r="CR39" s="62"/>
      <c r="CS39" s="62"/>
      <c r="CT39" s="62"/>
      <c r="CU39" s="62"/>
      <c r="CV39" s="62"/>
      <c r="CW39" s="62"/>
      <c r="CX39" s="62"/>
      <c r="CY39" s="62"/>
      <c r="CZ39" s="62"/>
      <c r="DA39" s="62"/>
      <c r="DB39" s="62"/>
      <c r="DC39" s="62"/>
      <c r="DD39" s="62"/>
      <c r="DE39" s="62"/>
      <c r="DF39" s="62"/>
      <c r="DG39" s="62"/>
      <c r="DH39" s="62"/>
      <c r="DI39" s="62"/>
      <c r="DJ39" s="62"/>
      <c r="DK39" s="62"/>
      <c r="DL39" s="62"/>
      <c r="DM39" s="62"/>
      <c r="DN39" s="62"/>
      <c r="DO39" s="62"/>
      <c r="DP39" s="62"/>
      <c r="DQ39" s="62"/>
      <c r="DR39" s="62"/>
      <c r="DS39" s="62"/>
      <c r="DT39" s="62"/>
      <c r="DU39" s="62"/>
      <c r="DV39" s="62"/>
      <c r="DW39" s="62"/>
      <c r="DX39" s="62"/>
      <c r="DY39" s="62"/>
      <c r="DZ39" s="62"/>
      <c r="EA39" s="62"/>
      <c r="EB39" s="62"/>
      <c r="EC39" s="62"/>
      <c r="ED39" s="62"/>
      <c r="EE39" s="62"/>
      <c r="EF39" s="62"/>
      <c r="EG39" s="62"/>
      <c r="EH39" s="62"/>
      <c r="EI39" s="62"/>
      <c r="EJ39" s="62"/>
      <c r="EK39" s="62"/>
      <c r="EL39" s="62"/>
      <c r="EM39" s="62"/>
      <c r="EN39" s="62"/>
      <c r="EO39" s="62"/>
      <c r="EP39" s="62"/>
      <c r="EQ39" s="62"/>
      <c r="ER39" s="62"/>
      <c r="ES39" s="62"/>
      <c r="ET39" s="62"/>
      <c r="EU39" s="62"/>
      <c r="EV39" s="62"/>
      <c r="EW39" s="62"/>
      <c r="EX39" s="62"/>
      <c r="EY39" s="62"/>
      <c r="EZ39" s="62"/>
      <c r="FA39" s="62"/>
      <c r="FB39" s="62"/>
      <c r="FC39" s="62"/>
      <c r="FD39" s="62"/>
      <c r="FE39" s="62"/>
      <c r="FF39" s="62"/>
      <c r="FG39" s="62"/>
      <c r="FH39" s="62"/>
      <c r="FI39" s="62"/>
      <c r="FJ39" s="62"/>
      <c r="FK39" s="62"/>
      <c r="FL39" s="62"/>
      <c r="FM39" s="62"/>
      <c r="FN39" s="62"/>
      <c r="FO39" s="62"/>
      <c r="FP39" s="62"/>
      <c r="FQ39" s="62"/>
      <c r="FR39" s="62"/>
      <c r="FS39" s="62"/>
      <c r="FT39" s="62"/>
      <c r="FU39" s="62"/>
      <c r="FV39" s="62"/>
      <c r="FW39" s="62"/>
      <c r="FX39" s="62"/>
      <c r="FY39" s="62"/>
      <c r="FZ39" s="62"/>
      <c r="GA39" s="62"/>
      <c r="GB39" s="62"/>
      <c r="GC39" s="62"/>
      <c r="GD39" s="62"/>
      <c r="GE39" s="62"/>
      <c r="GF39" s="62"/>
      <c r="GG39" s="62"/>
      <c r="GH39" s="62"/>
      <c r="GI39" s="62"/>
      <c r="GJ39" s="62"/>
      <c r="GK39" s="62"/>
      <c r="GL39" s="62"/>
      <c r="GM39" s="62"/>
      <c r="GN39" s="62"/>
      <c r="GO39" s="62"/>
      <c r="GP39" s="62"/>
      <c r="GQ39" s="62"/>
      <c r="GR39" s="62"/>
      <c r="GS39" s="62"/>
      <c r="GT39" s="62"/>
      <c r="GU39" s="62"/>
    </row>
    <row r="40" spans="1:203" x14ac:dyDescent="0.25">
      <c r="A40" s="8" t="s">
        <v>43</v>
      </c>
      <c r="B40" s="176" t="str">
        <f>DATA!J44</f>
        <v/>
      </c>
      <c r="C40" s="140">
        <f>DATA!K44</f>
        <v>0</v>
      </c>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c r="BW40" s="62"/>
      <c r="BX40" s="62"/>
      <c r="BY40" s="62"/>
      <c r="BZ40" s="62"/>
      <c r="CA40" s="62"/>
      <c r="CB40" s="62"/>
      <c r="CC40" s="62"/>
      <c r="CD40" s="62"/>
      <c r="CE40" s="62"/>
      <c r="CF40" s="62"/>
      <c r="CG40" s="62"/>
      <c r="CH40" s="62"/>
      <c r="CI40" s="62"/>
      <c r="CJ40" s="62"/>
      <c r="CK40" s="62"/>
      <c r="CL40" s="62"/>
      <c r="CM40" s="62"/>
      <c r="CN40" s="62"/>
      <c r="CO40" s="62"/>
      <c r="CP40" s="62"/>
      <c r="CQ40" s="62"/>
      <c r="CR40" s="62"/>
      <c r="CS40" s="62"/>
      <c r="CT40" s="62"/>
      <c r="CU40" s="62"/>
      <c r="CV40" s="62"/>
      <c r="CW40" s="62"/>
      <c r="CX40" s="62"/>
      <c r="CY40" s="62"/>
      <c r="CZ40" s="62"/>
      <c r="DA40" s="62"/>
      <c r="DB40" s="62"/>
      <c r="DC40" s="62"/>
      <c r="DD40" s="62"/>
      <c r="DE40" s="62"/>
      <c r="DF40" s="62"/>
      <c r="DG40" s="62"/>
      <c r="DH40" s="62"/>
      <c r="DI40" s="62"/>
      <c r="DJ40" s="62"/>
      <c r="DK40" s="62"/>
      <c r="DL40" s="62"/>
      <c r="DM40" s="62"/>
      <c r="DN40" s="62"/>
      <c r="DO40" s="62"/>
      <c r="DP40" s="62"/>
      <c r="DQ40" s="62"/>
      <c r="DR40" s="62"/>
      <c r="DS40" s="62"/>
      <c r="DT40" s="62"/>
      <c r="DU40" s="62"/>
      <c r="DV40" s="62"/>
      <c r="DW40" s="62"/>
      <c r="DX40" s="62"/>
      <c r="DY40" s="62"/>
      <c r="DZ40" s="62"/>
      <c r="EA40" s="62"/>
      <c r="EB40" s="62"/>
      <c r="EC40" s="62"/>
      <c r="ED40" s="62"/>
      <c r="EE40" s="62"/>
      <c r="EF40" s="62"/>
      <c r="EG40" s="62"/>
      <c r="EH40" s="62"/>
      <c r="EI40" s="62"/>
      <c r="EJ40" s="62"/>
      <c r="EK40" s="62"/>
      <c r="EL40" s="62"/>
      <c r="EM40" s="62"/>
      <c r="EN40" s="62"/>
      <c r="EO40" s="62"/>
      <c r="EP40" s="62"/>
      <c r="EQ40" s="62"/>
      <c r="ER40" s="62"/>
      <c r="ES40" s="62"/>
      <c r="ET40" s="62"/>
      <c r="EU40" s="62"/>
      <c r="EV40" s="62"/>
      <c r="EW40" s="62"/>
      <c r="EX40" s="62"/>
      <c r="EY40" s="62"/>
      <c r="EZ40" s="62"/>
      <c r="FA40" s="62"/>
      <c r="FB40" s="62"/>
      <c r="FC40" s="62"/>
      <c r="FD40" s="62"/>
      <c r="FE40" s="62"/>
      <c r="FF40" s="62"/>
      <c r="FG40" s="62"/>
      <c r="FH40" s="62"/>
      <c r="FI40" s="62"/>
      <c r="FJ40" s="62"/>
      <c r="FK40" s="62"/>
      <c r="FL40" s="62"/>
      <c r="FM40" s="62"/>
      <c r="FN40" s="62"/>
      <c r="FO40" s="62"/>
      <c r="FP40" s="62"/>
      <c r="FQ40" s="62"/>
      <c r="FR40" s="62"/>
      <c r="FS40" s="62"/>
      <c r="FT40" s="62"/>
      <c r="FU40" s="62"/>
      <c r="FV40" s="62"/>
      <c r="FW40" s="62"/>
      <c r="FX40" s="62"/>
      <c r="FY40" s="62"/>
      <c r="FZ40" s="62"/>
      <c r="GA40" s="62"/>
      <c r="GB40" s="62"/>
      <c r="GC40" s="62"/>
      <c r="GD40" s="62"/>
      <c r="GE40" s="62"/>
      <c r="GF40" s="62"/>
      <c r="GG40" s="62"/>
      <c r="GH40" s="62"/>
      <c r="GI40" s="62"/>
      <c r="GJ40" s="62"/>
      <c r="GK40" s="62"/>
      <c r="GL40" s="62"/>
      <c r="GM40" s="62"/>
      <c r="GN40" s="62"/>
      <c r="GO40" s="62"/>
      <c r="GP40" s="62"/>
      <c r="GQ40" s="62"/>
      <c r="GR40" s="62"/>
      <c r="GS40" s="62"/>
      <c r="GT40" s="62"/>
      <c r="GU40" s="62"/>
    </row>
    <row r="41" spans="1:203" x14ac:dyDescent="0.25">
      <c r="A41" s="153" t="s">
        <v>259</v>
      </c>
      <c r="B41" s="176" t="str">
        <f>DATA!J45</f>
        <v/>
      </c>
      <c r="C41" s="140">
        <f>DATA!K45</f>
        <v>0</v>
      </c>
      <c r="D41" s="101"/>
      <c r="E41" s="101"/>
      <c r="F41" s="62"/>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c r="AI41" s="101"/>
      <c r="AJ41" s="101"/>
      <c r="AK41" s="101"/>
      <c r="AL41" s="101"/>
      <c r="AM41" s="101"/>
      <c r="AN41" s="101"/>
      <c r="AO41" s="101"/>
      <c r="AP41" s="101"/>
      <c r="AQ41" s="101"/>
      <c r="AR41" s="101"/>
      <c r="AS41" s="101"/>
      <c r="AT41" s="101"/>
      <c r="AU41" s="101"/>
      <c r="AV41" s="101"/>
      <c r="AW41" s="101"/>
      <c r="AX41" s="101"/>
      <c r="AY41" s="101"/>
      <c r="AZ41" s="101"/>
      <c r="BA41" s="101"/>
      <c r="BB41" s="101"/>
      <c r="BC41" s="101"/>
      <c r="BD41" s="101"/>
      <c r="BE41" s="101"/>
      <c r="BF41" s="101"/>
      <c r="BG41" s="101"/>
      <c r="BH41" s="101"/>
      <c r="BI41" s="101"/>
      <c r="BJ41" s="101"/>
      <c r="BK41" s="101"/>
      <c r="BL41" s="101"/>
      <c r="BM41" s="101"/>
      <c r="BN41" s="101"/>
      <c r="BO41" s="101"/>
      <c r="BP41" s="101"/>
      <c r="BQ41" s="101"/>
      <c r="BR41" s="101"/>
      <c r="BS41" s="101"/>
      <c r="BT41" s="101"/>
      <c r="BU41" s="101"/>
      <c r="BV41" s="101"/>
      <c r="BW41" s="101"/>
      <c r="BX41" s="101"/>
      <c r="BY41" s="101"/>
      <c r="BZ41" s="101"/>
      <c r="CA41" s="101"/>
      <c r="CB41" s="101"/>
      <c r="CC41" s="101"/>
      <c r="CD41" s="101"/>
      <c r="CE41" s="101"/>
      <c r="CF41" s="101"/>
      <c r="CG41" s="101"/>
      <c r="CH41" s="101"/>
      <c r="CI41" s="101"/>
      <c r="CJ41" s="101"/>
      <c r="CK41" s="101"/>
      <c r="CL41" s="101"/>
      <c r="CM41" s="101"/>
      <c r="CN41" s="101"/>
      <c r="CO41" s="101"/>
      <c r="CP41" s="101"/>
      <c r="CQ41" s="101"/>
      <c r="CR41" s="101"/>
      <c r="CS41" s="101"/>
      <c r="CT41" s="101"/>
      <c r="CU41" s="101"/>
      <c r="CV41" s="101"/>
      <c r="CW41" s="101"/>
      <c r="CX41" s="101"/>
      <c r="CY41" s="101"/>
      <c r="CZ41" s="101"/>
      <c r="DA41" s="101"/>
      <c r="DB41" s="101"/>
      <c r="DC41" s="101"/>
      <c r="DD41" s="101"/>
      <c r="DE41" s="101"/>
      <c r="DF41" s="101"/>
      <c r="DG41" s="101"/>
      <c r="DH41" s="101"/>
      <c r="DI41" s="101"/>
      <c r="DJ41" s="101"/>
      <c r="DK41" s="101"/>
      <c r="DL41" s="101"/>
      <c r="DM41" s="101"/>
      <c r="DN41" s="101"/>
      <c r="DO41" s="101"/>
      <c r="DP41" s="101"/>
      <c r="DQ41" s="101"/>
      <c r="DR41" s="101"/>
      <c r="DS41" s="101"/>
      <c r="DT41" s="101"/>
      <c r="DU41" s="101"/>
      <c r="DV41" s="101"/>
      <c r="DW41" s="101"/>
      <c r="DX41" s="101"/>
      <c r="DY41" s="101"/>
      <c r="DZ41" s="101"/>
      <c r="EA41" s="101"/>
      <c r="EB41" s="101"/>
      <c r="EC41" s="101"/>
      <c r="ED41" s="101"/>
      <c r="EE41" s="101"/>
      <c r="EF41" s="101"/>
      <c r="EG41" s="101"/>
      <c r="EH41" s="101"/>
      <c r="EI41" s="101"/>
      <c r="EJ41" s="101"/>
      <c r="EK41" s="101"/>
      <c r="EL41" s="101"/>
      <c r="EM41" s="101"/>
      <c r="EN41" s="101"/>
      <c r="EO41" s="101"/>
      <c r="EP41" s="101"/>
      <c r="EQ41" s="101"/>
      <c r="ER41" s="101"/>
      <c r="ES41" s="101"/>
      <c r="ET41" s="101"/>
      <c r="EU41" s="101"/>
      <c r="EV41" s="101"/>
      <c r="EW41" s="101"/>
      <c r="EX41" s="101"/>
      <c r="EY41" s="101"/>
      <c r="EZ41" s="101"/>
      <c r="FA41" s="101"/>
      <c r="FB41" s="101"/>
      <c r="FC41" s="101"/>
      <c r="FD41" s="101"/>
      <c r="FE41" s="101"/>
      <c r="FF41" s="101"/>
      <c r="FG41" s="101"/>
      <c r="FH41" s="101"/>
      <c r="FI41" s="101"/>
      <c r="FJ41" s="101"/>
      <c r="FK41" s="101"/>
      <c r="FL41" s="101"/>
      <c r="FM41" s="101"/>
      <c r="FN41" s="101"/>
      <c r="FO41" s="101"/>
      <c r="FP41" s="101"/>
      <c r="FQ41" s="101"/>
      <c r="FR41" s="101"/>
      <c r="FS41" s="101"/>
      <c r="FT41" s="101"/>
      <c r="FU41" s="101"/>
      <c r="FV41" s="101"/>
      <c r="FW41" s="101"/>
      <c r="FX41" s="101"/>
      <c r="FY41" s="101"/>
      <c r="FZ41" s="101"/>
      <c r="GA41" s="101"/>
      <c r="GB41" s="101"/>
      <c r="GC41" s="101"/>
      <c r="GD41" s="101"/>
      <c r="GE41" s="101"/>
      <c r="GF41" s="101"/>
      <c r="GG41" s="101"/>
      <c r="GH41" s="101"/>
      <c r="GI41" s="101"/>
      <c r="GJ41" s="101"/>
      <c r="GK41" s="101"/>
      <c r="GL41" s="101"/>
      <c r="GM41" s="101"/>
      <c r="GN41" s="101"/>
      <c r="GO41" s="101"/>
      <c r="GP41" s="101"/>
      <c r="GQ41" s="101"/>
      <c r="GR41" s="101"/>
      <c r="GS41" s="101"/>
      <c r="GT41" s="101"/>
      <c r="GU41" s="101"/>
    </row>
    <row r="42" spans="1:203" x14ac:dyDescent="0.25">
      <c r="A42" s="8" t="s">
        <v>198</v>
      </c>
      <c r="B42" s="176" t="str">
        <f>DATA!J46</f>
        <v/>
      </c>
      <c r="C42" s="140">
        <f>DATA!K46</f>
        <v>0</v>
      </c>
      <c r="D42" s="62"/>
      <c r="E42" s="62"/>
      <c r="F42" s="62"/>
      <c r="G42" s="62"/>
      <c r="H42" s="62"/>
      <c r="I42" s="62"/>
      <c r="J42" s="62"/>
      <c r="K42" s="62"/>
      <c r="L42" s="62"/>
      <c r="M42" s="62"/>
      <c r="N42" s="62"/>
      <c r="O42" s="62"/>
      <c r="P42" s="62"/>
      <c r="Q42" s="62"/>
      <c r="R42" s="62"/>
      <c r="S42" s="62"/>
      <c r="T42" s="62"/>
      <c r="U42" s="62"/>
      <c r="V42" s="62"/>
      <c r="W42" s="62"/>
      <c r="X42" s="62"/>
      <c r="Y42" s="62"/>
      <c r="Z42" s="62"/>
      <c r="AA42" s="62"/>
      <c r="AB42" s="62"/>
      <c r="AC42" s="62"/>
      <c r="AD42" s="62"/>
      <c r="AE42" s="62"/>
      <c r="AF42" s="62"/>
      <c r="AG42" s="62"/>
      <c r="AH42" s="62"/>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J42" s="62"/>
      <c r="BK42" s="62"/>
      <c r="BL42" s="62"/>
      <c r="BM42" s="62"/>
      <c r="BN42" s="62"/>
      <c r="BO42" s="62"/>
      <c r="BP42" s="62"/>
      <c r="BQ42" s="62"/>
      <c r="BR42" s="62"/>
      <c r="BS42" s="62"/>
      <c r="BT42" s="62"/>
      <c r="BU42" s="62"/>
      <c r="BV42" s="62"/>
      <c r="BW42" s="62"/>
      <c r="BX42" s="62"/>
      <c r="BY42" s="62"/>
      <c r="BZ42" s="62"/>
      <c r="CA42" s="62"/>
      <c r="CB42" s="62"/>
      <c r="CC42" s="62"/>
      <c r="CD42" s="62"/>
      <c r="CE42" s="62"/>
      <c r="CF42" s="62"/>
      <c r="CG42" s="62"/>
      <c r="CH42" s="62"/>
      <c r="CI42" s="62"/>
      <c r="CJ42" s="62"/>
      <c r="CK42" s="62"/>
      <c r="CL42" s="62"/>
      <c r="CM42" s="62"/>
      <c r="CN42" s="62"/>
      <c r="CO42" s="62"/>
      <c r="CP42" s="62"/>
      <c r="CQ42" s="62"/>
      <c r="CR42" s="62"/>
      <c r="CS42" s="62"/>
      <c r="CT42" s="62"/>
      <c r="CU42" s="62"/>
      <c r="CV42" s="62"/>
      <c r="CW42" s="62"/>
      <c r="CX42" s="62"/>
      <c r="CY42" s="62"/>
      <c r="CZ42" s="62"/>
      <c r="DA42" s="62"/>
      <c r="DB42" s="62"/>
      <c r="DC42" s="62"/>
      <c r="DD42" s="62"/>
      <c r="DE42" s="62"/>
      <c r="DF42" s="62"/>
      <c r="DG42" s="62"/>
      <c r="DH42" s="62"/>
      <c r="DI42" s="62"/>
      <c r="DJ42" s="62"/>
      <c r="DK42" s="62"/>
      <c r="DL42" s="62"/>
      <c r="DM42" s="62"/>
      <c r="DN42" s="62"/>
      <c r="DO42" s="62"/>
      <c r="DP42" s="62"/>
      <c r="DQ42" s="62"/>
      <c r="DR42" s="62"/>
      <c r="DS42" s="62"/>
      <c r="DT42" s="62"/>
      <c r="DU42" s="62"/>
      <c r="DV42" s="62"/>
      <c r="DW42" s="62"/>
      <c r="DX42" s="62"/>
      <c r="DY42" s="62"/>
      <c r="DZ42" s="62"/>
      <c r="EA42" s="62"/>
      <c r="EB42" s="62"/>
      <c r="EC42" s="62"/>
      <c r="ED42" s="62"/>
      <c r="EE42" s="62"/>
      <c r="EF42" s="62"/>
      <c r="EG42" s="62"/>
      <c r="EH42" s="62"/>
      <c r="EI42" s="62"/>
      <c r="EJ42" s="62"/>
      <c r="EK42" s="62"/>
      <c r="EL42" s="62"/>
      <c r="EM42" s="62"/>
      <c r="EN42" s="62"/>
      <c r="EO42" s="62"/>
      <c r="EP42" s="62"/>
      <c r="EQ42" s="62"/>
      <c r="ER42" s="62"/>
      <c r="ES42" s="62"/>
      <c r="ET42" s="62"/>
      <c r="EU42" s="62"/>
      <c r="EV42" s="62"/>
      <c r="EW42" s="62"/>
      <c r="EX42" s="62"/>
      <c r="EY42" s="62"/>
      <c r="EZ42" s="62"/>
      <c r="FA42" s="62"/>
      <c r="FB42" s="62"/>
      <c r="FC42" s="62"/>
      <c r="FD42" s="62"/>
      <c r="FE42" s="62"/>
      <c r="FF42" s="62"/>
      <c r="FG42" s="62"/>
      <c r="FH42" s="62"/>
      <c r="FI42" s="62"/>
      <c r="FJ42" s="62"/>
      <c r="FK42" s="62"/>
      <c r="FL42" s="62"/>
      <c r="FM42" s="62"/>
      <c r="FN42" s="62"/>
      <c r="FO42" s="62"/>
      <c r="FP42" s="62"/>
      <c r="FQ42" s="62"/>
      <c r="FR42" s="62"/>
      <c r="FS42" s="62"/>
      <c r="FT42" s="62"/>
      <c r="FU42" s="62"/>
      <c r="FV42" s="62"/>
      <c r="FW42" s="62"/>
      <c r="FX42" s="62"/>
      <c r="FY42" s="62"/>
      <c r="FZ42" s="62"/>
      <c r="GA42" s="62"/>
      <c r="GB42" s="62"/>
      <c r="GC42" s="62"/>
      <c r="GD42" s="62"/>
      <c r="GE42" s="62"/>
      <c r="GF42" s="62"/>
      <c r="GG42" s="62"/>
      <c r="GH42" s="62"/>
      <c r="GI42" s="62"/>
      <c r="GJ42" s="62"/>
      <c r="GK42" s="62"/>
      <c r="GL42" s="62"/>
      <c r="GM42" s="62"/>
      <c r="GN42" s="62"/>
      <c r="GO42" s="62"/>
      <c r="GP42" s="62"/>
      <c r="GQ42" s="62"/>
      <c r="GR42" s="62"/>
      <c r="GS42" s="62"/>
      <c r="GT42" s="62"/>
      <c r="GU42" s="62"/>
    </row>
    <row r="43" spans="1:203" x14ac:dyDescent="0.25">
      <c r="A43" s="8" t="s">
        <v>271</v>
      </c>
      <c r="B43" s="176" t="str">
        <f>DATA!J47</f>
        <v/>
      </c>
      <c r="C43" s="140">
        <f>DATA!K47</f>
        <v>0</v>
      </c>
      <c r="D43" s="62"/>
      <c r="E43" s="62"/>
      <c r="F43" s="62"/>
      <c r="G43" s="62"/>
      <c r="H43" s="62"/>
      <c r="I43" s="62"/>
      <c r="J43" s="62"/>
      <c r="K43" s="62"/>
      <c r="L43" s="62"/>
      <c r="M43" s="62"/>
      <c r="N43" s="62"/>
      <c r="O43" s="62"/>
      <c r="P43" s="62"/>
      <c r="Q43" s="62"/>
      <c r="R43" s="62"/>
      <c r="S43" s="62"/>
      <c r="T43" s="62"/>
      <c r="U43" s="62"/>
      <c r="V43" s="62"/>
      <c r="W43" s="62"/>
      <c r="X43" s="62"/>
      <c r="Y43" s="62"/>
      <c r="Z43" s="62"/>
      <c r="AA43" s="62"/>
      <c r="AB43" s="62"/>
      <c r="AC43" s="62"/>
      <c r="AD43" s="62"/>
      <c r="AE43" s="62"/>
      <c r="AF43" s="62"/>
      <c r="AG43" s="62"/>
      <c r="AH43" s="62"/>
      <c r="AI43" s="62"/>
      <c r="AJ43" s="62"/>
      <c r="AK43" s="62"/>
      <c r="AL43" s="62"/>
      <c r="AM43" s="62"/>
      <c r="AN43" s="62"/>
      <c r="AO43" s="62"/>
      <c r="AP43" s="62"/>
      <c r="AQ43" s="62"/>
      <c r="AR43" s="62"/>
      <c r="AS43" s="62"/>
      <c r="AT43" s="62"/>
      <c r="AU43" s="62"/>
      <c r="AV43" s="62"/>
      <c r="AW43" s="62"/>
      <c r="AX43" s="62"/>
      <c r="AY43" s="62"/>
      <c r="AZ43" s="62"/>
      <c r="BA43" s="62"/>
      <c r="BB43" s="62"/>
      <c r="BC43" s="62"/>
      <c r="BD43" s="62"/>
      <c r="BE43" s="62"/>
      <c r="BF43" s="62"/>
      <c r="BG43" s="62"/>
      <c r="BH43" s="62"/>
      <c r="BI43" s="62"/>
      <c r="BJ43" s="62"/>
      <c r="BK43" s="62"/>
      <c r="BL43" s="62"/>
      <c r="BM43" s="62"/>
      <c r="BN43" s="62"/>
      <c r="BO43" s="62"/>
      <c r="BP43" s="62"/>
      <c r="BQ43" s="62"/>
      <c r="BR43" s="62"/>
      <c r="BS43" s="62"/>
      <c r="BT43" s="62"/>
      <c r="BU43" s="62"/>
      <c r="BV43" s="62"/>
      <c r="BW43" s="62"/>
      <c r="BX43" s="62"/>
      <c r="BY43" s="62"/>
      <c r="BZ43" s="62"/>
      <c r="CA43" s="62"/>
      <c r="CB43" s="62"/>
      <c r="CC43" s="62"/>
      <c r="CD43" s="62"/>
      <c r="CE43" s="62"/>
      <c r="CF43" s="62"/>
      <c r="CG43" s="62"/>
      <c r="CH43" s="62"/>
      <c r="CI43" s="62"/>
      <c r="CJ43" s="62"/>
      <c r="CK43" s="62"/>
      <c r="CL43" s="62"/>
      <c r="CM43" s="62"/>
      <c r="CN43" s="62"/>
      <c r="CO43" s="62"/>
      <c r="CP43" s="62"/>
      <c r="CQ43" s="62"/>
      <c r="CR43" s="62"/>
      <c r="CS43" s="62"/>
      <c r="CT43" s="62"/>
      <c r="CU43" s="62"/>
      <c r="CV43" s="62"/>
      <c r="CW43" s="62"/>
      <c r="CX43" s="62"/>
      <c r="CY43" s="62"/>
      <c r="CZ43" s="62"/>
      <c r="DA43" s="62"/>
      <c r="DB43" s="62"/>
      <c r="DC43" s="62"/>
      <c r="DD43" s="62"/>
      <c r="DE43" s="62"/>
      <c r="DF43" s="62"/>
      <c r="DG43" s="62"/>
      <c r="DH43" s="62"/>
      <c r="DI43" s="62"/>
      <c r="DJ43" s="62"/>
      <c r="DK43" s="62"/>
      <c r="DL43" s="62"/>
      <c r="DM43" s="62"/>
      <c r="DN43" s="62"/>
      <c r="DO43" s="62"/>
      <c r="DP43" s="62"/>
      <c r="DQ43" s="62"/>
      <c r="DR43" s="62"/>
      <c r="DS43" s="62"/>
      <c r="DT43" s="62"/>
      <c r="DU43" s="62"/>
      <c r="DV43" s="62"/>
      <c r="DW43" s="62"/>
      <c r="DX43" s="62"/>
      <c r="DY43" s="62"/>
      <c r="DZ43" s="62"/>
      <c r="EA43" s="62"/>
      <c r="EB43" s="62"/>
      <c r="EC43" s="62"/>
      <c r="ED43" s="62"/>
      <c r="EE43" s="62"/>
      <c r="EF43" s="62"/>
      <c r="EG43" s="62"/>
      <c r="EH43" s="62"/>
      <c r="EI43" s="62"/>
      <c r="EJ43" s="62"/>
      <c r="EK43" s="62"/>
      <c r="EL43" s="62"/>
      <c r="EM43" s="62"/>
      <c r="EN43" s="62"/>
      <c r="EO43" s="62"/>
      <c r="EP43" s="62"/>
      <c r="EQ43" s="62"/>
      <c r="ER43" s="62"/>
      <c r="ES43" s="62"/>
      <c r="ET43" s="62"/>
      <c r="EU43" s="62"/>
      <c r="EV43" s="62"/>
      <c r="EW43" s="62"/>
      <c r="EX43" s="62"/>
      <c r="EY43" s="62"/>
      <c r="EZ43" s="62"/>
      <c r="FA43" s="62"/>
      <c r="FB43" s="62"/>
      <c r="FC43" s="62"/>
      <c r="FD43" s="62"/>
      <c r="FE43" s="62"/>
      <c r="FF43" s="62"/>
      <c r="FG43" s="62"/>
      <c r="FH43" s="62"/>
      <c r="FI43" s="62"/>
      <c r="FJ43" s="62"/>
      <c r="FK43" s="62"/>
      <c r="FL43" s="62"/>
      <c r="FM43" s="62"/>
      <c r="FN43" s="62"/>
      <c r="FO43" s="62"/>
      <c r="FP43" s="62"/>
      <c r="FQ43" s="62"/>
      <c r="FR43" s="62"/>
      <c r="FS43" s="62"/>
      <c r="FT43" s="62"/>
      <c r="FU43" s="62"/>
      <c r="FV43" s="62"/>
      <c r="FW43" s="62"/>
      <c r="FX43" s="62"/>
      <c r="FY43" s="62"/>
      <c r="FZ43" s="62"/>
      <c r="GA43" s="62"/>
      <c r="GB43" s="62"/>
      <c r="GC43" s="62"/>
      <c r="GD43" s="62"/>
      <c r="GE43" s="62"/>
      <c r="GF43" s="62"/>
      <c r="GG43" s="62"/>
      <c r="GH43" s="62"/>
      <c r="GI43" s="62"/>
      <c r="GJ43" s="62"/>
      <c r="GK43" s="62"/>
      <c r="GL43" s="62"/>
      <c r="GM43" s="62"/>
      <c r="GN43" s="62"/>
      <c r="GO43" s="62"/>
      <c r="GP43" s="62"/>
      <c r="GQ43" s="62"/>
      <c r="GR43" s="62"/>
      <c r="GS43" s="62"/>
      <c r="GT43" s="62"/>
      <c r="GU43" s="62"/>
    </row>
    <row r="44" spans="1:203" x14ac:dyDescent="0.25">
      <c r="A44" s="8" t="s">
        <v>272</v>
      </c>
      <c r="B44" s="176" t="str">
        <f>DATA!J48</f>
        <v/>
      </c>
      <c r="C44" s="140">
        <f>DATA!K48</f>
        <v>0</v>
      </c>
      <c r="D44" s="62"/>
      <c r="E44" s="62"/>
      <c r="F44" s="62"/>
      <c r="G44" s="62"/>
      <c r="H44" s="62"/>
      <c r="I44" s="62"/>
      <c r="J44" s="62"/>
      <c r="K44" s="62"/>
      <c r="L44" s="62"/>
      <c r="M44" s="62"/>
      <c r="N44" s="62"/>
      <c r="O44" s="62"/>
      <c r="P44" s="62"/>
      <c r="Q44" s="62"/>
      <c r="R44" s="62"/>
      <c r="S44" s="62"/>
      <c r="T44" s="62"/>
      <c r="U44" s="62"/>
      <c r="V44" s="62"/>
      <c r="W44" s="62"/>
      <c r="X44" s="62"/>
      <c r="Y44" s="62"/>
      <c r="Z44" s="62"/>
      <c r="AA44" s="62"/>
      <c r="AB44" s="62"/>
      <c r="AC44" s="62"/>
      <c r="AD44" s="62"/>
      <c r="AE44" s="62"/>
      <c r="AF44" s="62"/>
      <c r="AG44" s="62"/>
      <c r="AH44" s="62"/>
      <c r="AI44" s="62"/>
      <c r="AJ44" s="62"/>
      <c r="AK44" s="62"/>
      <c r="AL44" s="62"/>
      <c r="AM44" s="62"/>
      <c r="AN44" s="62"/>
      <c r="AO44" s="62"/>
      <c r="AP44" s="62"/>
      <c r="AQ44" s="62"/>
      <c r="AR44" s="62"/>
      <c r="AS44" s="62"/>
      <c r="AT44" s="62"/>
      <c r="AU44" s="62"/>
      <c r="AV44" s="62"/>
      <c r="AW44" s="62"/>
      <c r="AX44" s="62"/>
      <c r="AY44" s="62"/>
      <c r="AZ44" s="62"/>
      <c r="BA44" s="62"/>
      <c r="BB44" s="62"/>
      <c r="BC44" s="62"/>
      <c r="BD44" s="62"/>
      <c r="BE44" s="62"/>
      <c r="BF44" s="62"/>
      <c r="BG44" s="62"/>
      <c r="BH44" s="62"/>
      <c r="BI44" s="62"/>
      <c r="BJ44" s="62"/>
      <c r="BK44" s="62"/>
      <c r="BL44" s="62"/>
      <c r="BM44" s="62"/>
      <c r="BN44" s="62"/>
      <c r="BO44" s="62"/>
      <c r="BP44" s="62"/>
      <c r="BQ44" s="62"/>
      <c r="BR44" s="62"/>
      <c r="BS44" s="62"/>
      <c r="BT44" s="62"/>
      <c r="BU44" s="62"/>
      <c r="BV44" s="62"/>
      <c r="BW44" s="62"/>
      <c r="BX44" s="62"/>
      <c r="BY44" s="62"/>
      <c r="BZ44" s="62"/>
      <c r="CA44" s="62"/>
      <c r="CB44" s="62"/>
      <c r="CC44" s="62"/>
      <c r="CD44" s="62"/>
      <c r="CE44" s="62"/>
      <c r="CF44" s="62"/>
      <c r="CG44" s="62"/>
      <c r="CH44" s="62"/>
      <c r="CI44" s="62"/>
      <c r="CJ44" s="62"/>
      <c r="CK44" s="62"/>
      <c r="CL44" s="62"/>
      <c r="CM44" s="62"/>
      <c r="CN44" s="62"/>
      <c r="CO44" s="62"/>
      <c r="CP44" s="62"/>
      <c r="CQ44" s="62"/>
      <c r="CR44" s="62"/>
      <c r="CS44" s="62"/>
      <c r="CT44" s="62"/>
      <c r="CU44" s="62"/>
      <c r="CV44" s="62"/>
      <c r="CW44" s="62"/>
      <c r="CX44" s="62"/>
      <c r="CY44" s="62"/>
      <c r="CZ44" s="62"/>
      <c r="DA44" s="62"/>
      <c r="DB44" s="62"/>
      <c r="DC44" s="62"/>
      <c r="DD44" s="62"/>
      <c r="DE44" s="62"/>
      <c r="DF44" s="62"/>
      <c r="DG44" s="62"/>
      <c r="DH44" s="62"/>
      <c r="DI44" s="62"/>
      <c r="DJ44" s="62"/>
      <c r="DK44" s="62"/>
      <c r="DL44" s="62"/>
      <c r="DM44" s="62"/>
      <c r="DN44" s="62"/>
      <c r="DO44" s="62"/>
      <c r="DP44" s="62"/>
      <c r="DQ44" s="62"/>
      <c r="DR44" s="62"/>
      <c r="DS44" s="62"/>
      <c r="DT44" s="62"/>
      <c r="DU44" s="62"/>
      <c r="DV44" s="62"/>
      <c r="DW44" s="62"/>
      <c r="DX44" s="62"/>
      <c r="DY44" s="62"/>
      <c r="DZ44" s="62"/>
      <c r="EA44" s="62"/>
      <c r="EB44" s="62"/>
      <c r="EC44" s="62"/>
      <c r="ED44" s="62"/>
      <c r="EE44" s="62"/>
      <c r="EF44" s="62"/>
      <c r="EG44" s="62"/>
      <c r="EH44" s="62"/>
      <c r="EI44" s="62"/>
      <c r="EJ44" s="62"/>
      <c r="EK44" s="62"/>
      <c r="EL44" s="62"/>
      <c r="EM44" s="62"/>
      <c r="EN44" s="62"/>
      <c r="EO44" s="62"/>
      <c r="EP44" s="62"/>
      <c r="EQ44" s="62"/>
      <c r="ER44" s="62"/>
      <c r="ES44" s="62"/>
      <c r="ET44" s="62"/>
      <c r="EU44" s="62"/>
      <c r="EV44" s="62"/>
      <c r="EW44" s="62"/>
      <c r="EX44" s="62"/>
      <c r="EY44" s="62"/>
      <c r="EZ44" s="62"/>
      <c r="FA44" s="62"/>
      <c r="FB44" s="62"/>
      <c r="FC44" s="62"/>
      <c r="FD44" s="62"/>
      <c r="FE44" s="62"/>
      <c r="FF44" s="62"/>
      <c r="FG44" s="62"/>
      <c r="FH44" s="62"/>
      <c r="FI44" s="62"/>
      <c r="FJ44" s="62"/>
      <c r="FK44" s="62"/>
      <c r="FL44" s="62"/>
      <c r="FM44" s="62"/>
      <c r="FN44" s="62"/>
      <c r="FO44" s="62"/>
      <c r="FP44" s="62"/>
      <c r="FQ44" s="62"/>
      <c r="FR44" s="62"/>
      <c r="FS44" s="62"/>
      <c r="FT44" s="62"/>
      <c r="FU44" s="62"/>
      <c r="FV44" s="62"/>
      <c r="FW44" s="62"/>
      <c r="FX44" s="62"/>
      <c r="FY44" s="62"/>
      <c r="FZ44" s="62"/>
      <c r="GA44" s="62"/>
      <c r="GB44" s="62"/>
      <c r="GC44" s="62"/>
      <c r="GD44" s="62"/>
      <c r="GE44" s="62"/>
      <c r="GF44" s="62"/>
      <c r="GG44" s="62"/>
      <c r="GH44" s="62"/>
      <c r="GI44" s="62"/>
      <c r="GJ44" s="62"/>
      <c r="GK44" s="62"/>
      <c r="GL44" s="62"/>
      <c r="GM44" s="62"/>
      <c r="GN44" s="62"/>
      <c r="GO44" s="62"/>
      <c r="GP44" s="62"/>
      <c r="GQ44" s="62"/>
      <c r="GR44" s="62"/>
      <c r="GS44" s="62"/>
      <c r="GT44" s="62"/>
      <c r="GU44" s="62"/>
    </row>
    <row r="45" spans="1:203" x14ac:dyDescent="0.25">
      <c r="A45" s="8" t="s">
        <v>263</v>
      </c>
      <c r="B45" s="176" t="str">
        <f>DATA!J49</f>
        <v/>
      </c>
      <c r="C45" s="140">
        <f>DATA!K49</f>
        <v>0</v>
      </c>
      <c r="D45" s="62"/>
      <c r="E45" s="62"/>
      <c r="F45" s="62"/>
      <c r="G45" s="62"/>
      <c r="H45" s="62"/>
      <c r="I45" s="62"/>
      <c r="J45" s="62"/>
      <c r="K45" s="62"/>
      <c r="L45" s="62"/>
      <c r="M45" s="62"/>
      <c r="N45" s="62"/>
      <c r="O45" s="62"/>
      <c r="P45" s="62"/>
      <c r="Q45" s="62"/>
      <c r="R45" s="62"/>
      <c r="S45" s="62"/>
      <c r="T45" s="62"/>
      <c r="U45" s="62"/>
      <c r="V45" s="62"/>
      <c r="W45" s="62"/>
      <c r="X45" s="62"/>
      <c r="Y45" s="62"/>
      <c r="Z45" s="62"/>
      <c r="AA45" s="62"/>
      <c r="AB45" s="62"/>
      <c r="AC45" s="62"/>
      <c r="AD45" s="62"/>
      <c r="AE45" s="62"/>
      <c r="AF45" s="62"/>
      <c r="AG45" s="62"/>
      <c r="AH45" s="62"/>
      <c r="AI45" s="62"/>
      <c r="AJ45" s="62"/>
      <c r="AK45" s="62"/>
      <c r="AL45" s="62"/>
      <c r="AM45" s="62"/>
      <c r="AN45" s="62"/>
      <c r="AO45" s="62"/>
      <c r="AP45" s="62"/>
      <c r="AQ45" s="62"/>
      <c r="AR45" s="62"/>
      <c r="AS45" s="62"/>
      <c r="AT45" s="62"/>
      <c r="AU45" s="62"/>
      <c r="AV45" s="62"/>
      <c r="AW45" s="62"/>
      <c r="AX45" s="62"/>
      <c r="AY45" s="62"/>
      <c r="AZ45" s="62"/>
      <c r="BA45" s="62"/>
      <c r="BB45" s="62"/>
      <c r="BC45" s="62"/>
      <c r="BD45" s="62"/>
      <c r="BE45" s="62"/>
      <c r="BF45" s="62"/>
      <c r="BG45" s="62"/>
      <c r="BH45" s="62"/>
      <c r="BI45" s="62"/>
      <c r="BJ45" s="62"/>
      <c r="BK45" s="62"/>
      <c r="BL45" s="62"/>
      <c r="BM45" s="62"/>
      <c r="BN45" s="62"/>
      <c r="BO45" s="62"/>
      <c r="BP45" s="62"/>
      <c r="BQ45" s="62"/>
      <c r="BR45" s="62"/>
      <c r="BS45" s="62"/>
      <c r="BT45" s="62"/>
      <c r="BU45" s="62"/>
      <c r="BV45" s="62"/>
      <c r="BW45" s="62"/>
      <c r="BX45" s="62"/>
      <c r="BY45" s="62"/>
      <c r="BZ45" s="62"/>
      <c r="CA45" s="62"/>
      <c r="CB45" s="62"/>
      <c r="CC45" s="62"/>
      <c r="CD45" s="62"/>
      <c r="CE45" s="62"/>
      <c r="CF45" s="62"/>
      <c r="CG45" s="62"/>
      <c r="CH45" s="62"/>
      <c r="CI45" s="62"/>
      <c r="CJ45" s="62"/>
      <c r="CK45" s="62"/>
      <c r="CL45" s="62"/>
      <c r="CM45" s="62"/>
      <c r="CN45" s="62"/>
      <c r="CO45" s="62"/>
      <c r="CP45" s="62"/>
      <c r="CQ45" s="62"/>
      <c r="CR45" s="62"/>
      <c r="CS45" s="62"/>
      <c r="CT45" s="62"/>
      <c r="CU45" s="62"/>
      <c r="CV45" s="62"/>
      <c r="CW45" s="62"/>
      <c r="CX45" s="62"/>
      <c r="CY45" s="62"/>
      <c r="CZ45" s="62"/>
      <c r="DA45" s="62"/>
      <c r="DB45" s="62"/>
      <c r="DC45" s="62"/>
      <c r="DD45" s="62"/>
      <c r="DE45" s="62"/>
      <c r="DF45" s="62"/>
      <c r="DG45" s="62"/>
      <c r="DH45" s="62"/>
      <c r="DI45" s="62"/>
      <c r="DJ45" s="62"/>
      <c r="DK45" s="62"/>
      <c r="DL45" s="62"/>
      <c r="DM45" s="62"/>
      <c r="DN45" s="62"/>
      <c r="DO45" s="62"/>
      <c r="DP45" s="62"/>
      <c r="DQ45" s="62"/>
      <c r="DR45" s="62"/>
      <c r="DS45" s="62"/>
      <c r="DT45" s="62"/>
      <c r="DU45" s="62"/>
      <c r="DV45" s="62"/>
      <c r="DW45" s="62"/>
      <c r="DX45" s="62"/>
      <c r="DY45" s="62"/>
      <c r="DZ45" s="62"/>
      <c r="EA45" s="62"/>
      <c r="EB45" s="62"/>
      <c r="EC45" s="62"/>
      <c r="ED45" s="62"/>
      <c r="EE45" s="62"/>
      <c r="EF45" s="62"/>
      <c r="EG45" s="62"/>
      <c r="EH45" s="62"/>
      <c r="EI45" s="62"/>
      <c r="EJ45" s="62"/>
      <c r="EK45" s="62"/>
      <c r="EL45" s="62"/>
      <c r="EM45" s="62"/>
      <c r="EN45" s="62"/>
      <c r="EO45" s="62"/>
      <c r="EP45" s="62"/>
      <c r="EQ45" s="62"/>
      <c r="ER45" s="62"/>
      <c r="ES45" s="62"/>
      <c r="ET45" s="62"/>
      <c r="EU45" s="62"/>
      <c r="EV45" s="62"/>
      <c r="EW45" s="62"/>
      <c r="EX45" s="62"/>
      <c r="EY45" s="62"/>
      <c r="EZ45" s="62"/>
      <c r="FA45" s="62"/>
      <c r="FB45" s="62"/>
      <c r="FC45" s="62"/>
      <c r="FD45" s="62"/>
      <c r="FE45" s="62"/>
      <c r="FF45" s="62"/>
      <c r="FG45" s="62"/>
      <c r="FH45" s="62"/>
      <c r="FI45" s="62"/>
      <c r="FJ45" s="62"/>
      <c r="FK45" s="62"/>
      <c r="FL45" s="62"/>
      <c r="FM45" s="62"/>
      <c r="FN45" s="62"/>
      <c r="FO45" s="62"/>
      <c r="FP45" s="62"/>
      <c r="FQ45" s="62"/>
      <c r="FR45" s="62"/>
      <c r="FS45" s="62"/>
      <c r="FT45" s="62"/>
      <c r="FU45" s="62"/>
      <c r="FV45" s="62"/>
      <c r="FW45" s="62"/>
      <c r="FX45" s="62"/>
      <c r="FY45" s="62"/>
      <c r="FZ45" s="62"/>
      <c r="GA45" s="62"/>
      <c r="GB45" s="62"/>
      <c r="GC45" s="62"/>
      <c r="GD45" s="62"/>
      <c r="GE45" s="62"/>
      <c r="GF45" s="62"/>
      <c r="GG45" s="62"/>
      <c r="GH45" s="62"/>
      <c r="GI45" s="62"/>
      <c r="GJ45" s="62"/>
      <c r="GK45" s="62"/>
      <c r="GL45" s="62"/>
      <c r="GM45" s="62"/>
      <c r="GN45" s="62"/>
      <c r="GO45" s="62"/>
      <c r="GP45" s="62"/>
      <c r="GQ45" s="62"/>
      <c r="GR45" s="62"/>
      <c r="GS45" s="62"/>
      <c r="GT45" s="62"/>
      <c r="GU45" s="62"/>
    </row>
    <row r="46" spans="1:203" x14ac:dyDescent="0.25">
      <c r="A46" s="8" t="s">
        <v>250</v>
      </c>
      <c r="B46" s="176" t="str">
        <f>DATA!J50</f>
        <v/>
      </c>
      <c r="C46" s="140">
        <f>DATA!K50</f>
        <v>0</v>
      </c>
      <c r="D46" s="62"/>
      <c r="E46" s="62"/>
      <c r="F46" s="62"/>
      <c r="G46" s="62"/>
      <c r="H46" s="62"/>
      <c r="I46" s="62"/>
      <c r="J46" s="62"/>
      <c r="K46" s="62"/>
      <c r="L46" s="62"/>
      <c r="M46" s="62"/>
      <c r="N46" s="62"/>
      <c r="O46" s="62"/>
      <c r="P46" s="62"/>
      <c r="Q46" s="62"/>
      <c r="R46" s="62"/>
      <c r="S46" s="62"/>
      <c r="T46" s="62"/>
      <c r="U46" s="62"/>
      <c r="V46" s="62"/>
      <c r="W46" s="62"/>
      <c r="X46" s="62"/>
      <c r="Y46" s="62"/>
      <c r="Z46" s="62"/>
      <c r="AA46" s="62"/>
      <c r="AB46" s="62"/>
      <c r="AC46" s="62"/>
      <c r="AD46" s="62"/>
      <c r="AE46" s="62"/>
      <c r="AF46" s="62"/>
      <c r="AG46" s="62"/>
      <c r="AH46" s="62"/>
      <c r="AI46" s="62"/>
      <c r="AJ46" s="62"/>
      <c r="AK46" s="62"/>
      <c r="AL46" s="62"/>
      <c r="AM46" s="62"/>
      <c r="AN46" s="62"/>
      <c r="AO46" s="62"/>
      <c r="AP46" s="62"/>
      <c r="AQ46" s="62"/>
      <c r="AR46" s="62"/>
      <c r="AS46" s="62"/>
      <c r="AT46" s="62"/>
      <c r="AU46" s="62"/>
      <c r="AV46" s="62"/>
      <c r="AW46" s="62"/>
      <c r="AX46" s="62"/>
      <c r="AY46" s="62"/>
      <c r="AZ46" s="62"/>
      <c r="BA46" s="62"/>
      <c r="BB46" s="62"/>
      <c r="BC46" s="62"/>
      <c r="BD46" s="62"/>
      <c r="BE46" s="62"/>
      <c r="BF46" s="62"/>
      <c r="BG46" s="62"/>
      <c r="BH46" s="62"/>
      <c r="BI46" s="62"/>
      <c r="BJ46" s="62"/>
      <c r="BK46" s="62"/>
      <c r="BL46" s="62"/>
      <c r="BM46" s="62"/>
      <c r="BN46" s="62"/>
      <c r="BO46" s="62"/>
      <c r="BP46" s="62"/>
      <c r="BQ46" s="62"/>
      <c r="BR46" s="62"/>
      <c r="BS46" s="62"/>
      <c r="BT46" s="62"/>
      <c r="BU46" s="62"/>
      <c r="BV46" s="62"/>
      <c r="BW46" s="62"/>
      <c r="BX46" s="62"/>
      <c r="BY46" s="62"/>
      <c r="BZ46" s="62"/>
      <c r="CA46" s="62"/>
      <c r="CB46" s="62"/>
      <c r="CC46" s="62"/>
      <c r="CD46" s="62"/>
      <c r="CE46" s="62"/>
      <c r="CF46" s="62"/>
      <c r="CG46" s="62"/>
      <c r="CH46" s="62"/>
      <c r="CI46" s="62"/>
      <c r="CJ46" s="62"/>
      <c r="CK46" s="62"/>
      <c r="CL46" s="62"/>
      <c r="CM46" s="62"/>
      <c r="CN46" s="62"/>
      <c r="CO46" s="62"/>
      <c r="CP46" s="62"/>
      <c r="CQ46" s="62"/>
      <c r="CR46" s="62"/>
      <c r="CS46" s="62"/>
      <c r="CT46" s="62"/>
      <c r="CU46" s="62"/>
      <c r="CV46" s="62"/>
      <c r="CW46" s="62"/>
      <c r="CX46" s="62"/>
      <c r="CY46" s="62"/>
      <c r="CZ46" s="62"/>
      <c r="DA46" s="62"/>
      <c r="DB46" s="62"/>
      <c r="DC46" s="62"/>
      <c r="DD46" s="62"/>
      <c r="DE46" s="62"/>
      <c r="DF46" s="62"/>
      <c r="DG46" s="62"/>
      <c r="DH46" s="62"/>
      <c r="DI46" s="62"/>
      <c r="DJ46" s="62"/>
      <c r="DK46" s="62"/>
      <c r="DL46" s="62"/>
      <c r="DM46" s="62"/>
      <c r="DN46" s="62"/>
      <c r="DO46" s="62"/>
      <c r="DP46" s="62"/>
      <c r="DQ46" s="62"/>
      <c r="DR46" s="62"/>
      <c r="DS46" s="62"/>
      <c r="DT46" s="62"/>
      <c r="DU46" s="62"/>
      <c r="DV46" s="62"/>
      <c r="DW46" s="62"/>
      <c r="DX46" s="62"/>
      <c r="DY46" s="62"/>
      <c r="DZ46" s="62"/>
      <c r="EA46" s="62"/>
      <c r="EB46" s="62"/>
      <c r="EC46" s="62"/>
      <c r="ED46" s="62"/>
      <c r="EE46" s="62"/>
      <c r="EF46" s="62"/>
      <c r="EG46" s="62"/>
      <c r="EH46" s="62"/>
      <c r="EI46" s="62"/>
      <c r="EJ46" s="62"/>
      <c r="EK46" s="62"/>
      <c r="EL46" s="62"/>
      <c r="EM46" s="62"/>
      <c r="EN46" s="62"/>
      <c r="EO46" s="62"/>
      <c r="EP46" s="62"/>
      <c r="EQ46" s="62"/>
      <c r="ER46" s="62"/>
      <c r="ES46" s="62"/>
      <c r="ET46" s="62"/>
      <c r="EU46" s="62"/>
      <c r="EV46" s="62"/>
      <c r="EW46" s="62"/>
      <c r="EX46" s="62"/>
      <c r="EY46" s="62"/>
      <c r="EZ46" s="62"/>
      <c r="FA46" s="62"/>
      <c r="FB46" s="62"/>
      <c r="FC46" s="62"/>
      <c r="FD46" s="62"/>
      <c r="FE46" s="62"/>
      <c r="FF46" s="62"/>
      <c r="FG46" s="62"/>
      <c r="FH46" s="62"/>
      <c r="FI46" s="62"/>
      <c r="FJ46" s="62"/>
      <c r="FK46" s="62"/>
      <c r="FL46" s="62"/>
      <c r="FM46" s="62"/>
      <c r="FN46" s="62"/>
      <c r="FO46" s="62"/>
      <c r="FP46" s="62"/>
      <c r="FQ46" s="62"/>
      <c r="FR46" s="62"/>
      <c r="FS46" s="62"/>
      <c r="FT46" s="62"/>
      <c r="FU46" s="62"/>
      <c r="FV46" s="62"/>
      <c r="FW46" s="62"/>
      <c r="FX46" s="62"/>
      <c r="FY46" s="62"/>
      <c r="FZ46" s="62"/>
      <c r="GA46" s="62"/>
      <c r="GB46" s="62"/>
      <c r="GC46" s="62"/>
      <c r="GD46" s="62"/>
      <c r="GE46" s="62"/>
      <c r="GF46" s="62"/>
      <c r="GG46" s="62"/>
      <c r="GH46" s="62"/>
      <c r="GI46" s="62"/>
      <c r="GJ46" s="62"/>
      <c r="GK46" s="62"/>
      <c r="GL46" s="62"/>
      <c r="GM46" s="62"/>
      <c r="GN46" s="62"/>
      <c r="GO46" s="62"/>
      <c r="GP46" s="62"/>
      <c r="GQ46" s="62"/>
      <c r="GR46" s="62"/>
      <c r="GS46" s="62"/>
      <c r="GT46" s="62"/>
      <c r="GU46" s="62"/>
    </row>
    <row r="47" spans="1:203" x14ac:dyDescent="0.25">
      <c r="A47" s="8" t="s">
        <v>130</v>
      </c>
      <c r="B47" s="176" t="str">
        <f>DATA!J51</f>
        <v/>
      </c>
      <c r="C47" s="140">
        <f>DATA!K51</f>
        <v>0</v>
      </c>
      <c r="D47" s="62"/>
      <c r="E47" s="62"/>
      <c r="F47" s="62"/>
      <c r="G47" s="62"/>
      <c r="H47" s="62"/>
      <c r="I47" s="62"/>
      <c r="J47" s="62"/>
      <c r="K47" s="62"/>
      <c r="L47" s="62"/>
      <c r="M47" s="62"/>
      <c r="N47" s="62"/>
      <c r="O47" s="62"/>
      <c r="P47" s="62"/>
      <c r="Q47" s="62"/>
      <c r="R47" s="62"/>
      <c r="S47" s="62"/>
      <c r="T47" s="62"/>
      <c r="U47" s="62"/>
      <c r="V47" s="62"/>
      <c r="W47" s="62"/>
      <c r="X47" s="62"/>
      <c r="Y47" s="62"/>
      <c r="Z47" s="62"/>
      <c r="AA47" s="62"/>
      <c r="AB47" s="62"/>
      <c r="AC47" s="62"/>
      <c r="AD47" s="62"/>
      <c r="AE47" s="62"/>
      <c r="AF47" s="62"/>
      <c r="AG47" s="62"/>
      <c r="AH47" s="62"/>
      <c r="AI47" s="62"/>
      <c r="AJ47" s="62"/>
      <c r="AK47" s="62"/>
      <c r="AL47" s="62"/>
      <c r="AM47" s="62"/>
      <c r="AN47" s="62"/>
      <c r="AO47" s="62"/>
      <c r="AP47" s="62"/>
      <c r="AQ47" s="62"/>
      <c r="AR47" s="62"/>
      <c r="AS47" s="62"/>
      <c r="AT47" s="62"/>
      <c r="AU47" s="62"/>
      <c r="AV47" s="62"/>
      <c r="AW47" s="62"/>
      <c r="AX47" s="62"/>
      <c r="AY47" s="62"/>
      <c r="AZ47" s="62"/>
      <c r="BA47" s="62"/>
      <c r="BB47" s="62"/>
      <c r="BC47" s="62"/>
      <c r="BD47" s="62"/>
      <c r="BE47" s="62"/>
      <c r="BF47" s="62"/>
      <c r="BG47" s="62"/>
      <c r="BH47" s="62"/>
      <c r="BI47" s="62"/>
      <c r="BJ47" s="62"/>
      <c r="BK47" s="62"/>
      <c r="BL47" s="62"/>
      <c r="BM47" s="62"/>
      <c r="BN47" s="62"/>
      <c r="BO47" s="62"/>
      <c r="BP47" s="62"/>
      <c r="BQ47" s="62"/>
      <c r="BR47" s="62"/>
      <c r="BS47" s="62"/>
      <c r="BT47" s="62"/>
      <c r="BU47" s="62"/>
      <c r="BV47" s="62"/>
      <c r="BW47" s="62"/>
      <c r="BX47" s="62"/>
      <c r="BY47" s="62"/>
      <c r="BZ47" s="62"/>
      <c r="CA47" s="62"/>
      <c r="CB47" s="62"/>
      <c r="CC47" s="62"/>
      <c r="CD47" s="62"/>
      <c r="CE47" s="62"/>
      <c r="CF47" s="62"/>
      <c r="CG47" s="62"/>
      <c r="CH47" s="62"/>
      <c r="CI47" s="62"/>
      <c r="CJ47" s="62"/>
      <c r="CK47" s="62"/>
      <c r="CL47" s="62"/>
      <c r="CM47" s="62"/>
      <c r="CN47" s="62"/>
      <c r="CO47" s="62"/>
      <c r="CP47" s="62"/>
      <c r="CQ47" s="62"/>
      <c r="CR47" s="62"/>
      <c r="CS47" s="62"/>
      <c r="CT47" s="62"/>
      <c r="CU47" s="62"/>
      <c r="CV47" s="62"/>
      <c r="CW47" s="62"/>
      <c r="CX47" s="62"/>
      <c r="CY47" s="62"/>
      <c r="CZ47" s="62"/>
      <c r="DA47" s="62"/>
      <c r="DB47" s="62"/>
      <c r="DC47" s="62"/>
      <c r="DD47" s="62"/>
      <c r="DE47" s="62"/>
      <c r="DF47" s="62"/>
      <c r="DG47" s="62"/>
      <c r="DH47" s="62"/>
      <c r="DI47" s="62"/>
      <c r="DJ47" s="62"/>
      <c r="DK47" s="62"/>
      <c r="DL47" s="62"/>
      <c r="DM47" s="62"/>
      <c r="DN47" s="62"/>
      <c r="DO47" s="62"/>
      <c r="DP47" s="62"/>
      <c r="DQ47" s="62"/>
      <c r="DR47" s="62"/>
      <c r="DS47" s="62"/>
      <c r="DT47" s="62"/>
      <c r="DU47" s="62"/>
      <c r="DV47" s="62"/>
      <c r="DW47" s="62"/>
      <c r="DX47" s="62"/>
      <c r="DY47" s="62"/>
      <c r="DZ47" s="62"/>
      <c r="EA47" s="62"/>
      <c r="EB47" s="62"/>
      <c r="EC47" s="62"/>
      <c r="ED47" s="62"/>
      <c r="EE47" s="62"/>
      <c r="EF47" s="62"/>
      <c r="EG47" s="62"/>
      <c r="EH47" s="62"/>
      <c r="EI47" s="62"/>
      <c r="EJ47" s="62"/>
      <c r="EK47" s="62"/>
      <c r="EL47" s="62"/>
      <c r="EM47" s="62"/>
      <c r="EN47" s="62"/>
      <c r="EO47" s="62"/>
      <c r="EP47" s="62"/>
      <c r="EQ47" s="62"/>
      <c r="ER47" s="62"/>
      <c r="ES47" s="62"/>
      <c r="ET47" s="62"/>
      <c r="EU47" s="62"/>
      <c r="EV47" s="62"/>
      <c r="EW47" s="62"/>
      <c r="EX47" s="62"/>
      <c r="EY47" s="62"/>
      <c r="EZ47" s="62"/>
      <c r="FA47" s="62"/>
      <c r="FB47" s="62"/>
      <c r="FC47" s="62"/>
      <c r="FD47" s="62"/>
      <c r="FE47" s="62"/>
      <c r="FF47" s="62"/>
      <c r="FG47" s="62"/>
      <c r="FH47" s="62"/>
      <c r="FI47" s="62"/>
      <c r="FJ47" s="62"/>
      <c r="FK47" s="62"/>
      <c r="FL47" s="62"/>
      <c r="FM47" s="62"/>
      <c r="FN47" s="62"/>
      <c r="FO47" s="62"/>
      <c r="FP47" s="62"/>
      <c r="FQ47" s="62"/>
      <c r="FR47" s="62"/>
      <c r="FS47" s="62"/>
      <c r="FT47" s="62"/>
      <c r="FU47" s="62"/>
      <c r="FV47" s="62"/>
      <c r="FW47" s="62"/>
      <c r="FX47" s="62"/>
      <c r="FY47" s="62"/>
      <c r="FZ47" s="62"/>
      <c r="GA47" s="62"/>
      <c r="GB47" s="62"/>
      <c r="GC47" s="62"/>
      <c r="GD47" s="62"/>
      <c r="GE47" s="62"/>
      <c r="GF47" s="62"/>
      <c r="GG47" s="62"/>
      <c r="GH47" s="62"/>
      <c r="GI47" s="62"/>
      <c r="GJ47" s="62"/>
      <c r="GK47" s="62"/>
      <c r="GL47" s="62"/>
      <c r="GM47" s="62"/>
      <c r="GN47" s="62"/>
      <c r="GO47" s="62"/>
      <c r="GP47" s="62"/>
      <c r="GQ47" s="62"/>
      <c r="GR47" s="62"/>
      <c r="GS47" s="62"/>
      <c r="GT47" s="62"/>
      <c r="GU47" s="62"/>
    </row>
    <row r="48" spans="1:203" x14ac:dyDescent="0.25">
      <c r="A48" s="8" t="s">
        <v>166</v>
      </c>
      <c r="B48" s="176" t="str">
        <f>DATA!J52</f>
        <v/>
      </c>
      <c r="C48" s="140">
        <f>DATA!K52</f>
        <v>0</v>
      </c>
      <c r="D48" s="62"/>
      <c r="E48" s="62"/>
      <c r="F48" s="62"/>
      <c r="G48" s="62"/>
      <c r="H48" s="62"/>
      <c r="I48" s="62"/>
      <c r="J48" s="62"/>
      <c r="K48" s="62"/>
      <c r="L48" s="62"/>
      <c r="M48" s="62"/>
      <c r="N48" s="62"/>
      <c r="O48" s="62"/>
      <c r="P48" s="62"/>
      <c r="Q48" s="62"/>
      <c r="R48" s="62"/>
      <c r="S48" s="62"/>
      <c r="T48" s="62"/>
      <c r="U48" s="62"/>
      <c r="V48" s="62"/>
      <c r="W48" s="62"/>
      <c r="X48" s="62"/>
      <c r="Y48" s="62"/>
      <c r="Z48" s="62"/>
      <c r="AA48" s="62"/>
      <c r="AB48" s="62"/>
      <c r="AC48" s="62"/>
      <c r="AD48" s="62"/>
      <c r="AE48" s="62"/>
      <c r="AF48" s="62"/>
      <c r="AG48" s="62"/>
      <c r="AH48" s="62"/>
      <c r="AI48" s="62"/>
      <c r="AJ48" s="62"/>
      <c r="AK48" s="62"/>
      <c r="AL48" s="62"/>
      <c r="AM48" s="62"/>
      <c r="AN48" s="62"/>
      <c r="AO48" s="62"/>
      <c r="AP48" s="62"/>
      <c r="AQ48" s="62"/>
      <c r="AR48" s="62"/>
      <c r="AS48" s="62"/>
      <c r="AT48" s="62"/>
      <c r="AU48" s="62"/>
      <c r="AV48" s="62"/>
      <c r="AW48" s="62"/>
      <c r="AX48" s="62"/>
      <c r="AY48" s="62"/>
      <c r="AZ48" s="62"/>
      <c r="BA48" s="62"/>
      <c r="BB48" s="62"/>
      <c r="BC48" s="62"/>
      <c r="BD48" s="62"/>
      <c r="BE48" s="62"/>
      <c r="BF48" s="62"/>
      <c r="BG48" s="62"/>
      <c r="BH48" s="62"/>
      <c r="BI48" s="62"/>
      <c r="BJ48" s="62"/>
      <c r="BK48" s="62"/>
      <c r="BL48" s="62"/>
      <c r="BM48" s="62"/>
      <c r="BN48" s="62"/>
      <c r="BO48" s="62"/>
      <c r="BP48" s="62"/>
      <c r="BQ48" s="62"/>
      <c r="BR48" s="62"/>
      <c r="BS48" s="62"/>
      <c r="BT48" s="62"/>
      <c r="BU48" s="62"/>
      <c r="BV48" s="62"/>
      <c r="BW48" s="62"/>
      <c r="BX48" s="62"/>
      <c r="BY48" s="62"/>
      <c r="BZ48" s="62"/>
      <c r="CA48" s="62"/>
      <c r="CB48" s="62"/>
      <c r="CC48" s="62"/>
      <c r="CD48" s="62"/>
      <c r="CE48" s="62"/>
      <c r="CF48" s="62"/>
      <c r="CG48" s="62"/>
      <c r="CH48" s="62"/>
      <c r="CI48" s="62"/>
      <c r="CJ48" s="62"/>
      <c r="CK48" s="62"/>
      <c r="CL48" s="62"/>
      <c r="CM48" s="62"/>
      <c r="CN48" s="62"/>
      <c r="CO48" s="62"/>
      <c r="CP48" s="62"/>
      <c r="CQ48" s="62"/>
      <c r="CR48" s="62"/>
      <c r="CS48" s="62"/>
      <c r="CT48" s="62"/>
      <c r="CU48" s="62"/>
      <c r="CV48" s="62"/>
      <c r="CW48" s="62"/>
      <c r="CX48" s="62"/>
      <c r="CY48" s="62"/>
      <c r="CZ48" s="62"/>
      <c r="DA48" s="62"/>
      <c r="DB48" s="62"/>
      <c r="DC48" s="62"/>
      <c r="DD48" s="62"/>
      <c r="DE48" s="62"/>
      <c r="DF48" s="62"/>
      <c r="DG48" s="62"/>
      <c r="DH48" s="62"/>
      <c r="DI48" s="62"/>
      <c r="DJ48" s="62"/>
      <c r="DK48" s="62"/>
      <c r="DL48" s="62"/>
      <c r="DM48" s="62"/>
      <c r="DN48" s="62"/>
      <c r="DO48" s="62"/>
      <c r="DP48" s="62"/>
      <c r="DQ48" s="62"/>
      <c r="DR48" s="62"/>
      <c r="DS48" s="62"/>
      <c r="DT48" s="62"/>
      <c r="DU48" s="62"/>
      <c r="DV48" s="62"/>
      <c r="DW48" s="62"/>
      <c r="DX48" s="62"/>
      <c r="DY48" s="62"/>
      <c r="DZ48" s="62"/>
      <c r="EA48" s="62"/>
      <c r="EB48" s="62"/>
      <c r="EC48" s="62"/>
      <c r="ED48" s="62"/>
      <c r="EE48" s="62"/>
      <c r="EF48" s="62"/>
      <c r="EG48" s="62"/>
      <c r="EH48" s="62"/>
      <c r="EI48" s="62"/>
      <c r="EJ48" s="62"/>
      <c r="EK48" s="62"/>
      <c r="EL48" s="62"/>
      <c r="EM48" s="62"/>
      <c r="EN48" s="62"/>
      <c r="EO48" s="62"/>
      <c r="EP48" s="62"/>
      <c r="EQ48" s="62"/>
      <c r="ER48" s="62"/>
      <c r="ES48" s="62"/>
      <c r="ET48" s="62"/>
      <c r="EU48" s="62"/>
      <c r="EV48" s="62"/>
      <c r="EW48" s="62"/>
      <c r="EX48" s="62"/>
      <c r="EY48" s="62"/>
      <c r="EZ48" s="62"/>
      <c r="FA48" s="62"/>
      <c r="FB48" s="62"/>
      <c r="FC48" s="62"/>
      <c r="FD48" s="62"/>
      <c r="FE48" s="62"/>
      <c r="FF48" s="62"/>
      <c r="FG48" s="62"/>
      <c r="FH48" s="62"/>
      <c r="FI48" s="62"/>
      <c r="FJ48" s="62"/>
      <c r="FK48" s="62"/>
      <c r="FL48" s="62"/>
      <c r="FM48" s="62"/>
      <c r="FN48" s="62"/>
      <c r="FO48" s="62"/>
      <c r="FP48" s="62"/>
      <c r="FQ48" s="62"/>
      <c r="FR48" s="62"/>
      <c r="FS48" s="62"/>
      <c r="FT48" s="62"/>
      <c r="FU48" s="62"/>
      <c r="FV48" s="62"/>
      <c r="FW48" s="62"/>
      <c r="FX48" s="62"/>
      <c r="FY48" s="62"/>
      <c r="FZ48" s="62"/>
      <c r="GA48" s="62"/>
      <c r="GB48" s="62"/>
      <c r="GC48" s="62"/>
      <c r="GD48" s="62"/>
      <c r="GE48" s="62"/>
      <c r="GF48" s="62"/>
      <c r="GG48" s="62"/>
      <c r="GH48" s="62"/>
      <c r="GI48" s="62"/>
      <c r="GJ48" s="62"/>
      <c r="GK48" s="62"/>
      <c r="GL48" s="62"/>
      <c r="GM48" s="62"/>
      <c r="GN48" s="62"/>
      <c r="GO48" s="62"/>
      <c r="GP48" s="62"/>
      <c r="GQ48" s="62"/>
      <c r="GR48" s="62"/>
      <c r="GS48" s="62"/>
      <c r="GT48" s="62"/>
      <c r="GU48" s="62"/>
    </row>
    <row r="49" spans="1:203" x14ac:dyDescent="0.25">
      <c r="A49" s="8" t="s">
        <v>44</v>
      </c>
      <c r="B49" s="176" t="str">
        <f>DATA!J53</f>
        <v/>
      </c>
      <c r="C49" s="140">
        <f>DATA!K53</f>
        <v>0</v>
      </c>
      <c r="D49" s="62"/>
      <c r="E49" s="62"/>
      <c r="F49" s="62"/>
      <c r="G49" s="62"/>
      <c r="H49" s="62"/>
      <c r="I49" s="62"/>
      <c r="J49" s="62"/>
      <c r="K49" s="62"/>
      <c r="L49" s="62"/>
      <c r="M49" s="62"/>
      <c r="N49" s="62"/>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c r="AR49" s="62"/>
      <c r="AS49" s="62"/>
      <c r="AT49" s="62"/>
      <c r="AU49" s="62"/>
      <c r="AV49" s="62"/>
      <c r="AW49" s="62"/>
      <c r="AX49" s="62"/>
      <c r="AY49" s="62"/>
      <c r="AZ49" s="62"/>
      <c r="BA49" s="62"/>
      <c r="BB49" s="62"/>
      <c r="BC49" s="62"/>
      <c r="BD49" s="62"/>
      <c r="BE49" s="62"/>
      <c r="BF49" s="62"/>
      <c r="BG49" s="62"/>
      <c r="BH49" s="62"/>
      <c r="BI49" s="62"/>
      <c r="BJ49" s="62"/>
      <c r="BK49" s="62"/>
      <c r="BL49" s="62"/>
      <c r="BM49" s="62"/>
      <c r="BN49" s="62"/>
      <c r="BO49" s="62"/>
      <c r="BP49" s="62"/>
      <c r="BQ49" s="62"/>
      <c r="BR49" s="62"/>
      <c r="BS49" s="62"/>
      <c r="BT49" s="62"/>
      <c r="BU49" s="62"/>
      <c r="BV49" s="62"/>
      <c r="BW49" s="62"/>
      <c r="BX49" s="62"/>
      <c r="BY49" s="62"/>
      <c r="BZ49" s="62"/>
      <c r="CA49" s="62"/>
      <c r="CB49" s="62"/>
      <c r="CC49" s="62"/>
      <c r="CD49" s="62"/>
      <c r="CE49" s="62"/>
      <c r="CF49" s="62"/>
      <c r="CG49" s="62"/>
      <c r="CH49" s="62"/>
      <c r="CI49" s="62"/>
      <c r="CJ49" s="62"/>
      <c r="CK49" s="62"/>
      <c r="CL49" s="62"/>
      <c r="CM49" s="62"/>
      <c r="CN49" s="62"/>
      <c r="CO49" s="62"/>
      <c r="CP49" s="62"/>
      <c r="CQ49" s="62"/>
      <c r="CR49" s="62"/>
      <c r="CS49" s="62"/>
      <c r="CT49" s="62"/>
      <c r="CU49" s="62"/>
      <c r="CV49" s="62"/>
      <c r="CW49" s="62"/>
      <c r="CX49" s="62"/>
      <c r="CY49" s="62"/>
      <c r="CZ49" s="62"/>
      <c r="DA49" s="62"/>
      <c r="DB49" s="62"/>
      <c r="DC49" s="62"/>
      <c r="DD49" s="62"/>
      <c r="DE49" s="62"/>
      <c r="DF49" s="62"/>
      <c r="DG49" s="62"/>
      <c r="DH49" s="62"/>
      <c r="DI49" s="62"/>
      <c r="DJ49" s="62"/>
      <c r="DK49" s="62"/>
      <c r="DL49" s="62"/>
      <c r="DM49" s="62"/>
      <c r="DN49" s="62"/>
      <c r="DO49" s="62"/>
      <c r="DP49" s="62"/>
      <c r="DQ49" s="62"/>
      <c r="DR49" s="62"/>
      <c r="DS49" s="62"/>
      <c r="DT49" s="62"/>
      <c r="DU49" s="62"/>
      <c r="DV49" s="62"/>
      <c r="DW49" s="62"/>
      <c r="DX49" s="62"/>
      <c r="DY49" s="62"/>
      <c r="DZ49" s="62"/>
      <c r="EA49" s="62"/>
      <c r="EB49" s="62"/>
      <c r="EC49" s="62"/>
      <c r="ED49" s="62"/>
      <c r="EE49" s="62"/>
      <c r="EF49" s="62"/>
      <c r="EG49" s="62"/>
      <c r="EH49" s="62"/>
      <c r="EI49" s="62"/>
      <c r="EJ49" s="62"/>
      <c r="EK49" s="62"/>
      <c r="EL49" s="62"/>
      <c r="EM49" s="62"/>
      <c r="EN49" s="62"/>
      <c r="EO49" s="62"/>
      <c r="EP49" s="62"/>
      <c r="EQ49" s="62"/>
      <c r="ER49" s="62"/>
      <c r="ES49" s="62"/>
      <c r="ET49" s="62"/>
      <c r="EU49" s="62"/>
      <c r="EV49" s="62"/>
      <c r="EW49" s="62"/>
      <c r="EX49" s="62"/>
      <c r="EY49" s="62"/>
      <c r="EZ49" s="62"/>
      <c r="FA49" s="62"/>
      <c r="FB49" s="62"/>
      <c r="FC49" s="62"/>
      <c r="FD49" s="62"/>
      <c r="FE49" s="62"/>
      <c r="FF49" s="62"/>
      <c r="FG49" s="62"/>
      <c r="FH49" s="62"/>
      <c r="FI49" s="62"/>
      <c r="FJ49" s="62"/>
      <c r="FK49" s="62"/>
      <c r="FL49" s="62"/>
      <c r="FM49" s="62"/>
      <c r="FN49" s="62"/>
      <c r="FO49" s="62"/>
      <c r="FP49" s="62"/>
      <c r="FQ49" s="62"/>
      <c r="FR49" s="62"/>
      <c r="FS49" s="62"/>
      <c r="FT49" s="62"/>
      <c r="FU49" s="62"/>
      <c r="FV49" s="62"/>
      <c r="FW49" s="62"/>
      <c r="FX49" s="62"/>
      <c r="FY49" s="62"/>
      <c r="FZ49" s="62"/>
      <c r="GA49" s="62"/>
      <c r="GB49" s="62"/>
      <c r="GC49" s="62"/>
      <c r="GD49" s="62"/>
      <c r="GE49" s="62"/>
      <c r="GF49" s="62"/>
      <c r="GG49" s="62"/>
      <c r="GH49" s="62"/>
      <c r="GI49" s="62"/>
      <c r="GJ49" s="62"/>
      <c r="GK49" s="62"/>
      <c r="GL49" s="62"/>
      <c r="GM49" s="62"/>
      <c r="GN49" s="62"/>
      <c r="GO49" s="62"/>
      <c r="GP49" s="62"/>
      <c r="GQ49" s="62"/>
      <c r="GR49" s="62"/>
      <c r="GS49" s="62"/>
      <c r="GT49" s="62"/>
      <c r="GU49" s="62"/>
    </row>
    <row r="50" spans="1:203" x14ac:dyDescent="0.25">
      <c r="A50" s="8" t="s">
        <v>202</v>
      </c>
      <c r="B50" s="176" t="str">
        <f>DATA!J54</f>
        <v/>
      </c>
      <c r="C50" s="140">
        <f>DATA!K54</f>
        <v>0</v>
      </c>
      <c r="D50" s="62"/>
      <c r="E50" s="62"/>
      <c r="F50" s="62"/>
      <c r="G50" s="62"/>
      <c r="H50" s="62"/>
      <c r="I50" s="62"/>
      <c r="J50" s="62"/>
      <c r="K50" s="62"/>
      <c r="L50" s="62"/>
      <c r="M50" s="62"/>
      <c r="N50" s="62"/>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J50" s="62"/>
      <c r="BK50" s="62"/>
      <c r="BL50" s="62"/>
      <c r="BM50" s="62"/>
      <c r="BN50" s="62"/>
      <c r="BO50" s="62"/>
      <c r="BP50" s="62"/>
      <c r="BQ50" s="62"/>
      <c r="BR50" s="62"/>
      <c r="BS50" s="62"/>
      <c r="BT50" s="62"/>
      <c r="BU50" s="62"/>
      <c r="BV50" s="62"/>
      <c r="BW50" s="62"/>
      <c r="BX50" s="62"/>
      <c r="BY50" s="62"/>
      <c r="BZ50" s="62"/>
      <c r="CA50" s="62"/>
      <c r="CB50" s="62"/>
      <c r="CC50" s="62"/>
      <c r="CD50" s="62"/>
      <c r="CE50" s="62"/>
      <c r="CF50" s="62"/>
      <c r="CG50" s="62"/>
      <c r="CH50" s="62"/>
      <c r="CI50" s="62"/>
      <c r="CJ50" s="62"/>
      <c r="CK50" s="62"/>
      <c r="CL50" s="62"/>
      <c r="CM50" s="62"/>
      <c r="CN50" s="62"/>
      <c r="CO50" s="62"/>
      <c r="CP50" s="62"/>
      <c r="CQ50" s="62"/>
      <c r="CR50" s="62"/>
      <c r="CS50" s="62"/>
      <c r="CT50" s="62"/>
      <c r="CU50" s="62"/>
      <c r="CV50" s="62"/>
      <c r="CW50" s="62"/>
      <c r="CX50" s="62"/>
      <c r="CY50" s="62"/>
      <c r="CZ50" s="62"/>
      <c r="DA50" s="62"/>
      <c r="DB50" s="62"/>
      <c r="DC50" s="62"/>
      <c r="DD50" s="62"/>
      <c r="DE50" s="62"/>
      <c r="DF50" s="62"/>
      <c r="DG50" s="62"/>
      <c r="DH50" s="62"/>
      <c r="DI50" s="62"/>
      <c r="DJ50" s="62"/>
      <c r="DK50" s="62"/>
      <c r="DL50" s="62"/>
      <c r="DM50" s="62"/>
      <c r="DN50" s="62"/>
      <c r="DO50" s="62"/>
      <c r="DP50" s="62"/>
      <c r="DQ50" s="62"/>
      <c r="DR50" s="62"/>
      <c r="DS50" s="62"/>
      <c r="DT50" s="62"/>
      <c r="DU50" s="62"/>
      <c r="DV50" s="62"/>
      <c r="DW50" s="62"/>
      <c r="DX50" s="62"/>
      <c r="DY50" s="62"/>
      <c r="DZ50" s="62"/>
      <c r="EA50" s="62"/>
      <c r="EB50" s="62"/>
      <c r="EC50" s="62"/>
      <c r="ED50" s="62"/>
      <c r="EE50" s="62"/>
      <c r="EF50" s="62"/>
      <c r="EG50" s="62"/>
      <c r="EH50" s="62"/>
      <c r="EI50" s="62"/>
      <c r="EJ50" s="62"/>
      <c r="EK50" s="62"/>
      <c r="EL50" s="62"/>
      <c r="EM50" s="62"/>
      <c r="EN50" s="62"/>
      <c r="EO50" s="62"/>
      <c r="EP50" s="62"/>
      <c r="EQ50" s="62"/>
      <c r="ER50" s="62"/>
      <c r="ES50" s="62"/>
      <c r="ET50" s="62"/>
      <c r="EU50" s="62"/>
      <c r="EV50" s="62"/>
      <c r="EW50" s="62"/>
      <c r="EX50" s="62"/>
      <c r="EY50" s="62"/>
      <c r="EZ50" s="62"/>
      <c r="FA50" s="62"/>
      <c r="FB50" s="62"/>
      <c r="FC50" s="62"/>
      <c r="FD50" s="62"/>
      <c r="FE50" s="62"/>
      <c r="FF50" s="62"/>
      <c r="FG50" s="62"/>
      <c r="FH50" s="62"/>
      <c r="FI50" s="62"/>
      <c r="FJ50" s="62"/>
      <c r="FK50" s="62"/>
      <c r="FL50" s="62"/>
      <c r="FM50" s="62"/>
      <c r="FN50" s="62"/>
      <c r="FO50" s="62"/>
      <c r="FP50" s="62"/>
      <c r="FQ50" s="62"/>
      <c r="FR50" s="62"/>
      <c r="FS50" s="62"/>
      <c r="FT50" s="62"/>
      <c r="FU50" s="62"/>
      <c r="FV50" s="62"/>
      <c r="FW50" s="62"/>
      <c r="FX50" s="62"/>
      <c r="FY50" s="62"/>
      <c r="FZ50" s="62"/>
      <c r="GA50" s="62"/>
      <c r="GB50" s="62"/>
      <c r="GC50" s="62"/>
      <c r="GD50" s="62"/>
      <c r="GE50" s="62"/>
      <c r="GF50" s="62"/>
      <c r="GG50" s="62"/>
      <c r="GH50" s="62"/>
      <c r="GI50" s="62"/>
      <c r="GJ50" s="62"/>
      <c r="GK50" s="62"/>
      <c r="GL50" s="62"/>
      <c r="GM50" s="62"/>
      <c r="GN50" s="62"/>
      <c r="GO50" s="62"/>
      <c r="GP50" s="62"/>
      <c r="GQ50" s="62"/>
      <c r="GR50" s="62"/>
      <c r="GS50" s="62"/>
      <c r="GT50" s="62"/>
      <c r="GU50" s="62"/>
    </row>
    <row r="51" spans="1:203" x14ac:dyDescent="0.25">
      <c r="A51" s="8" t="s">
        <v>68</v>
      </c>
      <c r="B51" s="176" t="str">
        <f>DATA!J55</f>
        <v/>
      </c>
      <c r="C51" s="140">
        <f>DATA!K55</f>
        <v>0</v>
      </c>
      <c r="D51" s="62"/>
      <c r="E51" s="62"/>
      <c r="F51" s="62"/>
      <c r="G51" s="62"/>
      <c r="H51" s="62"/>
      <c r="I51" s="62"/>
      <c r="J51" s="62"/>
      <c r="K51" s="62"/>
      <c r="L51" s="62"/>
      <c r="M51" s="62"/>
      <c r="N51" s="62"/>
      <c r="O51" s="62"/>
      <c r="P51" s="62"/>
      <c r="Q51" s="62"/>
      <c r="R51" s="62"/>
      <c r="S51" s="62"/>
      <c r="T51" s="62"/>
      <c r="U51" s="62"/>
      <c r="V51" s="62"/>
      <c r="W51" s="62"/>
      <c r="X51" s="62"/>
      <c r="Y51" s="62"/>
      <c r="Z51" s="62"/>
      <c r="AA51" s="62"/>
      <c r="AB51" s="62"/>
      <c r="AC51" s="62"/>
      <c r="AD51" s="62"/>
      <c r="AE51" s="62"/>
      <c r="AF51" s="62"/>
      <c r="AG51" s="62"/>
      <c r="AH51" s="62"/>
      <c r="AI51" s="62"/>
      <c r="AJ51" s="62"/>
      <c r="AK51" s="62"/>
      <c r="AL51" s="62"/>
      <c r="AM51" s="62"/>
      <c r="AN51" s="62"/>
      <c r="AO51" s="62"/>
      <c r="AP51" s="62"/>
      <c r="AQ51" s="62"/>
      <c r="AR51" s="62"/>
      <c r="AS51" s="62"/>
      <c r="AT51" s="62"/>
      <c r="AU51" s="62"/>
      <c r="AV51" s="62"/>
      <c r="AW51" s="62"/>
      <c r="AX51" s="62"/>
      <c r="AY51" s="62"/>
      <c r="AZ51" s="62"/>
      <c r="BA51" s="62"/>
      <c r="BB51" s="62"/>
      <c r="BC51" s="62"/>
      <c r="BD51" s="62"/>
      <c r="BE51" s="62"/>
      <c r="BF51" s="62"/>
      <c r="BG51" s="62"/>
      <c r="BH51" s="62"/>
      <c r="BI51" s="62"/>
      <c r="BJ51" s="62"/>
      <c r="BK51" s="62"/>
      <c r="BL51" s="62"/>
      <c r="BM51" s="62"/>
      <c r="BN51" s="62"/>
      <c r="BO51" s="62"/>
      <c r="BP51" s="62"/>
      <c r="BQ51" s="62"/>
      <c r="BR51" s="62"/>
      <c r="BS51" s="62"/>
      <c r="BT51" s="62"/>
      <c r="BU51" s="62"/>
      <c r="BV51" s="62"/>
      <c r="BW51" s="62"/>
      <c r="BX51" s="62"/>
      <c r="BY51" s="62"/>
      <c r="BZ51" s="62"/>
      <c r="CA51" s="62"/>
      <c r="CB51" s="62"/>
      <c r="CC51" s="62"/>
      <c r="CD51" s="62"/>
      <c r="CE51" s="62"/>
      <c r="CF51" s="62"/>
      <c r="CG51" s="62"/>
      <c r="CH51" s="62"/>
      <c r="CI51" s="62"/>
      <c r="CJ51" s="62"/>
      <c r="CK51" s="62"/>
      <c r="CL51" s="62"/>
      <c r="CM51" s="62"/>
      <c r="CN51" s="62"/>
      <c r="CO51" s="62"/>
      <c r="CP51" s="62"/>
      <c r="CQ51" s="62"/>
      <c r="CR51" s="62"/>
      <c r="CS51" s="62"/>
      <c r="CT51" s="62"/>
      <c r="CU51" s="62"/>
      <c r="CV51" s="62"/>
      <c r="CW51" s="62"/>
      <c r="CX51" s="62"/>
      <c r="CY51" s="62"/>
      <c r="CZ51" s="62"/>
      <c r="DA51" s="62"/>
      <c r="DB51" s="62"/>
      <c r="DC51" s="62"/>
      <c r="DD51" s="62"/>
      <c r="DE51" s="62"/>
      <c r="DF51" s="62"/>
      <c r="DG51" s="62"/>
      <c r="DH51" s="62"/>
      <c r="DI51" s="62"/>
      <c r="DJ51" s="62"/>
      <c r="DK51" s="62"/>
      <c r="DL51" s="62"/>
      <c r="DM51" s="62"/>
      <c r="DN51" s="62"/>
      <c r="DO51" s="62"/>
      <c r="DP51" s="62"/>
      <c r="DQ51" s="62"/>
      <c r="DR51" s="62"/>
      <c r="DS51" s="62"/>
      <c r="DT51" s="62"/>
      <c r="DU51" s="62"/>
      <c r="DV51" s="62"/>
      <c r="DW51" s="62"/>
      <c r="DX51" s="62"/>
      <c r="DY51" s="62"/>
      <c r="DZ51" s="62"/>
      <c r="EA51" s="62"/>
      <c r="EB51" s="62"/>
      <c r="EC51" s="62"/>
      <c r="ED51" s="62"/>
      <c r="EE51" s="62"/>
      <c r="EF51" s="62"/>
      <c r="EG51" s="62"/>
      <c r="EH51" s="62"/>
      <c r="EI51" s="62"/>
      <c r="EJ51" s="62"/>
      <c r="EK51" s="62"/>
      <c r="EL51" s="62"/>
      <c r="EM51" s="62"/>
      <c r="EN51" s="62"/>
      <c r="EO51" s="62"/>
      <c r="EP51" s="62"/>
      <c r="EQ51" s="62"/>
      <c r="ER51" s="62"/>
      <c r="ES51" s="62"/>
      <c r="ET51" s="62"/>
      <c r="EU51" s="62"/>
      <c r="EV51" s="62"/>
      <c r="EW51" s="62"/>
      <c r="EX51" s="62"/>
      <c r="EY51" s="62"/>
      <c r="EZ51" s="62"/>
      <c r="FA51" s="62"/>
      <c r="FB51" s="62"/>
      <c r="FC51" s="62"/>
      <c r="FD51" s="62"/>
      <c r="FE51" s="62"/>
      <c r="FF51" s="62"/>
      <c r="FG51" s="62"/>
      <c r="FH51" s="62"/>
      <c r="FI51" s="62"/>
      <c r="FJ51" s="62"/>
      <c r="FK51" s="62"/>
      <c r="FL51" s="62"/>
      <c r="FM51" s="62"/>
      <c r="FN51" s="62"/>
      <c r="FO51" s="62"/>
      <c r="FP51" s="62"/>
      <c r="FQ51" s="62"/>
      <c r="FR51" s="62"/>
      <c r="FS51" s="62"/>
      <c r="FT51" s="62"/>
      <c r="FU51" s="62"/>
      <c r="FV51" s="62"/>
      <c r="FW51" s="62"/>
      <c r="FX51" s="62"/>
      <c r="FY51" s="62"/>
      <c r="FZ51" s="62"/>
      <c r="GA51" s="62"/>
      <c r="GB51" s="62"/>
      <c r="GC51" s="62"/>
      <c r="GD51" s="62"/>
      <c r="GE51" s="62"/>
      <c r="GF51" s="62"/>
      <c r="GG51" s="62"/>
      <c r="GH51" s="62"/>
      <c r="GI51" s="62"/>
      <c r="GJ51" s="62"/>
      <c r="GK51" s="62"/>
      <c r="GL51" s="62"/>
      <c r="GM51" s="62"/>
      <c r="GN51" s="62"/>
      <c r="GO51" s="62"/>
      <c r="GP51" s="62"/>
      <c r="GQ51" s="62"/>
      <c r="GR51" s="62"/>
      <c r="GS51" s="62"/>
      <c r="GT51" s="62"/>
      <c r="GU51" s="62"/>
    </row>
    <row r="52" spans="1:203" x14ac:dyDescent="0.25">
      <c r="A52" s="8" t="s">
        <v>206</v>
      </c>
      <c r="B52" s="176" t="str">
        <f>DATA!J56</f>
        <v/>
      </c>
      <c r="C52" s="140">
        <f>DATA!K56</f>
        <v>0</v>
      </c>
      <c r="D52" s="62"/>
      <c r="E52" s="62"/>
      <c r="F52" s="62"/>
      <c r="G52" s="62"/>
      <c r="H52" s="62"/>
      <c r="I52" s="62"/>
      <c r="J52" s="62"/>
      <c r="K52" s="62"/>
      <c r="L52" s="62"/>
      <c r="M52" s="62"/>
      <c r="N52" s="62"/>
      <c r="O52" s="62"/>
      <c r="P52" s="62"/>
      <c r="Q52" s="62"/>
      <c r="R52" s="62"/>
      <c r="S52" s="62"/>
      <c r="T52" s="62"/>
      <c r="U52" s="62"/>
      <c r="V52" s="62"/>
      <c r="W52" s="62"/>
      <c r="X52" s="62"/>
      <c r="Y52" s="62"/>
      <c r="Z52" s="62"/>
      <c r="AA52" s="62"/>
      <c r="AB52" s="62"/>
      <c r="AC52" s="62"/>
      <c r="AD52" s="62"/>
      <c r="AE52" s="62"/>
      <c r="AF52" s="62"/>
      <c r="AG52" s="62"/>
      <c r="AH52" s="62"/>
      <c r="AI52" s="62"/>
      <c r="AJ52" s="62"/>
      <c r="AK52" s="62"/>
      <c r="AL52" s="62"/>
      <c r="AM52" s="62"/>
      <c r="AN52" s="62"/>
      <c r="AO52" s="62"/>
      <c r="AP52" s="62"/>
      <c r="AQ52" s="62"/>
      <c r="AR52" s="62"/>
      <c r="AS52" s="62"/>
      <c r="AT52" s="62"/>
      <c r="AU52" s="62"/>
      <c r="AV52" s="62"/>
      <c r="AW52" s="62"/>
      <c r="AX52" s="62"/>
      <c r="AY52" s="62"/>
      <c r="AZ52" s="62"/>
      <c r="BA52" s="62"/>
      <c r="BB52" s="62"/>
      <c r="BC52" s="62"/>
      <c r="BD52" s="62"/>
      <c r="BE52" s="62"/>
      <c r="BF52" s="62"/>
      <c r="BG52" s="62"/>
      <c r="BH52" s="62"/>
      <c r="BI52" s="62"/>
      <c r="BJ52" s="62"/>
      <c r="BK52" s="62"/>
      <c r="BL52" s="62"/>
      <c r="BM52" s="62"/>
      <c r="BN52" s="62"/>
      <c r="BO52" s="62"/>
      <c r="BP52" s="62"/>
      <c r="BQ52" s="62"/>
      <c r="BR52" s="62"/>
      <c r="BS52" s="62"/>
      <c r="BT52" s="62"/>
      <c r="BU52" s="62"/>
      <c r="BV52" s="62"/>
      <c r="BW52" s="62"/>
      <c r="BX52" s="62"/>
      <c r="BY52" s="62"/>
      <c r="BZ52" s="62"/>
      <c r="CA52" s="62"/>
      <c r="CB52" s="62"/>
      <c r="CC52" s="62"/>
      <c r="CD52" s="62"/>
      <c r="CE52" s="62"/>
      <c r="CF52" s="62"/>
      <c r="CG52" s="62"/>
      <c r="CH52" s="62"/>
      <c r="CI52" s="62"/>
      <c r="CJ52" s="62"/>
      <c r="CK52" s="62"/>
      <c r="CL52" s="62"/>
      <c r="CM52" s="62"/>
      <c r="CN52" s="62"/>
      <c r="CO52" s="62"/>
      <c r="CP52" s="62"/>
      <c r="CQ52" s="62"/>
      <c r="CR52" s="62"/>
      <c r="CS52" s="62"/>
      <c r="CT52" s="62"/>
      <c r="CU52" s="62"/>
      <c r="CV52" s="62"/>
      <c r="CW52" s="62"/>
      <c r="CX52" s="62"/>
      <c r="CY52" s="62"/>
      <c r="CZ52" s="62"/>
      <c r="DA52" s="62"/>
      <c r="DB52" s="62"/>
      <c r="DC52" s="62"/>
      <c r="DD52" s="62"/>
      <c r="DE52" s="62"/>
      <c r="DF52" s="62"/>
      <c r="DG52" s="62"/>
      <c r="DH52" s="62"/>
      <c r="DI52" s="62"/>
      <c r="DJ52" s="62"/>
      <c r="DK52" s="62"/>
      <c r="DL52" s="62"/>
      <c r="DM52" s="62"/>
      <c r="DN52" s="62"/>
      <c r="DO52" s="62"/>
      <c r="DP52" s="62"/>
      <c r="DQ52" s="62"/>
      <c r="DR52" s="62"/>
      <c r="DS52" s="62"/>
      <c r="DT52" s="62"/>
      <c r="DU52" s="62"/>
      <c r="DV52" s="62"/>
      <c r="DW52" s="62"/>
      <c r="DX52" s="62"/>
      <c r="DY52" s="62"/>
      <c r="DZ52" s="62"/>
      <c r="EA52" s="62"/>
      <c r="EB52" s="62"/>
      <c r="EC52" s="62"/>
      <c r="ED52" s="62"/>
      <c r="EE52" s="62"/>
      <c r="EF52" s="62"/>
      <c r="EG52" s="62"/>
      <c r="EH52" s="62"/>
      <c r="EI52" s="62"/>
      <c r="EJ52" s="62"/>
      <c r="EK52" s="62"/>
      <c r="EL52" s="62"/>
      <c r="EM52" s="62"/>
      <c r="EN52" s="62"/>
      <c r="EO52" s="62"/>
      <c r="EP52" s="62"/>
      <c r="EQ52" s="62"/>
      <c r="ER52" s="62"/>
      <c r="ES52" s="62"/>
      <c r="ET52" s="62"/>
      <c r="EU52" s="62"/>
      <c r="EV52" s="62"/>
      <c r="EW52" s="62"/>
      <c r="EX52" s="62"/>
      <c r="EY52" s="62"/>
      <c r="EZ52" s="62"/>
      <c r="FA52" s="62"/>
      <c r="FB52" s="62"/>
      <c r="FC52" s="62"/>
      <c r="FD52" s="62"/>
      <c r="FE52" s="62"/>
      <c r="FF52" s="62"/>
      <c r="FG52" s="62"/>
      <c r="FH52" s="62"/>
      <c r="FI52" s="62"/>
      <c r="FJ52" s="62"/>
      <c r="FK52" s="62"/>
      <c r="FL52" s="62"/>
      <c r="FM52" s="62"/>
      <c r="FN52" s="62"/>
      <c r="FO52" s="62"/>
      <c r="FP52" s="62"/>
      <c r="FQ52" s="62"/>
      <c r="FR52" s="62"/>
      <c r="FS52" s="62"/>
      <c r="FT52" s="62"/>
      <c r="FU52" s="62"/>
      <c r="FV52" s="62"/>
      <c r="FW52" s="62"/>
      <c r="FX52" s="62"/>
      <c r="FY52" s="62"/>
      <c r="FZ52" s="62"/>
      <c r="GA52" s="62"/>
      <c r="GB52" s="62"/>
      <c r="GC52" s="62"/>
      <c r="GD52" s="62"/>
      <c r="GE52" s="62"/>
      <c r="GF52" s="62"/>
      <c r="GG52" s="62"/>
      <c r="GH52" s="62"/>
      <c r="GI52" s="62"/>
      <c r="GJ52" s="62"/>
      <c r="GK52" s="62"/>
      <c r="GL52" s="62"/>
      <c r="GM52" s="62"/>
      <c r="GN52" s="62"/>
      <c r="GO52" s="62"/>
      <c r="GP52" s="62"/>
      <c r="GQ52" s="62"/>
      <c r="GR52" s="62"/>
      <c r="GS52" s="62"/>
      <c r="GT52" s="62"/>
      <c r="GU52" s="62"/>
    </row>
    <row r="53" spans="1:203" x14ac:dyDescent="0.25">
      <c r="A53" s="8" t="s">
        <v>69</v>
      </c>
      <c r="B53" s="176" t="str">
        <f>DATA!J57</f>
        <v/>
      </c>
      <c r="C53" s="140">
        <f>DATA!K57</f>
        <v>0</v>
      </c>
      <c r="D53" s="62"/>
      <c r="E53" s="62"/>
      <c r="F53" s="62"/>
      <c r="G53" s="62"/>
      <c r="H53" s="62"/>
      <c r="I53" s="62"/>
      <c r="J53" s="62"/>
      <c r="K53" s="62"/>
      <c r="L53" s="62"/>
      <c r="M53" s="62"/>
      <c r="N53" s="62"/>
      <c r="O53" s="62"/>
      <c r="P53" s="62"/>
      <c r="Q53" s="62"/>
      <c r="R53" s="62"/>
      <c r="S53" s="62"/>
      <c r="T53" s="62"/>
      <c r="U53" s="62"/>
      <c r="V53" s="62"/>
      <c r="W53" s="62"/>
      <c r="X53" s="62"/>
      <c r="Y53" s="62"/>
      <c r="Z53" s="62"/>
      <c r="AA53" s="62"/>
      <c r="AB53" s="62"/>
      <c r="AC53" s="62"/>
      <c r="AD53" s="62"/>
      <c r="AE53" s="62"/>
      <c r="AF53" s="62"/>
      <c r="AG53" s="62"/>
      <c r="AH53" s="62"/>
      <c r="AI53" s="62"/>
      <c r="AJ53" s="62"/>
      <c r="AK53" s="62"/>
      <c r="AL53" s="62"/>
      <c r="AM53" s="62"/>
      <c r="AN53" s="62"/>
      <c r="AO53" s="62"/>
      <c r="AP53" s="62"/>
      <c r="AQ53" s="62"/>
      <c r="AR53" s="62"/>
      <c r="AS53" s="62"/>
      <c r="AT53" s="62"/>
      <c r="AU53" s="62"/>
      <c r="AV53" s="62"/>
      <c r="AW53" s="62"/>
      <c r="AX53" s="62"/>
      <c r="AY53" s="62"/>
      <c r="AZ53" s="62"/>
      <c r="BA53" s="62"/>
      <c r="BB53" s="62"/>
      <c r="BC53" s="62"/>
      <c r="BD53" s="62"/>
      <c r="BE53" s="62"/>
      <c r="BF53" s="62"/>
      <c r="BG53" s="62"/>
      <c r="BH53" s="62"/>
      <c r="BI53" s="62"/>
      <c r="BJ53" s="62"/>
      <c r="BK53" s="62"/>
      <c r="BL53" s="62"/>
      <c r="BM53" s="62"/>
      <c r="BN53" s="62"/>
      <c r="BO53" s="62"/>
      <c r="BP53" s="62"/>
      <c r="BQ53" s="62"/>
      <c r="BR53" s="62"/>
      <c r="BS53" s="62"/>
      <c r="BT53" s="62"/>
      <c r="BU53" s="62"/>
      <c r="BV53" s="62"/>
      <c r="BW53" s="62"/>
      <c r="BX53" s="62"/>
      <c r="BY53" s="62"/>
      <c r="BZ53" s="62"/>
      <c r="CA53" s="62"/>
      <c r="CB53" s="62"/>
      <c r="CC53" s="62"/>
      <c r="CD53" s="62"/>
      <c r="CE53" s="62"/>
      <c r="CF53" s="62"/>
      <c r="CG53" s="62"/>
      <c r="CH53" s="62"/>
      <c r="CI53" s="62"/>
      <c r="CJ53" s="62"/>
      <c r="CK53" s="62"/>
      <c r="CL53" s="62"/>
      <c r="CM53" s="62"/>
      <c r="CN53" s="62"/>
      <c r="CO53" s="62"/>
      <c r="CP53" s="62"/>
      <c r="CQ53" s="62"/>
      <c r="CR53" s="62"/>
      <c r="CS53" s="62"/>
      <c r="CT53" s="62"/>
      <c r="CU53" s="62"/>
      <c r="CV53" s="62"/>
      <c r="CW53" s="62"/>
      <c r="CX53" s="62"/>
      <c r="CY53" s="62"/>
      <c r="CZ53" s="62"/>
      <c r="DA53" s="62"/>
      <c r="DB53" s="62"/>
      <c r="DC53" s="62"/>
      <c r="DD53" s="62"/>
      <c r="DE53" s="62"/>
      <c r="DF53" s="62"/>
      <c r="DG53" s="62"/>
      <c r="DH53" s="62"/>
      <c r="DI53" s="62"/>
      <c r="DJ53" s="62"/>
      <c r="DK53" s="62"/>
      <c r="DL53" s="62"/>
      <c r="DM53" s="62"/>
      <c r="DN53" s="62"/>
      <c r="DO53" s="62"/>
      <c r="DP53" s="62"/>
      <c r="DQ53" s="62"/>
      <c r="DR53" s="62"/>
      <c r="DS53" s="62"/>
      <c r="DT53" s="62"/>
      <c r="DU53" s="62"/>
      <c r="DV53" s="62"/>
      <c r="DW53" s="62"/>
      <c r="DX53" s="62"/>
      <c r="DY53" s="62"/>
      <c r="DZ53" s="62"/>
      <c r="EA53" s="62"/>
      <c r="EB53" s="62"/>
      <c r="EC53" s="62"/>
      <c r="ED53" s="62"/>
      <c r="EE53" s="62"/>
      <c r="EF53" s="62"/>
      <c r="EG53" s="62"/>
      <c r="EH53" s="62"/>
      <c r="EI53" s="62"/>
      <c r="EJ53" s="62"/>
      <c r="EK53" s="62"/>
      <c r="EL53" s="62"/>
      <c r="EM53" s="62"/>
      <c r="EN53" s="62"/>
      <c r="EO53" s="62"/>
      <c r="EP53" s="62"/>
      <c r="EQ53" s="62"/>
      <c r="ER53" s="62"/>
      <c r="ES53" s="62"/>
      <c r="ET53" s="62"/>
      <c r="EU53" s="62"/>
      <c r="EV53" s="62"/>
      <c r="EW53" s="62"/>
      <c r="EX53" s="62"/>
      <c r="EY53" s="62"/>
      <c r="EZ53" s="62"/>
      <c r="FA53" s="62"/>
      <c r="FB53" s="62"/>
      <c r="FC53" s="62"/>
      <c r="FD53" s="62"/>
      <c r="FE53" s="62"/>
      <c r="FF53" s="62"/>
      <c r="FG53" s="62"/>
      <c r="FH53" s="62"/>
      <c r="FI53" s="62"/>
      <c r="FJ53" s="62"/>
      <c r="FK53" s="62"/>
      <c r="FL53" s="62"/>
      <c r="FM53" s="62"/>
      <c r="FN53" s="62"/>
      <c r="FO53" s="62"/>
      <c r="FP53" s="62"/>
      <c r="FQ53" s="62"/>
      <c r="FR53" s="62"/>
      <c r="FS53" s="62"/>
      <c r="FT53" s="62"/>
      <c r="FU53" s="62"/>
      <c r="FV53" s="62"/>
      <c r="FW53" s="62"/>
      <c r="FX53" s="62"/>
      <c r="FY53" s="62"/>
      <c r="FZ53" s="62"/>
      <c r="GA53" s="62"/>
      <c r="GB53" s="62"/>
      <c r="GC53" s="62"/>
      <c r="GD53" s="62"/>
      <c r="GE53" s="62"/>
      <c r="GF53" s="62"/>
      <c r="GG53" s="62"/>
      <c r="GH53" s="62"/>
      <c r="GI53" s="62"/>
      <c r="GJ53" s="62"/>
      <c r="GK53" s="62"/>
      <c r="GL53" s="62"/>
      <c r="GM53" s="62"/>
      <c r="GN53" s="62"/>
      <c r="GO53" s="62"/>
      <c r="GP53" s="62"/>
      <c r="GQ53" s="62"/>
      <c r="GR53" s="62"/>
      <c r="GS53" s="62"/>
      <c r="GT53" s="62"/>
      <c r="GU53" s="62"/>
    </row>
    <row r="54" spans="1:203" x14ac:dyDescent="0.25">
      <c r="A54" s="8" t="s">
        <v>127</v>
      </c>
      <c r="B54" s="176" t="str">
        <f>DATA!J58</f>
        <v/>
      </c>
      <c r="C54" s="140">
        <f>DATA!K58</f>
        <v>0</v>
      </c>
      <c r="D54" s="62"/>
      <c r="E54" s="62"/>
      <c r="F54" s="62"/>
      <c r="G54" s="62"/>
      <c r="H54" s="62"/>
      <c r="I54" s="62"/>
      <c r="J54" s="62"/>
      <c r="K54" s="62"/>
      <c r="L54" s="62"/>
      <c r="M54" s="62"/>
      <c r="N54" s="62"/>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c r="BM54" s="62"/>
      <c r="BN54" s="62"/>
      <c r="BO54" s="62"/>
      <c r="BP54" s="62"/>
      <c r="BQ54" s="62"/>
      <c r="BR54" s="62"/>
      <c r="BS54" s="62"/>
      <c r="BT54" s="62"/>
      <c r="BU54" s="62"/>
      <c r="BV54" s="62"/>
      <c r="BW54" s="62"/>
      <c r="BX54" s="62"/>
      <c r="BY54" s="62"/>
      <c r="BZ54" s="62"/>
      <c r="CA54" s="62"/>
      <c r="CB54" s="62"/>
      <c r="CC54" s="62"/>
      <c r="CD54" s="62"/>
      <c r="CE54" s="62"/>
      <c r="CF54" s="62"/>
      <c r="CG54" s="62"/>
      <c r="CH54" s="62"/>
      <c r="CI54" s="62"/>
      <c r="CJ54" s="62"/>
      <c r="CK54" s="62"/>
      <c r="CL54" s="62"/>
      <c r="CM54" s="62"/>
      <c r="CN54" s="62"/>
      <c r="CO54" s="62"/>
      <c r="CP54" s="62"/>
      <c r="CQ54" s="62"/>
      <c r="CR54" s="62"/>
      <c r="CS54" s="62"/>
      <c r="CT54" s="62"/>
      <c r="CU54" s="62"/>
      <c r="CV54" s="62"/>
      <c r="CW54" s="62"/>
      <c r="CX54" s="62"/>
      <c r="CY54" s="62"/>
      <c r="CZ54" s="62"/>
      <c r="DA54" s="62"/>
      <c r="DB54" s="62"/>
      <c r="DC54" s="62"/>
      <c r="DD54" s="62"/>
      <c r="DE54" s="62"/>
      <c r="DF54" s="62"/>
      <c r="DG54" s="62"/>
      <c r="DH54" s="62"/>
      <c r="DI54" s="62"/>
      <c r="DJ54" s="62"/>
      <c r="DK54" s="62"/>
      <c r="DL54" s="62"/>
      <c r="DM54" s="62"/>
      <c r="DN54" s="62"/>
      <c r="DO54" s="62"/>
      <c r="DP54" s="62"/>
      <c r="DQ54" s="62"/>
      <c r="DR54" s="62"/>
      <c r="DS54" s="62"/>
      <c r="DT54" s="62"/>
      <c r="DU54" s="62"/>
      <c r="DV54" s="62"/>
      <c r="DW54" s="62"/>
      <c r="DX54" s="62"/>
      <c r="DY54" s="62"/>
      <c r="DZ54" s="62"/>
      <c r="EA54" s="62"/>
      <c r="EB54" s="62"/>
      <c r="EC54" s="62"/>
      <c r="ED54" s="62"/>
      <c r="EE54" s="62"/>
      <c r="EF54" s="62"/>
      <c r="EG54" s="62"/>
      <c r="EH54" s="62"/>
      <c r="EI54" s="62"/>
      <c r="EJ54" s="62"/>
      <c r="EK54" s="62"/>
      <c r="EL54" s="62"/>
      <c r="EM54" s="62"/>
      <c r="EN54" s="62"/>
      <c r="EO54" s="62"/>
      <c r="EP54" s="62"/>
      <c r="EQ54" s="62"/>
      <c r="ER54" s="62"/>
      <c r="ES54" s="62"/>
      <c r="ET54" s="62"/>
      <c r="EU54" s="62"/>
      <c r="EV54" s="62"/>
      <c r="EW54" s="62"/>
      <c r="EX54" s="62"/>
      <c r="EY54" s="62"/>
      <c r="EZ54" s="62"/>
      <c r="FA54" s="62"/>
      <c r="FB54" s="62"/>
      <c r="FC54" s="62"/>
      <c r="FD54" s="62"/>
      <c r="FE54" s="62"/>
      <c r="FF54" s="62"/>
      <c r="FG54" s="62"/>
      <c r="FH54" s="62"/>
      <c r="FI54" s="62"/>
      <c r="FJ54" s="62"/>
      <c r="FK54" s="62"/>
      <c r="FL54" s="62"/>
      <c r="FM54" s="62"/>
      <c r="FN54" s="62"/>
      <c r="FO54" s="62"/>
      <c r="FP54" s="62"/>
      <c r="FQ54" s="62"/>
      <c r="FR54" s="62"/>
      <c r="FS54" s="62"/>
      <c r="FT54" s="62"/>
      <c r="FU54" s="62"/>
      <c r="FV54" s="62"/>
      <c r="FW54" s="62"/>
      <c r="FX54" s="62"/>
      <c r="FY54" s="62"/>
      <c r="FZ54" s="62"/>
      <c r="GA54" s="62"/>
      <c r="GB54" s="62"/>
      <c r="GC54" s="62"/>
      <c r="GD54" s="62"/>
      <c r="GE54" s="62"/>
      <c r="GF54" s="62"/>
      <c r="GG54" s="62"/>
      <c r="GH54" s="62"/>
      <c r="GI54" s="62"/>
      <c r="GJ54" s="62"/>
      <c r="GK54" s="62"/>
      <c r="GL54" s="62"/>
      <c r="GM54" s="62"/>
      <c r="GN54" s="62"/>
      <c r="GO54" s="62"/>
      <c r="GP54" s="62"/>
      <c r="GQ54" s="62"/>
      <c r="GR54" s="62"/>
      <c r="GS54" s="62"/>
      <c r="GT54" s="62"/>
      <c r="GU54" s="62"/>
    </row>
    <row r="55" spans="1:203" x14ac:dyDescent="0.25">
      <c r="A55" s="154" t="s">
        <v>200</v>
      </c>
      <c r="B55" s="176" t="str">
        <f>DATA!J59</f>
        <v/>
      </c>
      <c r="C55" s="140">
        <f>DATA!K59</f>
        <v>0</v>
      </c>
      <c r="D55" s="62"/>
      <c r="E55" s="62"/>
      <c r="F55" s="62"/>
      <c r="G55" s="62"/>
      <c r="H55" s="62"/>
      <c r="I55" s="62"/>
      <c r="J55" s="62"/>
      <c r="K55" s="62"/>
      <c r="L55" s="62"/>
      <c r="M55" s="62"/>
      <c r="N55" s="62"/>
      <c r="O55" s="62"/>
      <c r="P55" s="62"/>
      <c r="Q55" s="62"/>
      <c r="R55" s="62"/>
      <c r="S55" s="62"/>
      <c r="T55" s="62"/>
      <c r="U55" s="62"/>
      <c r="V55" s="62"/>
      <c r="W55" s="62"/>
      <c r="X55" s="62"/>
      <c r="Y55" s="62"/>
      <c r="Z55" s="62"/>
      <c r="AA55" s="62"/>
      <c r="AB55" s="62"/>
      <c r="AC55" s="62"/>
      <c r="AD55" s="62"/>
      <c r="AE55" s="62"/>
      <c r="AF55" s="62"/>
      <c r="AG55" s="62"/>
      <c r="AH55" s="62"/>
      <c r="AI55" s="62"/>
      <c r="AJ55" s="62"/>
      <c r="AK55" s="62"/>
      <c r="AL55" s="62"/>
      <c r="AM55" s="62"/>
      <c r="AN55" s="62"/>
      <c r="AO55" s="62"/>
      <c r="AP55" s="62"/>
      <c r="AQ55" s="62"/>
      <c r="AR55" s="62"/>
      <c r="AS55" s="62"/>
      <c r="AT55" s="62"/>
      <c r="AU55" s="62"/>
      <c r="AV55" s="62"/>
      <c r="AW55" s="62"/>
      <c r="AX55" s="62"/>
      <c r="AY55" s="62"/>
      <c r="AZ55" s="62"/>
      <c r="BA55" s="62"/>
      <c r="BB55" s="62"/>
      <c r="BC55" s="62"/>
      <c r="BD55" s="62"/>
      <c r="BE55" s="62"/>
      <c r="BF55" s="62"/>
      <c r="BG55" s="62"/>
      <c r="BH55" s="62"/>
      <c r="BI55" s="62"/>
      <c r="BJ55" s="62"/>
      <c r="BK55" s="62"/>
      <c r="BL55" s="62"/>
      <c r="BM55" s="62"/>
      <c r="BN55" s="62"/>
      <c r="BO55" s="62"/>
      <c r="BP55" s="62"/>
      <c r="BQ55" s="62"/>
      <c r="BR55" s="62"/>
      <c r="BS55" s="62"/>
      <c r="BT55" s="62"/>
      <c r="BU55" s="62"/>
      <c r="BV55" s="62"/>
      <c r="BW55" s="62"/>
      <c r="BX55" s="62"/>
      <c r="BY55" s="62"/>
      <c r="BZ55" s="62"/>
      <c r="CA55" s="62"/>
      <c r="CB55" s="62"/>
      <c r="CC55" s="62"/>
      <c r="CD55" s="62"/>
      <c r="CE55" s="62"/>
      <c r="CF55" s="62"/>
      <c r="CG55" s="62"/>
      <c r="CH55" s="62"/>
      <c r="CI55" s="62"/>
      <c r="CJ55" s="62"/>
      <c r="CK55" s="62"/>
      <c r="CL55" s="62"/>
      <c r="CM55" s="62"/>
      <c r="CN55" s="62"/>
      <c r="CO55" s="62"/>
      <c r="CP55" s="62"/>
      <c r="CQ55" s="62"/>
      <c r="CR55" s="62"/>
      <c r="CS55" s="62"/>
      <c r="CT55" s="62"/>
      <c r="CU55" s="62"/>
      <c r="CV55" s="62"/>
      <c r="CW55" s="62"/>
      <c r="CX55" s="62"/>
      <c r="CY55" s="62"/>
      <c r="CZ55" s="62"/>
      <c r="DA55" s="62"/>
      <c r="DB55" s="62"/>
      <c r="DC55" s="62"/>
      <c r="DD55" s="62"/>
      <c r="DE55" s="62"/>
      <c r="DF55" s="62"/>
      <c r="DG55" s="62"/>
      <c r="DH55" s="62"/>
      <c r="DI55" s="62"/>
      <c r="DJ55" s="62"/>
      <c r="DK55" s="62"/>
      <c r="DL55" s="62"/>
      <c r="DM55" s="62"/>
      <c r="DN55" s="62"/>
      <c r="DO55" s="62"/>
      <c r="DP55" s="62"/>
      <c r="DQ55" s="62"/>
      <c r="DR55" s="62"/>
      <c r="DS55" s="62"/>
      <c r="DT55" s="62"/>
      <c r="DU55" s="62"/>
      <c r="DV55" s="62"/>
      <c r="DW55" s="62"/>
      <c r="DX55" s="62"/>
      <c r="DY55" s="62"/>
      <c r="DZ55" s="62"/>
      <c r="EA55" s="62"/>
      <c r="EB55" s="62"/>
      <c r="EC55" s="62"/>
      <c r="ED55" s="62"/>
      <c r="EE55" s="62"/>
      <c r="EF55" s="62"/>
      <c r="EG55" s="62"/>
      <c r="EH55" s="62"/>
      <c r="EI55" s="62"/>
      <c r="EJ55" s="62"/>
      <c r="EK55" s="62"/>
      <c r="EL55" s="62"/>
      <c r="EM55" s="62"/>
      <c r="EN55" s="62"/>
      <c r="EO55" s="62"/>
      <c r="EP55" s="62"/>
      <c r="EQ55" s="62"/>
      <c r="ER55" s="62"/>
      <c r="ES55" s="62"/>
      <c r="ET55" s="62"/>
      <c r="EU55" s="62"/>
      <c r="EV55" s="62"/>
      <c r="EW55" s="62"/>
      <c r="EX55" s="62"/>
      <c r="EY55" s="62"/>
      <c r="EZ55" s="62"/>
      <c r="FA55" s="62"/>
      <c r="FB55" s="62"/>
      <c r="FC55" s="62"/>
      <c r="FD55" s="62"/>
      <c r="FE55" s="62"/>
      <c r="FF55" s="62"/>
      <c r="FG55" s="62"/>
      <c r="FH55" s="62"/>
      <c r="FI55" s="62"/>
      <c r="FJ55" s="62"/>
      <c r="FK55" s="62"/>
      <c r="FL55" s="62"/>
      <c r="FM55" s="62"/>
      <c r="FN55" s="62"/>
      <c r="FO55" s="62"/>
      <c r="FP55" s="62"/>
      <c r="FQ55" s="62"/>
      <c r="FR55" s="62"/>
      <c r="FS55" s="62"/>
      <c r="FT55" s="62"/>
      <c r="FU55" s="62"/>
      <c r="FV55" s="62"/>
      <c r="FW55" s="62"/>
      <c r="FX55" s="62"/>
      <c r="FY55" s="62"/>
      <c r="FZ55" s="62"/>
      <c r="GA55" s="62"/>
      <c r="GB55" s="62"/>
      <c r="GC55" s="62"/>
      <c r="GD55" s="62"/>
      <c r="GE55" s="62"/>
      <c r="GF55" s="62"/>
      <c r="GG55" s="62"/>
      <c r="GH55" s="62"/>
      <c r="GI55" s="62"/>
      <c r="GJ55" s="62"/>
      <c r="GK55" s="62"/>
      <c r="GL55" s="62"/>
      <c r="GM55" s="62"/>
      <c r="GN55" s="62"/>
      <c r="GO55" s="62"/>
      <c r="GP55" s="62"/>
      <c r="GQ55" s="62"/>
      <c r="GR55" s="62"/>
      <c r="GS55" s="62"/>
      <c r="GT55" s="62"/>
      <c r="GU55" s="62"/>
    </row>
    <row r="56" spans="1:203" x14ac:dyDescent="0.25">
      <c r="A56" s="8" t="s">
        <v>77</v>
      </c>
      <c r="B56" s="176" t="str">
        <f>DATA!J60</f>
        <v/>
      </c>
      <c r="C56" s="140">
        <f>DATA!K60</f>
        <v>0</v>
      </c>
      <c r="D56" s="62"/>
      <c r="E56" s="62"/>
      <c r="F56" s="62"/>
      <c r="G56" s="62"/>
      <c r="H56" s="62"/>
      <c r="I56" s="62"/>
      <c r="J56" s="62"/>
      <c r="K56" s="62"/>
      <c r="L56" s="62"/>
      <c r="M56" s="62"/>
      <c r="N56" s="62"/>
      <c r="O56" s="62"/>
      <c r="P56" s="62"/>
      <c r="Q56" s="62"/>
      <c r="R56" s="62"/>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c r="BM56" s="62"/>
      <c r="BN56" s="62"/>
      <c r="BO56" s="62"/>
      <c r="BP56" s="62"/>
      <c r="BQ56" s="62"/>
      <c r="BR56" s="62"/>
      <c r="BS56" s="62"/>
      <c r="BT56" s="62"/>
      <c r="BU56" s="62"/>
      <c r="BV56" s="62"/>
      <c r="BW56" s="62"/>
      <c r="BX56" s="62"/>
      <c r="BY56" s="62"/>
      <c r="BZ56" s="62"/>
      <c r="CA56" s="62"/>
      <c r="CB56" s="62"/>
      <c r="CC56" s="62"/>
      <c r="CD56" s="62"/>
      <c r="CE56" s="62"/>
      <c r="CF56" s="62"/>
      <c r="CG56" s="62"/>
      <c r="CH56" s="62"/>
      <c r="CI56" s="62"/>
      <c r="CJ56" s="62"/>
      <c r="CK56" s="62"/>
      <c r="CL56" s="62"/>
      <c r="CM56" s="62"/>
      <c r="CN56" s="62"/>
      <c r="CO56" s="62"/>
      <c r="CP56" s="62"/>
      <c r="CQ56" s="62"/>
      <c r="CR56" s="62"/>
      <c r="CS56" s="62"/>
      <c r="CT56" s="62"/>
      <c r="CU56" s="62"/>
      <c r="CV56" s="62"/>
      <c r="CW56" s="62"/>
      <c r="CX56" s="62"/>
      <c r="CY56" s="62"/>
      <c r="CZ56" s="62"/>
      <c r="DA56" s="62"/>
      <c r="DB56" s="62"/>
      <c r="DC56" s="62"/>
      <c r="DD56" s="62"/>
      <c r="DE56" s="62"/>
      <c r="DF56" s="62"/>
      <c r="DG56" s="62"/>
      <c r="DH56" s="62"/>
      <c r="DI56" s="62"/>
      <c r="DJ56" s="62"/>
      <c r="DK56" s="62"/>
      <c r="DL56" s="62"/>
      <c r="DM56" s="62"/>
      <c r="DN56" s="62"/>
      <c r="DO56" s="62"/>
      <c r="DP56" s="62"/>
      <c r="DQ56" s="62"/>
      <c r="DR56" s="62"/>
      <c r="DS56" s="62"/>
      <c r="DT56" s="62"/>
      <c r="DU56" s="62"/>
      <c r="DV56" s="62"/>
      <c r="DW56" s="62"/>
      <c r="DX56" s="62"/>
      <c r="DY56" s="62"/>
      <c r="DZ56" s="62"/>
      <c r="EA56" s="62"/>
      <c r="EB56" s="62"/>
      <c r="EC56" s="62"/>
      <c r="ED56" s="62"/>
      <c r="EE56" s="62"/>
      <c r="EF56" s="62"/>
      <c r="EG56" s="62"/>
      <c r="EH56" s="62"/>
      <c r="EI56" s="62"/>
      <c r="EJ56" s="62"/>
      <c r="EK56" s="62"/>
      <c r="EL56" s="62"/>
      <c r="EM56" s="62"/>
      <c r="EN56" s="62"/>
      <c r="EO56" s="62"/>
      <c r="EP56" s="62"/>
      <c r="EQ56" s="62"/>
      <c r="ER56" s="62"/>
      <c r="ES56" s="62"/>
      <c r="ET56" s="62"/>
      <c r="EU56" s="62"/>
      <c r="EV56" s="62"/>
      <c r="EW56" s="62"/>
      <c r="EX56" s="62"/>
      <c r="EY56" s="62"/>
      <c r="EZ56" s="62"/>
      <c r="FA56" s="62"/>
      <c r="FB56" s="62"/>
      <c r="FC56" s="62"/>
      <c r="FD56" s="62"/>
      <c r="FE56" s="62"/>
      <c r="FF56" s="62"/>
      <c r="FG56" s="62"/>
      <c r="FH56" s="62"/>
      <c r="FI56" s="62"/>
      <c r="FJ56" s="62"/>
      <c r="FK56" s="62"/>
      <c r="FL56" s="62"/>
      <c r="FM56" s="62"/>
      <c r="FN56" s="62"/>
      <c r="FO56" s="62"/>
      <c r="FP56" s="62"/>
      <c r="FQ56" s="62"/>
      <c r="FR56" s="62"/>
      <c r="FS56" s="62"/>
      <c r="FT56" s="62"/>
      <c r="FU56" s="62"/>
      <c r="FV56" s="62"/>
      <c r="FW56" s="62"/>
      <c r="FX56" s="62"/>
      <c r="FY56" s="62"/>
      <c r="FZ56" s="62"/>
      <c r="GA56" s="62"/>
      <c r="GB56" s="62"/>
      <c r="GC56" s="62"/>
      <c r="GD56" s="62"/>
      <c r="GE56" s="62"/>
      <c r="GF56" s="62"/>
      <c r="GG56" s="62"/>
      <c r="GH56" s="62"/>
      <c r="GI56" s="62"/>
      <c r="GJ56" s="62"/>
      <c r="GK56" s="62"/>
      <c r="GL56" s="62"/>
      <c r="GM56" s="62"/>
      <c r="GN56" s="62"/>
      <c r="GO56" s="62"/>
      <c r="GP56" s="62"/>
      <c r="GQ56" s="62"/>
      <c r="GR56" s="62"/>
      <c r="GS56" s="62"/>
      <c r="GT56" s="62"/>
      <c r="GU56" s="62"/>
    </row>
    <row r="57" spans="1:203" x14ac:dyDescent="0.25">
      <c r="A57" s="8" t="s">
        <v>46</v>
      </c>
      <c r="B57" s="176" t="str">
        <f>DATA!J61</f>
        <v/>
      </c>
      <c r="C57" s="140">
        <f>DATA!K61</f>
        <v>0</v>
      </c>
      <c r="D57" s="62"/>
      <c r="E57" s="62"/>
      <c r="F57" s="62"/>
      <c r="G57" s="62"/>
      <c r="H57" s="62"/>
      <c r="I57" s="62"/>
      <c r="J57" s="62"/>
      <c r="K57" s="62"/>
      <c r="L57" s="62"/>
      <c r="M57" s="62"/>
      <c r="N57" s="62"/>
      <c r="O57" s="62"/>
      <c r="P57" s="62"/>
      <c r="Q57" s="62"/>
      <c r="R57" s="62"/>
      <c r="S57" s="62"/>
      <c r="T57" s="62"/>
      <c r="U57" s="62"/>
      <c r="V57" s="62"/>
      <c r="W57" s="62"/>
      <c r="X57" s="62"/>
      <c r="Y57" s="62"/>
      <c r="Z57" s="62"/>
      <c r="AA57" s="62"/>
      <c r="AB57" s="62"/>
      <c r="AC57" s="62"/>
      <c r="AD57" s="62"/>
      <c r="AE57" s="62"/>
      <c r="AF57" s="62"/>
      <c r="AG57" s="62"/>
      <c r="AH57" s="62"/>
      <c r="AI57" s="62"/>
      <c r="AJ57" s="62"/>
      <c r="AK57" s="62"/>
      <c r="AL57" s="62"/>
      <c r="AM57" s="62"/>
      <c r="AN57" s="62"/>
      <c r="AO57" s="62"/>
      <c r="AP57" s="62"/>
      <c r="AQ57" s="62"/>
      <c r="AR57" s="62"/>
      <c r="AS57" s="62"/>
      <c r="AT57" s="62"/>
      <c r="AU57" s="62"/>
      <c r="AV57" s="62"/>
      <c r="AW57" s="62"/>
      <c r="AX57" s="62"/>
      <c r="AY57" s="62"/>
      <c r="AZ57" s="62"/>
      <c r="BA57" s="62"/>
      <c r="BB57" s="62"/>
      <c r="BC57" s="62"/>
      <c r="BD57" s="62"/>
      <c r="BE57" s="62"/>
      <c r="BF57" s="62"/>
      <c r="BG57" s="62"/>
      <c r="BH57" s="62"/>
      <c r="BI57" s="62"/>
      <c r="BJ57" s="62"/>
      <c r="BK57" s="62"/>
      <c r="BL57" s="62"/>
      <c r="BM57" s="62"/>
      <c r="BN57" s="62"/>
      <c r="BO57" s="62"/>
      <c r="BP57" s="62"/>
      <c r="BQ57" s="62"/>
      <c r="BR57" s="62"/>
      <c r="BS57" s="62"/>
      <c r="BT57" s="62"/>
      <c r="BU57" s="62"/>
      <c r="BV57" s="62"/>
      <c r="BW57" s="62"/>
      <c r="BX57" s="62"/>
      <c r="BY57" s="62"/>
      <c r="BZ57" s="62"/>
      <c r="CA57" s="62"/>
      <c r="CB57" s="62"/>
      <c r="CC57" s="62"/>
      <c r="CD57" s="62"/>
      <c r="CE57" s="62"/>
      <c r="CF57" s="62"/>
      <c r="CG57" s="62"/>
      <c r="CH57" s="62"/>
      <c r="CI57" s="62"/>
      <c r="CJ57" s="62"/>
      <c r="CK57" s="62"/>
      <c r="CL57" s="62"/>
      <c r="CM57" s="62"/>
      <c r="CN57" s="62"/>
      <c r="CO57" s="62"/>
      <c r="CP57" s="62"/>
      <c r="CQ57" s="62"/>
      <c r="CR57" s="62"/>
      <c r="CS57" s="62"/>
      <c r="CT57" s="62"/>
      <c r="CU57" s="62"/>
      <c r="CV57" s="62"/>
      <c r="CW57" s="62"/>
      <c r="CX57" s="62"/>
      <c r="CY57" s="62"/>
      <c r="CZ57" s="62"/>
      <c r="DA57" s="62"/>
      <c r="DB57" s="62"/>
      <c r="DC57" s="62"/>
      <c r="DD57" s="62"/>
      <c r="DE57" s="62"/>
      <c r="DF57" s="62"/>
      <c r="DG57" s="62"/>
      <c r="DH57" s="62"/>
      <c r="DI57" s="62"/>
      <c r="DJ57" s="62"/>
      <c r="DK57" s="62"/>
      <c r="DL57" s="62"/>
      <c r="DM57" s="62"/>
      <c r="DN57" s="62"/>
      <c r="DO57" s="62"/>
      <c r="DP57" s="62"/>
      <c r="DQ57" s="62"/>
      <c r="DR57" s="62"/>
      <c r="DS57" s="62"/>
      <c r="DT57" s="62"/>
      <c r="DU57" s="62"/>
      <c r="DV57" s="62"/>
      <c r="DW57" s="62"/>
      <c r="DX57" s="62"/>
      <c r="DY57" s="62"/>
      <c r="DZ57" s="62"/>
      <c r="EA57" s="62"/>
      <c r="EB57" s="62"/>
      <c r="EC57" s="62"/>
      <c r="ED57" s="62"/>
      <c r="EE57" s="62"/>
      <c r="EF57" s="62"/>
      <c r="EG57" s="62"/>
      <c r="EH57" s="62"/>
      <c r="EI57" s="62"/>
      <c r="EJ57" s="62"/>
      <c r="EK57" s="62"/>
      <c r="EL57" s="62"/>
      <c r="EM57" s="62"/>
      <c r="EN57" s="62"/>
      <c r="EO57" s="62"/>
      <c r="EP57" s="62"/>
      <c r="EQ57" s="62"/>
      <c r="ER57" s="62"/>
      <c r="ES57" s="62"/>
      <c r="ET57" s="62"/>
      <c r="EU57" s="62"/>
      <c r="EV57" s="62"/>
      <c r="EW57" s="62"/>
      <c r="EX57" s="62"/>
      <c r="EY57" s="62"/>
      <c r="EZ57" s="62"/>
      <c r="FA57" s="62"/>
      <c r="FB57" s="62"/>
      <c r="FC57" s="62"/>
      <c r="FD57" s="62"/>
      <c r="FE57" s="62"/>
      <c r="FF57" s="62"/>
      <c r="FG57" s="62"/>
      <c r="FH57" s="62"/>
      <c r="FI57" s="62"/>
      <c r="FJ57" s="62"/>
      <c r="FK57" s="62"/>
      <c r="FL57" s="62"/>
      <c r="FM57" s="62"/>
      <c r="FN57" s="62"/>
      <c r="FO57" s="62"/>
      <c r="FP57" s="62"/>
      <c r="FQ57" s="62"/>
      <c r="FR57" s="62"/>
      <c r="FS57" s="62"/>
      <c r="FT57" s="62"/>
      <c r="FU57" s="62"/>
      <c r="FV57" s="62"/>
      <c r="FW57" s="62"/>
      <c r="FX57" s="62"/>
      <c r="FY57" s="62"/>
      <c r="FZ57" s="62"/>
      <c r="GA57" s="62"/>
      <c r="GB57" s="62"/>
      <c r="GC57" s="62"/>
      <c r="GD57" s="62"/>
      <c r="GE57" s="62"/>
      <c r="GF57" s="62"/>
      <c r="GG57" s="62"/>
      <c r="GH57" s="62"/>
      <c r="GI57" s="62"/>
      <c r="GJ57" s="62"/>
      <c r="GK57" s="62"/>
      <c r="GL57" s="62"/>
      <c r="GM57" s="62"/>
      <c r="GN57" s="62"/>
      <c r="GO57" s="62"/>
      <c r="GP57" s="62"/>
      <c r="GQ57" s="62"/>
      <c r="GR57" s="62"/>
      <c r="GS57" s="62"/>
      <c r="GT57" s="62"/>
      <c r="GU57" s="62"/>
    </row>
    <row r="58" spans="1:203" x14ac:dyDescent="0.25">
      <c r="A58" s="8" t="s">
        <v>74</v>
      </c>
      <c r="B58" s="176" t="str">
        <f>DATA!J62</f>
        <v/>
      </c>
      <c r="C58" s="140">
        <f>DATA!K62</f>
        <v>0</v>
      </c>
      <c r="D58" s="62"/>
      <c r="E58" s="62"/>
      <c r="F58" s="62"/>
      <c r="G58" s="62"/>
      <c r="H58" s="62"/>
      <c r="I58" s="62"/>
      <c r="J58" s="62"/>
      <c r="K58" s="62"/>
      <c r="L58" s="62"/>
      <c r="M58" s="62"/>
      <c r="N58" s="62"/>
      <c r="O58" s="62"/>
      <c r="P58" s="62"/>
      <c r="Q58" s="62"/>
      <c r="R58" s="62"/>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c r="BM58" s="62"/>
      <c r="BN58" s="62"/>
      <c r="BO58" s="62"/>
      <c r="BP58" s="62"/>
      <c r="BQ58" s="62"/>
      <c r="BR58" s="62"/>
      <c r="BS58" s="62"/>
      <c r="BT58" s="62"/>
      <c r="BU58" s="62"/>
      <c r="BV58" s="62"/>
      <c r="BW58" s="62"/>
      <c r="BX58" s="62"/>
      <c r="BY58" s="62"/>
      <c r="BZ58" s="62"/>
      <c r="CA58" s="62"/>
      <c r="CB58" s="62"/>
      <c r="CC58" s="62"/>
      <c r="CD58" s="62"/>
      <c r="CE58" s="62"/>
      <c r="CF58" s="62"/>
      <c r="CG58" s="62"/>
      <c r="CH58" s="62"/>
      <c r="CI58" s="62"/>
      <c r="CJ58" s="62"/>
      <c r="CK58" s="62"/>
      <c r="CL58" s="62"/>
      <c r="CM58" s="62"/>
      <c r="CN58" s="62"/>
      <c r="CO58" s="62"/>
      <c r="CP58" s="62"/>
      <c r="CQ58" s="62"/>
      <c r="CR58" s="62"/>
      <c r="CS58" s="62"/>
      <c r="CT58" s="62"/>
      <c r="CU58" s="62"/>
      <c r="CV58" s="62"/>
      <c r="CW58" s="62"/>
      <c r="CX58" s="62"/>
      <c r="CY58" s="62"/>
      <c r="CZ58" s="62"/>
      <c r="DA58" s="62"/>
      <c r="DB58" s="62"/>
      <c r="DC58" s="62"/>
      <c r="DD58" s="62"/>
      <c r="DE58" s="62"/>
      <c r="DF58" s="62"/>
      <c r="DG58" s="62"/>
      <c r="DH58" s="62"/>
      <c r="DI58" s="62"/>
      <c r="DJ58" s="62"/>
      <c r="DK58" s="62"/>
      <c r="DL58" s="62"/>
      <c r="DM58" s="62"/>
      <c r="DN58" s="62"/>
      <c r="DO58" s="62"/>
      <c r="DP58" s="62"/>
      <c r="DQ58" s="62"/>
      <c r="DR58" s="62"/>
      <c r="DS58" s="62"/>
      <c r="DT58" s="62"/>
      <c r="DU58" s="62"/>
      <c r="DV58" s="62"/>
      <c r="DW58" s="62"/>
      <c r="DX58" s="62"/>
      <c r="DY58" s="62"/>
      <c r="DZ58" s="62"/>
      <c r="EA58" s="62"/>
      <c r="EB58" s="62"/>
      <c r="EC58" s="62"/>
      <c r="ED58" s="62"/>
      <c r="EE58" s="62"/>
      <c r="EF58" s="62"/>
      <c r="EG58" s="62"/>
      <c r="EH58" s="62"/>
      <c r="EI58" s="62"/>
      <c r="EJ58" s="62"/>
      <c r="EK58" s="62"/>
      <c r="EL58" s="62"/>
      <c r="EM58" s="62"/>
      <c r="EN58" s="62"/>
      <c r="EO58" s="62"/>
      <c r="EP58" s="62"/>
      <c r="EQ58" s="62"/>
      <c r="ER58" s="62"/>
      <c r="ES58" s="62"/>
      <c r="ET58" s="62"/>
      <c r="EU58" s="62"/>
      <c r="EV58" s="62"/>
      <c r="EW58" s="62"/>
      <c r="EX58" s="62"/>
      <c r="EY58" s="62"/>
      <c r="EZ58" s="62"/>
      <c r="FA58" s="62"/>
      <c r="FB58" s="62"/>
      <c r="FC58" s="62"/>
      <c r="FD58" s="62"/>
      <c r="FE58" s="62"/>
      <c r="FF58" s="62"/>
      <c r="FG58" s="62"/>
      <c r="FH58" s="62"/>
      <c r="FI58" s="62"/>
      <c r="FJ58" s="62"/>
      <c r="FK58" s="62"/>
      <c r="FL58" s="62"/>
      <c r="FM58" s="62"/>
      <c r="FN58" s="62"/>
      <c r="FO58" s="62"/>
      <c r="FP58" s="62"/>
      <c r="FQ58" s="62"/>
      <c r="FR58" s="62"/>
      <c r="FS58" s="62"/>
      <c r="FT58" s="62"/>
      <c r="FU58" s="62"/>
      <c r="FV58" s="62"/>
      <c r="FW58" s="62"/>
      <c r="FX58" s="62"/>
      <c r="FY58" s="62"/>
      <c r="FZ58" s="62"/>
      <c r="GA58" s="62"/>
      <c r="GB58" s="62"/>
      <c r="GC58" s="62"/>
      <c r="GD58" s="62"/>
      <c r="GE58" s="62"/>
      <c r="GF58" s="62"/>
      <c r="GG58" s="62"/>
      <c r="GH58" s="62"/>
      <c r="GI58" s="62"/>
      <c r="GJ58" s="62"/>
      <c r="GK58" s="62"/>
      <c r="GL58" s="62"/>
      <c r="GM58" s="62"/>
      <c r="GN58" s="62"/>
      <c r="GO58" s="62"/>
      <c r="GP58" s="62"/>
      <c r="GQ58" s="62"/>
      <c r="GR58" s="62"/>
      <c r="GS58" s="62"/>
      <c r="GT58" s="62"/>
      <c r="GU58" s="62"/>
    </row>
    <row r="59" spans="1:203" x14ac:dyDescent="0.25">
      <c r="A59" s="8" t="s">
        <v>251</v>
      </c>
      <c r="B59" s="176" t="str">
        <f>DATA!J63</f>
        <v/>
      </c>
      <c r="C59" s="140">
        <f>DATA!K63</f>
        <v>0</v>
      </c>
      <c r="D59" s="62"/>
      <c r="E59" s="62"/>
      <c r="F59" s="62"/>
      <c r="G59" s="62"/>
      <c r="H59" s="62"/>
      <c r="I59" s="62"/>
      <c r="J59" s="62"/>
      <c r="K59" s="62"/>
      <c r="L59" s="62"/>
      <c r="M59" s="62"/>
      <c r="N59" s="62"/>
      <c r="O59" s="62"/>
      <c r="P59" s="62"/>
      <c r="Q59" s="62"/>
      <c r="R59" s="62"/>
      <c r="S59" s="62"/>
      <c r="T59" s="62"/>
      <c r="U59" s="62"/>
      <c r="V59" s="62"/>
      <c r="W59" s="62"/>
      <c r="X59" s="62"/>
      <c r="Y59" s="62"/>
      <c r="Z59" s="62"/>
      <c r="AA59" s="62"/>
      <c r="AB59" s="62"/>
      <c r="AC59" s="62"/>
      <c r="AD59" s="62"/>
      <c r="AE59" s="62"/>
      <c r="AF59" s="62"/>
      <c r="AG59" s="62"/>
      <c r="AH59" s="62"/>
      <c r="AI59" s="62"/>
      <c r="AJ59" s="62"/>
      <c r="AK59" s="62"/>
      <c r="AL59" s="62"/>
      <c r="AM59" s="62"/>
      <c r="AN59" s="62"/>
      <c r="AO59" s="62"/>
      <c r="AP59" s="62"/>
      <c r="AQ59" s="62"/>
      <c r="AR59" s="62"/>
      <c r="AS59" s="62"/>
      <c r="AT59" s="62"/>
      <c r="AU59" s="62"/>
      <c r="AV59" s="62"/>
      <c r="AW59" s="62"/>
      <c r="AX59" s="62"/>
      <c r="AY59" s="62"/>
      <c r="AZ59" s="62"/>
      <c r="BA59" s="62"/>
      <c r="BB59" s="62"/>
      <c r="BC59" s="62"/>
      <c r="BD59" s="62"/>
      <c r="BE59" s="62"/>
      <c r="BF59" s="62"/>
      <c r="BG59" s="62"/>
      <c r="BH59" s="62"/>
      <c r="BI59" s="62"/>
      <c r="BJ59" s="62"/>
      <c r="BK59" s="62"/>
      <c r="BL59" s="62"/>
      <c r="BM59" s="62"/>
      <c r="BN59" s="62"/>
      <c r="BO59" s="62"/>
      <c r="BP59" s="62"/>
      <c r="BQ59" s="62"/>
      <c r="BR59" s="62"/>
      <c r="BS59" s="62"/>
      <c r="BT59" s="62"/>
      <c r="BU59" s="62"/>
      <c r="BV59" s="62"/>
      <c r="BW59" s="62"/>
      <c r="BX59" s="62"/>
      <c r="BY59" s="62"/>
      <c r="BZ59" s="62"/>
      <c r="CA59" s="62"/>
      <c r="CB59" s="62"/>
      <c r="CC59" s="62"/>
      <c r="CD59" s="62"/>
      <c r="CE59" s="62"/>
      <c r="CF59" s="62"/>
      <c r="CG59" s="62"/>
      <c r="CH59" s="62"/>
      <c r="CI59" s="62"/>
      <c r="CJ59" s="62"/>
      <c r="CK59" s="62"/>
      <c r="CL59" s="62"/>
      <c r="CM59" s="62"/>
      <c r="CN59" s="62"/>
      <c r="CO59" s="62"/>
      <c r="CP59" s="62"/>
      <c r="CQ59" s="62"/>
      <c r="CR59" s="62"/>
      <c r="CS59" s="62"/>
      <c r="CT59" s="62"/>
      <c r="CU59" s="62"/>
      <c r="CV59" s="62"/>
      <c r="CW59" s="62"/>
      <c r="CX59" s="62"/>
      <c r="CY59" s="62"/>
      <c r="CZ59" s="62"/>
      <c r="DA59" s="62"/>
      <c r="DB59" s="62"/>
      <c r="DC59" s="62"/>
      <c r="DD59" s="62"/>
      <c r="DE59" s="62"/>
      <c r="DF59" s="62"/>
      <c r="DG59" s="62"/>
      <c r="DH59" s="62"/>
      <c r="DI59" s="62"/>
      <c r="DJ59" s="62"/>
      <c r="DK59" s="62"/>
      <c r="DL59" s="62"/>
      <c r="DM59" s="62"/>
      <c r="DN59" s="62"/>
      <c r="DO59" s="62"/>
      <c r="DP59" s="62"/>
      <c r="DQ59" s="62"/>
      <c r="DR59" s="62"/>
      <c r="DS59" s="62"/>
      <c r="DT59" s="62"/>
      <c r="DU59" s="62"/>
      <c r="DV59" s="62"/>
      <c r="DW59" s="62"/>
      <c r="DX59" s="62"/>
      <c r="DY59" s="62"/>
      <c r="DZ59" s="62"/>
      <c r="EA59" s="62"/>
      <c r="EB59" s="62"/>
      <c r="EC59" s="62"/>
      <c r="ED59" s="62"/>
      <c r="EE59" s="62"/>
      <c r="EF59" s="62"/>
      <c r="EG59" s="62"/>
      <c r="EH59" s="62"/>
      <c r="EI59" s="62"/>
      <c r="EJ59" s="62"/>
      <c r="EK59" s="62"/>
      <c r="EL59" s="62"/>
      <c r="EM59" s="62"/>
      <c r="EN59" s="62"/>
      <c r="EO59" s="62"/>
      <c r="EP59" s="62"/>
      <c r="EQ59" s="62"/>
      <c r="ER59" s="62"/>
      <c r="ES59" s="62"/>
      <c r="ET59" s="62"/>
      <c r="EU59" s="62"/>
      <c r="EV59" s="62"/>
      <c r="EW59" s="62"/>
      <c r="EX59" s="62"/>
      <c r="EY59" s="62"/>
      <c r="EZ59" s="62"/>
      <c r="FA59" s="62"/>
      <c r="FB59" s="62"/>
      <c r="FC59" s="62"/>
      <c r="FD59" s="62"/>
      <c r="FE59" s="62"/>
      <c r="FF59" s="62"/>
      <c r="FG59" s="62"/>
      <c r="FH59" s="62"/>
      <c r="FI59" s="62"/>
      <c r="FJ59" s="62"/>
      <c r="FK59" s="62"/>
      <c r="FL59" s="62"/>
      <c r="FM59" s="62"/>
      <c r="FN59" s="62"/>
      <c r="FO59" s="62"/>
      <c r="FP59" s="62"/>
      <c r="FQ59" s="62"/>
      <c r="FR59" s="62"/>
      <c r="FS59" s="62"/>
      <c r="FT59" s="62"/>
      <c r="FU59" s="62"/>
      <c r="FV59" s="62"/>
      <c r="FW59" s="62"/>
      <c r="FX59" s="62"/>
      <c r="FY59" s="62"/>
      <c r="FZ59" s="62"/>
      <c r="GA59" s="62"/>
      <c r="GB59" s="62"/>
      <c r="GC59" s="62"/>
      <c r="GD59" s="62"/>
      <c r="GE59" s="62"/>
      <c r="GF59" s="62"/>
      <c r="GG59" s="62"/>
      <c r="GH59" s="62"/>
      <c r="GI59" s="62"/>
      <c r="GJ59" s="62"/>
      <c r="GK59" s="62"/>
      <c r="GL59" s="62"/>
      <c r="GM59" s="62"/>
      <c r="GN59" s="62"/>
      <c r="GO59" s="62"/>
      <c r="GP59" s="62"/>
      <c r="GQ59" s="62"/>
      <c r="GR59" s="62"/>
      <c r="GS59" s="62"/>
      <c r="GT59" s="62"/>
      <c r="GU59" s="62"/>
    </row>
    <row r="60" spans="1:203" x14ac:dyDescent="0.25">
      <c r="A60" s="8" t="s">
        <v>193</v>
      </c>
      <c r="B60" s="176" t="str">
        <f>DATA!J64</f>
        <v/>
      </c>
      <c r="C60" s="140">
        <f>DATA!K64</f>
        <v>0</v>
      </c>
      <c r="D60" s="62"/>
      <c r="E60" s="62"/>
      <c r="F60" s="62"/>
      <c r="G60" s="62"/>
      <c r="H60" s="62"/>
      <c r="I60" s="62"/>
      <c r="J60" s="62"/>
      <c r="K60" s="62"/>
      <c r="L60" s="62"/>
      <c r="M60" s="62"/>
      <c r="N60" s="62"/>
      <c r="O60" s="62"/>
      <c r="P60" s="62"/>
      <c r="Q60" s="62"/>
      <c r="R60" s="62"/>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c r="BM60" s="62"/>
      <c r="BN60" s="62"/>
      <c r="BO60" s="62"/>
      <c r="BP60" s="62"/>
      <c r="BQ60" s="62"/>
      <c r="BR60" s="62"/>
      <c r="BS60" s="62"/>
      <c r="BT60" s="62"/>
      <c r="BU60" s="62"/>
      <c r="BV60" s="62"/>
      <c r="BW60" s="62"/>
      <c r="BX60" s="62"/>
      <c r="BY60" s="62"/>
      <c r="BZ60" s="62"/>
      <c r="CA60" s="62"/>
      <c r="CB60" s="62"/>
      <c r="CC60" s="62"/>
      <c r="CD60" s="62"/>
      <c r="CE60" s="62"/>
      <c r="CF60" s="62"/>
      <c r="CG60" s="62"/>
      <c r="CH60" s="62"/>
      <c r="CI60" s="62"/>
      <c r="CJ60" s="62"/>
      <c r="CK60" s="62"/>
      <c r="CL60" s="62"/>
      <c r="CM60" s="62"/>
      <c r="CN60" s="62"/>
      <c r="CO60" s="62"/>
      <c r="CP60" s="62"/>
      <c r="CQ60" s="62"/>
      <c r="CR60" s="62"/>
      <c r="CS60" s="62"/>
      <c r="CT60" s="62"/>
      <c r="CU60" s="62"/>
      <c r="CV60" s="62"/>
      <c r="CW60" s="62"/>
      <c r="CX60" s="62"/>
      <c r="CY60" s="62"/>
      <c r="CZ60" s="62"/>
      <c r="DA60" s="62"/>
      <c r="DB60" s="62"/>
      <c r="DC60" s="62"/>
      <c r="DD60" s="62"/>
      <c r="DE60" s="62"/>
      <c r="DF60" s="62"/>
      <c r="DG60" s="62"/>
      <c r="DH60" s="62"/>
      <c r="DI60" s="62"/>
      <c r="DJ60" s="62"/>
      <c r="DK60" s="62"/>
      <c r="DL60" s="62"/>
      <c r="DM60" s="62"/>
      <c r="DN60" s="62"/>
      <c r="DO60" s="62"/>
      <c r="DP60" s="62"/>
      <c r="DQ60" s="62"/>
      <c r="DR60" s="62"/>
      <c r="DS60" s="62"/>
      <c r="DT60" s="62"/>
      <c r="DU60" s="62"/>
      <c r="DV60" s="62"/>
      <c r="DW60" s="62"/>
      <c r="DX60" s="62"/>
      <c r="DY60" s="62"/>
      <c r="DZ60" s="62"/>
      <c r="EA60" s="62"/>
      <c r="EB60" s="62"/>
      <c r="EC60" s="62"/>
      <c r="ED60" s="62"/>
      <c r="EE60" s="62"/>
      <c r="EF60" s="62"/>
      <c r="EG60" s="62"/>
      <c r="EH60" s="62"/>
      <c r="EI60" s="62"/>
      <c r="EJ60" s="62"/>
      <c r="EK60" s="62"/>
      <c r="EL60" s="62"/>
      <c r="EM60" s="62"/>
      <c r="EN60" s="62"/>
      <c r="EO60" s="62"/>
      <c r="EP60" s="62"/>
      <c r="EQ60" s="62"/>
      <c r="ER60" s="62"/>
      <c r="ES60" s="62"/>
      <c r="ET60" s="62"/>
      <c r="EU60" s="62"/>
      <c r="EV60" s="62"/>
      <c r="EW60" s="62"/>
      <c r="EX60" s="62"/>
      <c r="EY60" s="62"/>
      <c r="EZ60" s="62"/>
      <c r="FA60" s="62"/>
      <c r="FB60" s="62"/>
      <c r="FC60" s="62"/>
      <c r="FD60" s="62"/>
      <c r="FE60" s="62"/>
      <c r="FF60" s="62"/>
      <c r="FG60" s="62"/>
      <c r="FH60" s="62"/>
      <c r="FI60" s="62"/>
      <c r="FJ60" s="62"/>
      <c r="FK60" s="62"/>
      <c r="FL60" s="62"/>
      <c r="FM60" s="62"/>
      <c r="FN60" s="62"/>
      <c r="FO60" s="62"/>
      <c r="FP60" s="62"/>
      <c r="FQ60" s="62"/>
      <c r="FR60" s="62"/>
      <c r="FS60" s="62"/>
      <c r="FT60" s="62"/>
      <c r="FU60" s="62"/>
      <c r="FV60" s="62"/>
      <c r="FW60" s="62"/>
      <c r="FX60" s="62"/>
      <c r="FY60" s="62"/>
      <c r="FZ60" s="62"/>
      <c r="GA60" s="62"/>
      <c r="GB60" s="62"/>
      <c r="GC60" s="62"/>
      <c r="GD60" s="62"/>
      <c r="GE60" s="62"/>
      <c r="GF60" s="62"/>
      <c r="GG60" s="62"/>
      <c r="GH60" s="62"/>
      <c r="GI60" s="62"/>
      <c r="GJ60" s="62"/>
      <c r="GK60" s="62"/>
      <c r="GL60" s="62"/>
      <c r="GM60" s="62"/>
      <c r="GN60" s="62"/>
      <c r="GO60" s="62"/>
      <c r="GP60" s="62"/>
      <c r="GQ60" s="62"/>
      <c r="GR60" s="62"/>
      <c r="GS60" s="62"/>
      <c r="GT60" s="62"/>
      <c r="GU60" s="62"/>
    </row>
    <row r="61" spans="1:203" x14ac:dyDescent="0.25">
      <c r="A61" s="8" t="s">
        <v>73</v>
      </c>
      <c r="B61" s="176" t="str">
        <f>DATA!J65</f>
        <v/>
      </c>
      <c r="C61" s="140">
        <f>DATA!K65</f>
        <v>0</v>
      </c>
      <c r="D61" s="62"/>
      <c r="E61" s="62"/>
      <c r="F61" s="62"/>
      <c r="G61" s="62"/>
      <c r="H61" s="62"/>
      <c r="I61" s="62"/>
      <c r="J61" s="62"/>
      <c r="K61" s="62"/>
      <c r="L61" s="62"/>
      <c r="M61" s="62"/>
      <c r="N61" s="62"/>
      <c r="O61" s="62"/>
      <c r="P61" s="62"/>
      <c r="Q61" s="62"/>
      <c r="R61" s="62"/>
      <c r="S61" s="62"/>
      <c r="T61" s="62"/>
      <c r="U61" s="62"/>
      <c r="V61" s="62"/>
      <c r="W61" s="62"/>
      <c r="X61" s="62"/>
      <c r="Y61" s="62"/>
      <c r="Z61" s="62"/>
      <c r="AA61" s="62"/>
      <c r="AB61" s="62"/>
      <c r="AC61" s="62"/>
      <c r="AD61" s="62"/>
      <c r="AE61" s="62"/>
      <c r="AF61" s="62"/>
      <c r="AG61" s="62"/>
      <c r="AH61" s="62"/>
      <c r="AI61" s="62"/>
      <c r="AJ61" s="62"/>
      <c r="AK61" s="62"/>
      <c r="AL61" s="62"/>
      <c r="AM61" s="62"/>
      <c r="AN61" s="62"/>
      <c r="AO61" s="62"/>
      <c r="AP61" s="62"/>
      <c r="AQ61" s="62"/>
      <c r="AR61" s="62"/>
      <c r="AS61" s="62"/>
      <c r="AT61" s="62"/>
      <c r="AU61" s="62"/>
      <c r="AV61" s="62"/>
      <c r="AW61" s="62"/>
      <c r="AX61" s="62"/>
      <c r="AY61" s="62"/>
      <c r="AZ61" s="62"/>
      <c r="BA61" s="62"/>
      <c r="BB61" s="62"/>
      <c r="BC61" s="62"/>
      <c r="BD61" s="62"/>
      <c r="BE61" s="62"/>
      <c r="BF61" s="62"/>
      <c r="BG61" s="62"/>
      <c r="BH61" s="62"/>
      <c r="BI61" s="62"/>
      <c r="BJ61" s="62"/>
      <c r="BK61" s="62"/>
      <c r="BL61" s="62"/>
      <c r="BM61" s="62"/>
      <c r="BN61" s="62"/>
      <c r="BO61" s="62"/>
      <c r="BP61" s="62"/>
      <c r="BQ61" s="62"/>
      <c r="BR61" s="62"/>
      <c r="BS61" s="62"/>
      <c r="BT61" s="62"/>
      <c r="BU61" s="62"/>
      <c r="BV61" s="62"/>
      <c r="BW61" s="62"/>
      <c r="BX61" s="62"/>
      <c r="BY61" s="62"/>
      <c r="BZ61" s="62"/>
      <c r="CA61" s="62"/>
      <c r="CB61" s="62"/>
      <c r="CC61" s="62"/>
      <c r="CD61" s="62"/>
      <c r="CE61" s="62"/>
      <c r="CF61" s="62"/>
      <c r="CG61" s="62"/>
      <c r="CH61" s="62"/>
      <c r="CI61" s="62"/>
      <c r="CJ61" s="62"/>
      <c r="CK61" s="62"/>
      <c r="CL61" s="62"/>
      <c r="CM61" s="62"/>
      <c r="CN61" s="62"/>
      <c r="CO61" s="62"/>
      <c r="CP61" s="62"/>
      <c r="CQ61" s="62"/>
      <c r="CR61" s="62"/>
      <c r="CS61" s="62"/>
      <c r="CT61" s="62"/>
      <c r="CU61" s="62"/>
      <c r="CV61" s="62"/>
      <c r="CW61" s="62"/>
      <c r="CX61" s="62"/>
      <c r="CY61" s="62"/>
      <c r="CZ61" s="62"/>
      <c r="DA61" s="62"/>
      <c r="DB61" s="62"/>
      <c r="DC61" s="62"/>
      <c r="DD61" s="62"/>
      <c r="DE61" s="62"/>
      <c r="DF61" s="62"/>
      <c r="DG61" s="62"/>
      <c r="DH61" s="62"/>
      <c r="DI61" s="62"/>
      <c r="DJ61" s="62"/>
      <c r="DK61" s="62"/>
      <c r="DL61" s="62"/>
      <c r="DM61" s="62"/>
      <c r="DN61" s="62"/>
      <c r="DO61" s="62"/>
      <c r="DP61" s="62"/>
      <c r="DQ61" s="62"/>
      <c r="DR61" s="62"/>
      <c r="DS61" s="62"/>
      <c r="DT61" s="62"/>
      <c r="DU61" s="62"/>
      <c r="DV61" s="62"/>
      <c r="DW61" s="62"/>
      <c r="DX61" s="62"/>
      <c r="DY61" s="62"/>
      <c r="DZ61" s="62"/>
      <c r="EA61" s="62"/>
      <c r="EB61" s="62"/>
      <c r="EC61" s="62"/>
      <c r="ED61" s="62"/>
      <c r="EE61" s="62"/>
      <c r="EF61" s="62"/>
      <c r="EG61" s="62"/>
      <c r="EH61" s="62"/>
      <c r="EI61" s="62"/>
      <c r="EJ61" s="62"/>
      <c r="EK61" s="62"/>
      <c r="EL61" s="62"/>
      <c r="EM61" s="62"/>
      <c r="EN61" s="62"/>
      <c r="EO61" s="62"/>
      <c r="EP61" s="62"/>
      <c r="EQ61" s="62"/>
      <c r="ER61" s="62"/>
      <c r="ES61" s="62"/>
      <c r="ET61" s="62"/>
      <c r="EU61" s="62"/>
      <c r="EV61" s="62"/>
      <c r="EW61" s="62"/>
      <c r="EX61" s="62"/>
      <c r="EY61" s="62"/>
      <c r="EZ61" s="62"/>
      <c r="FA61" s="62"/>
      <c r="FB61" s="62"/>
      <c r="FC61" s="62"/>
      <c r="FD61" s="62"/>
      <c r="FE61" s="62"/>
      <c r="FF61" s="62"/>
      <c r="FG61" s="62"/>
      <c r="FH61" s="62"/>
      <c r="FI61" s="62"/>
      <c r="FJ61" s="62"/>
      <c r="FK61" s="62"/>
      <c r="FL61" s="62"/>
      <c r="FM61" s="62"/>
      <c r="FN61" s="62"/>
      <c r="FO61" s="62"/>
      <c r="FP61" s="62"/>
      <c r="FQ61" s="62"/>
      <c r="FR61" s="62"/>
      <c r="FS61" s="62"/>
      <c r="FT61" s="62"/>
      <c r="FU61" s="62"/>
      <c r="FV61" s="62"/>
      <c r="FW61" s="62"/>
      <c r="FX61" s="62"/>
      <c r="FY61" s="62"/>
      <c r="FZ61" s="62"/>
      <c r="GA61" s="62"/>
      <c r="GB61" s="62"/>
      <c r="GC61" s="62"/>
      <c r="GD61" s="62"/>
      <c r="GE61" s="62"/>
      <c r="GF61" s="62"/>
      <c r="GG61" s="62"/>
      <c r="GH61" s="62"/>
      <c r="GI61" s="62"/>
      <c r="GJ61" s="62"/>
      <c r="GK61" s="62"/>
      <c r="GL61" s="62"/>
      <c r="GM61" s="62"/>
      <c r="GN61" s="62"/>
      <c r="GO61" s="62"/>
      <c r="GP61" s="62"/>
      <c r="GQ61" s="62"/>
      <c r="GR61" s="62"/>
      <c r="GS61" s="62"/>
      <c r="GT61" s="62"/>
      <c r="GU61" s="62"/>
    </row>
    <row r="62" spans="1:203" x14ac:dyDescent="0.25">
      <c r="A62" s="8" t="s">
        <v>204</v>
      </c>
      <c r="B62" s="176" t="str">
        <f>DATA!J66</f>
        <v/>
      </c>
      <c r="C62" s="140">
        <f>DATA!K66</f>
        <v>0</v>
      </c>
      <c r="D62" s="62"/>
      <c r="E62" s="62"/>
      <c r="F62" s="62"/>
      <c r="G62" s="62"/>
      <c r="H62" s="62"/>
      <c r="I62" s="62"/>
      <c r="J62" s="62"/>
      <c r="K62" s="62"/>
      <c r="L62" s="62"/>
      <c r="M62" s="62"/>
      <c r="N62" s="62"/>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c r="BT62" s="62"/>
      <c r="BU62" s="62"/>
      <c r="BV62" s="62"/>
      <c r="BW62" s="62"/>
      <c r="BX62" s="62"/>
      <c r="BY62" s="62"/>
      <c r="BZ62" s="62"/>
      <c r="CA62" s="62"/>
      <c r="CB62" s="62"/>
      <c r="CC62" s="62"/>
      <c r="CD62" s="62"/>
      <c r="CE62" s="62"/>
      <c r="CF62" s="62"/>
      <c r="CG62" s="62"/>
      <c r="CH62" s="62"/>
      <c r="CI62" s="62"/>
      <c r="CJ62" s="62"/>
      <c r="CK62" s="62"/>
      <c r="CL62" s="62"/>
      <c r="CM62" s="62"/>
      <c r="CN62" s="62"/>
      <c r="CO62" s="62"/>
      <c r="CP62" s="62"/>
      <c r="CQ62" s="62"/>
      <c r="CR62" s="62"/>
      <c r="CS62" s="62"/>
      <c r="CT62" s="62"/>
      <c r="CU62" s="62"/>
      <c r="CV62" s="62"/>
      <c r="CW62" s="62"/>
      <c r="CX62" s="62"/>
      <c r="CY62" s="62"/>
      <c r="CZ62" s="62"/>
      <c r="DA62" s="62"/>
      <c r="DB62" s="62"/>
      <c r="DC62" s="62"/>
      <c r="DD62" s="62"/>
      <c r="DE62" s="62"/>
      <c r="DF62" s="62"/>
      <c r="DG62" s="62"/>
      <c r="DH62" s="62"/>
      <c r="DI62" s="62"/>
      <c r="DJ62" s="62"/>
      <c r="DK62" s="62"/>
      <c r="DL62" s="62"/>
      <c r="DM62" s="62"/>
      <c r="DN62" s="62"/>
      <c r="DO62" s="62"/>
      <c r="DP62" s="62"/>
      <c r="DQ62" s="62"/>
      <c r="DR62" s="62"/>
      <c r="DS62" s="62"/>
      <c r="DT62" s="62"/>
      <c r="DU62" s="62"/>
      <c r="DV62" s="62"/>
      <c r="DW62" s="62"/>
      <c r="DX62" s="62"/>
      <c r="DY62" s="62"/>
      <c r="DZ62" s="62"/>
      <c r="EA62" s="62"/>
      <c r="EB62" s="62"/>
      <c r="EC62" s="62"/>
      <c r="ED62" s="62"/>
      <c r="EE62" s="62"/>
      <c r="EF62" s="62"/>
      <c r="EG62" s="62"/>
      <c r="EH62" s="62"/>
      <c r="EI62" s="62"/>
      <c r="EJ62" s="62"/>
      <c r="EK62" s="62"/>
      <c r="EL62" s="62"/>
      <c r="EM62" s="62"/>
      <c r="EN62" s="62"/>
      <c r="EO62" s="62"/>
      <c r="EP62" s="62"/>
      <c r="EQ62" s="62"/>
      <c r="ER62" s="62"/>
      <c r="ES62" s="62"/>
      <c r="ET62" s="62"/>
      <c r="EU62" s="62"/>
      <c r="EV62" s="62"/>
      <c r="EW62" s="62"/>
      <c r="EX62" s="62"/>
      <c r="EY62" s="62"/>
      <c r="EZ62" s="62"/>
      <c r="FA62" s="62"/>
      <c r="FB62" s="62"/>
      <c r="FC62" s="62"/>
      <c r="FD62" s="62"/>
      <c r="FE62" s="62"/>
      <c r="FF62" s="62"/>
      <c r="FG62" s="62"/>
      <c r="FH62" s="62"/>
      <c r="FI62" s="62"/>
      <c r="FJ62" s="62"/>
      <c r="FK62" s="62"/>
      <c r="FL62" s="62"/>
      <c r="FM62" s="62"/>
      <c r="FN62" s="62"/>
      <c r="FO62" s="62"/>
      <c r="FP62" s="62"/>
      <c r="FQ62" s="62"/>
      <c r="FR62" s="62"/>
      <c r="FS62" s="62"/>
      <c r="FT62" s="62"/>
      <c r="FU62" s="62"/>
      <c r="FV62" s="62"/>
      <c r="FW62" s="62"/>
      <c r="FX62" s="62"/>
      <c r="FY62" s="62"/>
      <c r="FZ62" s="62"/>
      <c r="GA62" s="62"/>
      <c r="GB62" s="62"/>
      <c r="GC62" s="62"/>
      <c r="GD62" s="62"/>
      <c r="GE62" s="62"/>
      <c r="GF62" s="62"/>
      <c r="GG62" s="62"/>
      <c r="GH62" s="62"/>
      <c r="GI62" s="62"/>
      <c r="GJ62" s="62"/>
      <c r="GK62" s="62"/>
      <c r="GL62" s="62"/>
      <c r="GM62" s="62"/>
      <c r="GN62" s="62"/>
      <c r="GO62" s="62"/>
      <c r="GP62" s="62"/>
      <c r="GQ62" s="62"/>
      <c r="GR62" s="62"/>
      <c r="GS62" s="62"/>
      <c r="GT62" s="62"/>
      <c r="GU62" s="62"/>
    </row>
    <row r="63" spans="1:203" x14ac:dyDescent="0.25">
      <c r="A63" s="8" t="s">
        <v>252</v>
      </c>
      <c r="B63" s="176" t="str">
        <f>DATA!J67</f>
        <v/>
      </c>
      <c r="C63" s="140">
        <f>DATA!K67</f>
        <v>0</v>
      </c>
      <c r="D63" s="62"/>
      <c r="E63" s="62"/>
      <c r="F63" s="62"/>
      <c r="G63" s="62"/>
      <c r="H63" s="62"/>
      <c r="I63" s="62"/>
      <c r="J63" s="62"/>
      <c r="K63" s="62"/>
      <c r="L63" s="62"/>
      <c r="M63" s="62"/>
      <c r="N63" s="62"/>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c r="BL63" s="62"/>
      <c r="BM63" s="62"/>
      <c r="BN63" s="62"/>
      <c r="BO63" s="62"/>
      <c r="BP63" s="62"/>
      <c r="BQ63" s="62"/>
      <c r="BR63" s="62"/>
      <c r="BS63" s="62"/>
      <c r="BT63" s="62"/>
      <c r="BU63" s="62"/>
      <c r="BV63" s="62"/>
      <c r="BW63" s="62"/>
      <c r="BX63" s="62"/>
      <c r="BY63" s="62"/>
      <c r="BZ63" s="62"/>
      <c r="CA63" s="62"/>
      <c r="CB63" s="62"/>
      <c r="CC63" s="62"/>
      <c r="CD63" s="62"/>
      <c r="CE63" s="62"/>
      <c r="CF63" s="62"/>
      <c r="CG63" s="62"/>
      <c r="CH63" s="62"/>
      <c r="CI63" s="62"/>
      <c r="CJ63" s="62"/>
      <c r="CK63" s="62"/>
      <c r="CL63" s="62"/>
      <c r="CM63" s="62"/>
      <c r="CN63" s="62"/>
      <c r="CO63" s="62"/>
      <c r="CP63" s="62"/>
      <c r="CQ63" s="62"/>
      <c r="CR63" s="62"/>
      <c r="CS63" s="62"/>
      <c r="CT63" s="62"/>
      <c r="CU63" s="62"/>
      <c r="CV63" s="62"/>
      <c r="CW63" s="62"/>
      <c r="CX63" s="62"/>
      <c r="CY63" s="62"/>
      <c r="CZ63" s="62"/>
      <c r="DA63" s="62"/>
      <c r="DB63" s="62"/>
      <c r="DC63" s="62"/>
      <c r="DD63" s="62"/>
      <c r="DE63" s="62"/>
      <c r="DF63" s="62"/>
      <c r="DG63" s="62"/>
      <c r="DH63" s="62"/>
      <c r="DI63" s="62"/>
      <c r="DJ63" s="62"/>
      <c r="DK63" s="62"/>
      <c r="DL63" s="62"/>
      <c r="DM63" s="62"/>
      <c r="DN63" s="62"/>
      <c r="DO63" s="62"/>
      <c r="DP63" s="62"/>
      <c r="DQ63" s="62"/>
      <c r="DR63" s="62"/>
      <c r="DS63" s="62"/>
      <c r="DT63" s="62"/>
      <c r="DU63" s="62"/>
      <c r="DV63" s="62"/>
      <c r="DW63" s="62"/>
      <c r="DX63" s="62"/>
      <c r="DY63" s="62"/>
      <c r="DZ63" s="62"/>
      <c r="EA63" s="62"/>
      <c r="EB63" s="62"/>
      <c r="EC63" s="62"/>
      <c r="ED63" s="62"/>
      <c r="EE63" s="62"/>
      <c r="EF63" s="62"/>
      <c r="EG63" s="62"/>
      <c r="EH63" s="62"/>
      <c r="EI63" s="62"/>
      <c r="EJ63" s="62"/>
      <c r="EK63" s="62"/>
      <c r="EL63" s="62"/>
      <c r="EM63" s="62"/>
      <c r="EN63" s="62"/>
      <c r="EO63" s="62"/>
      <c r="EP63" s="62"/>
      <c r="EQ63" s="62"/>
      <c r="ER63" s="62"/>
      <c r="ES63" s="62"/>
      <c r="ET63" s="62"/>
      <c r="EU63" s="62"/>
      <c r="EV63" s="62"/>
      <c r="EW63" s="62"/>
      <c r="EX63" s="62"/>
      <c r="EY63" s="62"/>
      <c r="EZ63" s="62"/>
      <c r="FA63" s="62"/>
      <c r="FB63" s="62"/>
      <c r="FC63" s="62"/>
      <c r="FD63" s="62"/>
      <c r="FE63" s="62"/>
      <c r="FF63" s="62"/>
      <c r="FG63" s="62"/>
      <c r="FH63" s="62"/>
      <c r="FI63" s="62"/>
      <c r="FJ63" s="62"/>
      <c r="FK63" s="62"/>
      <c r="FL63" s="62"/>
      <c r="FM63" s="62"/>
      <c r="FN63" s="62"/>
      <c r="FO63" s="62"/>
      <c r="FP63" s="62"/>
      <c r="FQ63" s="62"/>
      <c r="FR63" s="62"/>
      <c r="FS63" s="62"/>
      <c r="FT63" s="62"/>
      <c r="FU63" s="62"/>
      <c r="FV63" s="62"/>
      <c r="FW63" s="62"/>
      <c r="FX63" s="62"/>
      <c r="FY63" s="62"/>
      <c r="FZ63" s="62"/>
      <c r="GA63" s="62"/>
      <c r="GB63" s="62"/>
      <c r="GC63" s="62"/>
      <c r="GD63" s="62"/>
      <c r="GE63" s="62"/>
      <c r="GF63" s="62"/>
      <c r="GG63" s="62"/>
      <c r="GH63" s="62"/>
      <c r="GI63" s="62"/>
      <c r="GJ63" s="62"/>
      <c r="GK63" s="62"/>
      <c r="GL63" s="62"/>
      <c r="GM63" s="62"/>
      <c r="GN63" s="62"/>
      <c r="GO63" s="62"/>
      <c r="GP63" s="62"/>
      <c r="GQ63" s="62"/>
      <c r="GR63" s="62"/>
      <c r="GS63" s="62"/>
      <c r="GT63" s="62"/>
      <c r="GU63" s="62"/>
    </row>
    <row r="64" spans="1:203" x14ac:dyDescent="0.25">
      <c r="A64" s="8" t="s">
        <v>47</v>
      </c>
      <c r="B64" s="176" t="str">
        <f>DATA!J68</f>
        <v/>
      </c>
      <c r="C64" s="140">
        <f>DATA!K68</f>
        <v>0</v>
      </c>
      <c r="D64" s="62"/>
      <c r="E64" s="62"/>
      <c r="F64" s="62"/>
      <c r="G64" s="62"/>
      <c r="H64" s="62"/>
      <c r="I64" s="62"/>
      <c r="J64" s="62"/>
      <c r="K64" s="62"/>
      <c r="L64" s="62"/>
      <c r="M64" s="62"/>
      <c r="N64" s="62"/>
      <c r="O64" s="62"/>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c r="BM64" s="62"/>
      <c r="BN64" s="62"/>
      <c r="BO64" s="62"/>
      <c r="BP64" s="62"/>
      <c r="BQ64" s="62"/>
      <c r="BR64" s="62"/>
      <c r="BS64" s="62"/>
      <c r="BT64" s="62"/>
      <c r="BU64" s="62"/>
      <c r="BV64" s="62"/>
      <c r="BW64" s="62"/>
      <c r="BX64" s="62"/>
      <c r="BY64" s="62"/>
      <c r="BZ64" s="62"/>
      <c r="CA64" s="62"/>
      <c r="CB64" s="62"/>
      <c r="CC64" s="62"/>
      <c r="CD64" s="62"/>
      <c r="CE64" s="62"/>
      <c r="CF64" s="62"/>
      <c r="CG64" s="62"/>
      <c r="CH64" s="62"/>
      <c r="CI64" s="62"/>
      <c r="CJ64" s="62"/>
      <c r="CK64" s="62"/>
      <c r="CL64" s="62"/>
      <c r="CM64" s="62"/>
      <c r="CN64" s="62"/>
      <c r="CO64" s="62"/>
      <c r="CP64" s="62"/>
      <c r="CQ64" s="62"/>
      <c r="CR64" s="62"/>
      <c r="CS64" s="62"/>
      <c r="CT64" s="62"/>
      <c r="CU64" s="62"/>
      <c r="CV64" s="62"/>
      <c r="CW64" s="62"/>
      <c r="CX64" s="62"/>
      <c r="CY64" s="62"/>
      <c r="CZ64" s="62"/>
      <c r="DA64" s="62"/>
      <c r="DB64" s="62"/>
      <c r="DC64" s="62"/>
      <c r="DD64" s="62"/>
      <c r="DE64" s="62"/>
      <c r="DF64" s="62"/>
      <c r="DG64" s="62"/>
      <c r="DH64" s="62"/>
      <c r="DI64" s="62"/>
      <c r="DJ64" s="62"/>
      <c r="DK64" s="62"/>
      <c r="DL64" s="62"/>
      <c r="DM64" s="62"/>
      <c r="DN64" s="62"/>
      <c r="DO64" s="62"/>
      <c r="DP64" s="62"/>
      <c r="DQ64" s="62"/>
      <c r="DR64" s="62"/>
      <c r="DS64" s="62"/>
      <c r="DT64" s="62"/>
      <c r="DU64" s="62"/>
      <c r="DV64" s="62"/>
      <c r="DW64" s="62"/>
      <c r="DX64" s="62"/>
      <c r="DY64" s="62"/>
      <c r="DZ64" s="62"/>
      <c r="EA64" s="62"/>
      <c r="EB64" s="62"/>
      <c r="EC64" s="62"/>
      <c r="ED64" s="62"/>
      <c r="EE64" s="62"/>
      <c r="EF64" s="62"/>
      <c r="EG64" s="62"/>
      <c r="EH64" s="62"/>
      <c r="EI64" s="62"/>
      <c r="EJ64" s="62"/>
      <c r="EK64" s="62"/>
      <c r="EL64" s="62"/>
      <c r="EM64" s="62"/>
      <c r="EN64" s="62"/>
      <c r="EO64" s="62"/>
      <c r="EP64" s="62"/>
      <c r="EQ64" s="62"/>
      <c r="ER64" s="62"/>
      <c r="ES64" s="62"/>
      <c r="ET64" s="62"/>
      <c r="EU64" s="62"/>
      <c r="EV64" s="62"/>
      <c r="EW64" s="62"/>
      <c r="EX64" s="62"/>
      <c r="EY64" s="62"/>
      <c r="EZ64" s="62"/>
      <c r="FA64" s="62"/>
      <c r="FB64" s="62"/>
      <c r="FC64" s="62"/>
      <c r="FD64" s="62"/>
      <c r="FE64" s="62"/>
      <c r="FF64" s="62"/>
      <c r="FG64" s="62"/>
      <c r="FH64" s="62"/>
      <c r="FI64" s="62"/>
      <c r="FJ64" s="62"/>
      <c r="FK64" s="62"/>
      <c r="FL64" s="62"/>
      <c r="FM64" s="62"/>
      <c r="FN64" s="62"/>
      <c r="FO64" s="62"/>
      <c r="FP64" s="62"/>
      <c r="FQ64" s="62"/>
      <c r="FR64" s="62"/>
      <c r="FS64" s="62"/>
      <c r="FT64" s="62"/>
      <c r="FU64" s="62"/>
      <c r="FV64" s="62"/>
      <c r="FW64" s="62"/>
      <c r="FX64" s="62"/>
      <c r="FY64" s="62"/>
      <c r="FZ64" s="62"/>
      <c r="GA64" s="62"/>
      <c r="GB64" s="62"/>
      <c r="GC64" s="62"/>
      <c r="GD64" s="62"/>
      <c r="GE64" s="62"/>
      <c r="GF64" s="62"/>
      <c r="GG64" s="62"/>
      <c r="GH64" s="62"/>
      <c r="GI64" s="62"/>
      <c r="GJ64" s="62"/>
      <c r="GK64" s="62"/>
      <c r="GL64" s="62"/>
      <c r="GM64" s="62"/>
      <c r="GN64" s="62"/>
      <c r="GO64" s="62"/>
      <c r="GP64" s="62"/>
      <c r="GQ64" s="62"/>
      <c r="GR64" s="62"/>
      <c r="GS64" s="62"/>
      <c r="GT64" s="62"/>
      <c r="GU64" s="62"/>
    </row>
    <row r="65" spans="1:203" x14ac:dyDescent="0.25">
      <c r="A65" s="8" t="s">
        <v>48</v>
      </c>
      <c r="B65" s="176" t="str">
        <f>DATA!J69</f>
        <v/>
      </c>
      <c r="C65" s="140">
        <f>DATA!K69</f>
        <v>0</v>
      </c>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c r="DM65" s="62"/>
      <c r="DN65" s="62"/>
      <c r="DO65" s="62"/>
      <c r="DP65" s="62"/>
      <c r="DQ65" s="62"/>
      <c r="DR65" s="62"/>
      <c r="DS65" s="62"/>
      <c r="DT65" s="62"/>
      <c r="DU65" s="62"/>
      <c r="DV65" s="62"/>
      <c r="DW65" s="62"/>
      <c r="DX65" s="62"/>
      <c r="DY65" s="62"/>
      <c r="DZ65" s="62"/>
      <c r="EA65" s="62"/>
      <c r="EB65" s="62"/>
      <c r="EC65" s="62"/>
      <c r="ED65" s="62"/>
      <c r="EE65" s="62"/>
      <c r="EF65" s="62"/>
      <c r="EG65" s="62"/>
      <c r="EH65" s="62"/>
      <c r="EI65" s="62"/>
      <c r="EJ65" s="62"/>
      <c r="EK65" s="62"/>
      <c r="EL65" s="62"/>
      <c r="EM65" s="62"/>
      <c r="EN65" s="62"/>
      <c r="EO65" s="62"/>
      <c r="EP65" s="62"/>
      <c r="EQ65" s="62"/>
      <c r="ER65" s="62"/>
      <c r="ES65" s="62"/>
      <c r="ET65" s="62"/>
      <c r="EU65" s="62"/>
      <c r="EV65" s="62"/>
      <c r="EW65" s="62"/>
      <c r="EX65" s="62"/>
      <c r="EY65" s="62"/>
      <c r="EZ65" s="62"/>
      <c r="FA65" s="62"/>
      <c r="FB65" s="62"/>
      <c r="FC65" s="62"/>
      <c r="FD65" s="62"/>
      <c r="FE65" s="62"/>
      <c r="FF65" s="62"/>
      <c r="FG65" s="62"/>
      <c r="FH65" s="62"/>
      <c r="FI65" s="62"/>
      <c r="FJ65" s="62"/>
      <c r="FK65" s="62"/>
      <c r="FL65" s="62"/>
      <c r="FM65" s="62"/>
      <c r="FN65" s="62"/>
      <c r="FO65" s="62"/>
      <c r="FP65" s="62"/>
      <c r="FQ65" s="62"/>
      <c r="FR65" s="62"/>
      <c r="FS65" s="62"/>
      <c r="FT65" s="62"/>
      <c r="FU65" s="62"/>
      <c r="FV65" s="62"/>
      <c r="FW65" s="62"/>
      <c r="FX65" s="62"/>
      <c r="FY65" s="62"/>
      <c r="FZ65" s="62"/>
      <c r="GA65" s="62"/>
      <c r="GB65" s="62"/>
      <c r="GC65" s="62"/>
      <c r="GD65" s="62"/>
      <c r="GE65" s="62"/>
      <c r="GF65" s="62"/>
      <c r="GG65" s="62"/>
      <c r="GH65" s="62"/>
      <c r="GI65" s="62"/>
      <c r="GJ65" s="62"/>
      <c r="GK65" s="62"/>
      <c r="GL65" s="62"/>
      <c r="GM65" s="62"/>
      <c r="GN65" s="62"/>
      <c r="GO65" s="62"/>
      <c r="GP65" s="62"/>
      <c r="GQ65" s="62"/>
      <c r="GR65" s="62"/>
      <c r="GS65" s="62"/>
      <c r="GT65" s="62"/>
      <c r="GU65" s="62"/>
    </row>
    <row r="66" spans="1:203" x14ac:dyDescent="0.25">
      <c r="A66" s="8" t="s">
        <v>195</v>
      </c>
      <c r="B66" s="176" t="str">
        <f>DATA!J70</f>
        <v/>
      </c>
      <c r="C66" s="140">
        <f>DATA!K70</f>
        <v>0</v>
      </c>
      <c r="D66" s="62"/>
      <c r="E66" s="62"/>
      <c r="F66" s="62"/>
      <c r="G66" s="62"/>
      <c r="H66" s="62"/>
      <c r="I66" s="62"/>
      <c r="J66" s="62"/>
      <c r="K66" s="62"/>
      <c r="L66" s="62"/>
      <c r="M66" s="62"/>
      <c r="N66" s="62"/>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2"/>
      <c r="CI66" s="62"/>
      <c r="CJ66" s="62"/>
      <c r="CK66" s="62"/>
      <c r="CL66" s="62"/>
      <c r="CM66" s="62"/>
      <c r="CN66" s="62"/>
      <c r="CO66" s="62"/>
      <c r="CP66" s="62"/>
      <c r="CQ66" s="62"/>
      <c r="CR66" s="62"/>
      <c r="CS66" s="62"/>
      <c r="CT66" s="62"/>
      <c r="CU66" s="62"/>
      <c r="CV66" s="62"/>
      <c r="CW66" s="62"/>
      <c r="CX66" s="62"/>
      <c r="CY66" s="62"/>
      <c r="CZ66" s="62"/>
      <c r="DA66" s="62"/>
      <c r="DB66" s="62"/>
      <c r="DC66" s="62"/>
      <c r="DD66" s="62"/>
      <c r="DE66" s="62"/>
      <c r="DF66" s="62"/>
      <c r="DG66" s="62"/>
      <c r="DH66" s="62"/>
      <c r="DI66" s="62"/>
      <c r="DJ66" s="62"/>
      <c r="DK66" s="62"/>
      <c r="DL66" s="62"/>
      <c r="DM66" s="62"/>
      <c r="DN66" s="62"/>
      <c r="DO66" s="62"/>
      <c r="DP66" s="62"/>
      <c r="DQ66" s="62"/>
      <c r="DR66" s="62"/>
      <c r="DS66" s="62"/>
      <c r="DT66" s="62"/>
      <c r="DU66" s="62"/>
      <c r="DV66" s="62"/>
      <c r="DW66" s="62"/>
      <c r="DX66" s="62"/>
      <c r="DY66" s="62"/>
      <c r="DZ66" s="62"/>
      <c r="EA66" s="62"/>
      <c r="EB66" s="62"/>
      <c r="EC66" s="62"/>
      <c r="ED66" s="62"/>
      <c r="EE66" s="62"/>
      <c r="EF66" s="62"/>
      <c r="EG66" s="62"/>
      <c r="EH66" s="62"/>
      <c r="EI66" s="62"/>
      <c r="EJ66" s="62"/>
      <c r="EK66" s="62"/>
      <c r="EL66" s="62"/>
      <c r="EM66" s="62"/>
      <c r="EN66" s="62"/>
      <c r="EO66" s="62"/>
      <c r="EP66" s="62"/>
      <c r="EQ66" s="62"/>
      <c r="ER66" s="62"/>
      <c r="ES66" s="62"/>
      <c r="ET66" s="62"/>
      <c r="EU66" s="62"/>
      <c r="EV66" s="62"/>
      <c r="EW66" s="62"/>
      <c r="EX66" s="62"/>
      <c r="EY66" s="62"/>
      <c r="EZ66" s="62"/>
      <c r="FA66" s="62"/>
      <c r="FB66" s="62"/>
      <c r="FC66" s="62"/>
      <c r="FD66" s="62"/>
      <c r="FE66" s="62"/>
      <c r="FF66" s="62"/>
      <c r="FG66" s="62"/>
      <c r="FH66" s="62"/>
      <c r="FI66" s="62"/>
      <c r="FJ66" s="62"/>
      <c r="FK66" s="62"/>
      <c r="FL66" s="62"/>
      <c r="FM66" s="62"/>
      <c r="FN66" s="62"/>
      <c r="FO66" s="62"/>
      <c r="FP66" s="62"/>
      <c r="FQ66" s="62"/>
      <c r="FR66" s="62"/>
      <c r="FS66" s="62"/>
      <c r="FT66" s="62"/>
      <c r="FU66" s="62"/>
      <c r="FV66" s="62"/>
      <c r="FW66" s="62"/>
      <c r="FX66" s="62"/>
      <c r="FY66" s="62"/>
      <c r="FZ66" s="62"/>
      <c r="GA66" s="62"/>
      <c r="GB66" s="62"/>
      <c r="GC66" s="62"/>
      <c r="GD66" s="62"/>
      <c r="GE66" s="62"/>
      <c r="GF66" s="62"/>
      <c r="GG66" s="62"/>
      <c r="GH66" s="62"/>
      <c r="GI66" s="62"/>
      <c r="GJ66" s="62"/>
      <c r="GK66" s="62"/>
      <c r="GL66" s="62"/>
      <c r="GM66" s="62"/>
      <c r="GN66" s="62"/>
      <c r="GO66" s="62"/>
      <c r="GP66" s="62"/>
      <c r="GQ66" s="62"/>
      <c r="GR66" s="62"/>
      <c r="GS66" s="62"/>
      <c r="GT66" s="62"/>
      <c r="GU66" s="62"/>
    </row>
    <row r="67" spans="1:203" x14ac:dyDescent="0.25">
      <c r="A67" s="8" t="s">
        <v>50</v>
      </c>
      <c r="B67" s="176" t="str">
        <f>DATA!J71</f>
        <v/>
      </c>
      <c r="C67" s="140">
        <f>DATA!K71</f>
        <v>0</v>
      </c>
      <c r="D67" s="62"/>
      <c r="E67" s="62"/>
      <c r="F67" s="62"/>
      <c r="G67" s="62"/>
      <c r="H67" s="62"/>
      <c r="I67" s="62"/>
      <c r="J67" s="62"/>
      <c r="K67" s="62"/>
      <c r="L67" s="62"/>
      <c r="M67" s="62"/>
      <c r="N67" s="62"/>
      <c r="O67" s="62"/>
      <c r="P67" s="62"/>
      <c r="Q67" s="62"/>
      <c r="R67" s="62"/>
      <c r="S67" s="62"/>
      <c r="T67" s="62"/>
      <c r="U67" s="62"/>
      <c r="V67" s="62"/>
      <c r="W67" s="62"/>
      <c r="X67" s="62"/>
      <c r="Y67" s="62"/>
      <c r="Z67" s="62"/>
      <c r="AA67" s="62"/>
      <c r="AB67" s="62"/>
      <c r="AC67" s="62"/>
      <c r="AD67" s="62"/>
      <c r="AE67" s="62"/>
      <c r="AF67" s="62"/>
      <c r="AG67" s="62"/>
      <c r="AH67" s="62"/>
      <c r="AI67" s="62"/>
      <c r="AJ67" s="62"/>
      <c r="AK67" s="62"/>
      <c r="AL67" s="62"/>
      <c r="AM67" s="62"/>
      <c r="AN67" s="62"/>
      <c r="AO67" s="62"/>
      <c r="AP67" s="62"/>
      <c r="AQ67" s="62"/>
      <c r="AR67" s="62"/>
      <c r="AS67" s="62"/>
      <c r="AT67" s="62"/>
      <c r="AU67" s="62"/>
      <c r="AV67" s="62"/>
      <c r="AW67" s="62"/>
      <c r="AX67" s="62"/>
      <c r="AY67" s="62"/>
      <c r="AZ67" s="62"/>
      <c r="BA67" s="62"/>
      <c r="BB67" s="62"/>
      <c r="BC67" s="62"/>
      <c r="BD67" s="62"/>
      <c r="BE67" s="62"/>
      <c r="BF67" s="62"/>
      <c r="BG67" s="62"/>
      <c r="BH67" s="62"/>
      <c r="BI67" s="62"/>
      <c r="BJ67" s="62"/>
      <c r="BK67" s="62"/>
      <c r="BL67" s="62"/>
      <c r="BM67" s="62"/>
      <c r="BN67" s="62"/>
      <c r="BO67" s="62"/>
      <c r="BP67" s="62"/>
      <c r="BQ67" s="62"/>
      <c r="BR67" s="62"/>
      <c r="BS67" s="62"/>
      <c r="BT67" s="62"/>
      <c r="BU67" s="62"/>
      <c r="BV67" s="62"/>
      <c r="BW67" s="62"/>
      <c r="BX67" s="62"/>
      <c r="BY67" s="62"/>
      <c r="BZ67" s="62"/>
      <c r="CA67" s="62"/>
      <c r="CB67" s="62"/>
      <c r="CC67" s="62"/>
      <c r="CD67" s="62"/>
      <c r="CE67" s="62"/>
      <c r="CF67" s="62"/>
      <c r="CG67" s="62"/>
      <c r="CH67" s="62"/>
      <c r="CI67" s="62"/>
      <c r="CJ67" s="62"/>
      <c r="CK67" s="62"/>
      <c r="CL67" s="62"/>
      <c r="CM67" s="62"/>
      <c r="CN67" s="62"/>
      <c r="CO67" s="62"/>
      <c r="CP67" s="62"/>
      <c r="CQ67" s="62"/>
      <c r="CR67" s="62"/>
      <c r="CS67" s="62"/>
      <c r="CT67" s="62"/>
      <c r="CU67" s="62"/>
      <c r="CV67" s="62"/>
      <c r="CW67" s="62"/>
      <c r="CX67" s="62"/>
      <c r="CY67" s="62"/>
      <c r="CZ67" s="62"/>
      <c r="DA67" s="62"/>
      <c r="DB67" s="62"/>
      <c r="DC67" s="62"/>
      <c r="DD67" s="62"/>
      <c r="DE67" s="62"/>
      <c r="DF67" s="62"/>
      <c r="DG67" s="62"/>
      <c r="DH67" s="62"/>
      <c r="DI67" s="62"/>
      <c r="DJ67" s="62"/>
      <c r="DK67" s="62"/>
      <c r="DL67" s="62"/>
      <c r="DM67" s="62"/>
      <c r="DN67" s="62"/>
      <c r="DO67" s="62"/>
      <c r="DP67" s="62"/>
      <c r="DQ67" s="62"/>
      <c r="DR67" s="62"/>
      <c r="DS67" s="62"/>
      <c r="DT67" s="62"/>
      <c r="DU67" s="62"/>
      <c r="DV67" s="62"/>
      <c r="DW67" s="62"/>
      <c r="DX67" s="62"/>
      <c r="DY67" s="62"/>
      <c r="DZ67" s="62"/>
      <c r="EA67" s="62"/>
      <c r="EB67" s="62"/>
      <c r="EC67" s="62"/>
      <c r="ED67" s="62"/>
      <c r="EE67" s="62"/>
      <c r="EF67" s="62"/>
      <c r="EG67" s="62"/>
      <c r="EH67" s="62"/>
      <c r="EI67" s="62"/>
      <c r="EJ67" s="62"/>
      <c r="EK67" s="62"/>
      <c r="EL67" s="62"/>
      <c r="EM67" s="62"/>
      <c r="EN67" s="62"/>
      <c r="EO67" s="62"/>
      <c r="EP67" s="62"/>
      <c r="EQ67" s="62"/>
      <c r="ER67" s="62"/>
      <c r="ES67" s="62"/>
      <c r="ET67" s="62"/>
      <c r="EU67" s="62"/>
      <c r="EV67" s="62"/>
      <c r="EW67" s="62"/>
      <c r="EX67" s="62"/>
      <c r="EY67" s="62"/>
      <c r="EZ67" s="62"/>
      <c r="FA67" s="62"/>
      <c r="FB67" s="62"/>
      <c r="FC67" s="62"/>
      <c r="FD67" s="62"/>
      <c r="FE67" s="62"/>
      <c r="FF67" s="62"/>
      <c r="FG67" s="62"/>
      <c r="FH67" s="62"/>
      <c r="FI67" s="62"/>
      <c r="FJ67" s="62"/>
      <c r="FK67" s="62"/>
      <c r="FL67" s="62"/>
      <c r="FM67" s="62"/>
      <c r="FN67" s="62"/>
      <c r="FO67" s="62"/>
      <c r="FP67" s="62"/>
      <c r="FQ67" s="62"/>
      <c r="FR67" s="62"/>
      <c r="FS67" s="62"/>
      <c r="FT67" s="62"/>
      <c r="FU67" s="62"/>
      <c r="FV67" s="62"/>
      <c r="FW67" s="62"/>
      <c r="FX67" s="62"/>
      <c r="FY67" s="62"/>
      <c r="FZ67" s="62"/>
      <c r="GA67" s="62"/>
      <c r="GB67" s="62"/>
      <c r="GC67" s="62"/>
      <c r="GD67" s="62"/>
      <c r="GE67" s="62"/>
      <c r="GF67" s="62"/>
      <c r="GG67" s="62"/>
      <c r="GH67" s="62"/>
      <c r="GI67" s="62"/>
      <c r="GJ67" s="62"/>
      <c r="GK67" s="62"/>
      <c r="GL67" s="62"/>
      <c r="GM67" s="62"/>
      <c r="GN67" s="62"/>
      <c r="GO67" s="62"/>
      <c r="GP67" s="62"/>
      <c r="GQ67" s="62"/>
      <c r="GR67" s="62"/>
      <c r="GS67" s="62"/>
      <c r="GT67" s="62"/>
      <c r="GU67" s="62"/>
    </row>
    <row r="68" spans="1:203" x14ac:dyDescent="0.25">
      <c r="A68" s="8" t="s">
        <v>51</v>
      </c>
      <c r="B68" s="176" t="str">
        <f>DATA!J72</f>
        <v/>
      </c>
      <c r="C68" s="140">
        <f>DATA!K72</f>
        <v>0</v>
      </c>
      <c r="D68" s="62"/>
      <c r="E68" s="62"/>
      <c r="F68" s="62"/>
      <c r="G68" s="62"/>
      <c r="H68" s="62"/>
      <c r="I68" s="62"/>
      <c r="J68" s="62"/>
      <c r="K68" s="62"/>
      <c r="L68" s="62"/>
      <c r="M68" s="62"/>
      <c r="N68" s="62"/>
      <c r="O68" s="62"/>
      <c r="P68" s="62"/>
      <c r="Q68" s="62"/>
      <c r="R68" s="62"/>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62"/>
      <c r="BN68" s="62"/>
      <c r="BO68" s="62"/>
      <c r="BP68" s="62"/>
      <c r="BQ68" s="62"/>
      <c r="BR68" s="62"/>
      <c r="BS68" s="62"/>
      <c r="BT68" s="62"/>
      <c r="BU68" s="62"/>
      <c r="BV68" s="62"/>
      <c r="BW68" s="62"/>
      <c r="BX68" s="62"/>
      <c r="BY68" s="62"/>
      <c r="BZ68" s="62"/>
      <c r="CA68" s="62"/>
      <c r="CB68" s="62"/>
      <c r="CC68" s="62"/>
      <c r="CD68" s="62"/>
      <c r="CE68" s="62"/>
      <c r="CF68" s="62"/>
      <c r="CG68" s="62"/>
      <c r="CH68" s="62"/>
      <c r="CI68" s="62"/>
      <c r="CJ68" s="62"/>
      <c r="CK68" s="62"/>
      <c r="CL68" s="62"/>
      <c r="CM68" s="62"/>
      <c r="CN68" s="62"/>
      <c r="CO68" s="62"/>
      <c r="CP68" s="62"/>
      <c r="CQ68" s="62"/>
      <c r="CR68" s="62"/>
      <c r="CS68" s="62"/>
      <c r="CT68" s="62"/>
      <c r="CU68" s="62"/>
      <c r="CV68" s="62"/>
      <c r="CW68" s="62"/>
      <c r="CX68" s="62"/>
      <c r="CY68" s="62"/>
      <c r="CZ68" s="62"/>
      <c r="DA68" s="62"/>
      <c r="DB68" s="62"/>
      <c r="DC68" s="62"/>
      <c r="DD68" s="62"/>
      <c r="DE68" s="62"/>
      <c r="DF68" s="62"/>
      <c r="DG68" s="62"/>
      <c r="DH68" s="62"/>
      <c r="DI68" s="62"/>
      <c r="DJ68" s="62"/>
      <c r="DK68" s="62"/>
      <c r="DL68" s="62"/>
      <c r="DM68" s="62"/>
      <c r="DN68" s="62"/>
      <c r="DO68" s="62"/>
      <c r="DP68" s="62"/>
      <c r="DQ68" s="62"/>
      <c r="DR68" s="62"/>
      <c r="DS68" s="62"/>
      <c r="DT68" s="62"/>
      <c r="DU68" s="62"/>
      <c r="DV68" s="62"/>
      <c r="DW68" s="62"/>
      <c r="DX68" s="62"/>
      <c r="DY68" s="62"/>
      <c r="DZ68" s="62"/>
      <c r="EA68" s="62"/>
      <c r="EB68" s="62"/>
      <c r="EC68" s="62"/>
      <c r="ED68" s="62"/>
      <c r="EE68" s="62"/>
      <c r="EF68" s="62"/>
      <c r="EG68" s="62"/>
      <c r="EH68" s="62"/>
      <c r="EI68" s="62"/>
      <c r="EJ68" s="62"/>
      <c r="EK68" s="62"/>
      <c r="EL68" s="62"/>
      <c r="EM68" s="62"/>
      <c r="EN68" s="62"/>
      <c r="EO68" s="62"/>
      <c r="EP68" s="62"/>
      <c r="EQ68" s="62"/>
      <c r="ER68" s="62"/>
      <c r="ES68" s="62"/>
      <c r="ET68" s="62"/>
      <c r="EU68" s="62"/>
      <c r="EV68" s="62"/>
      <c r="EW68" s="62"/>
      <c r="EX68" s="62"/>
      <c r="EY68" s="62"/>
      <c r="EZ68" s="62"/>
      <c r="FA68" s="62"/>
      <c r="FB68" s="62"/>
      <c r="FC68" s="62"/>
      <c r="FD68" s="62"/>
      <c r="FE68" s="62"/>
      <c r="FF68" s="62"/>
      <c r="FG68" s="62"/>
      <c r="FH68" s="62"/>
      <c r="FI68" s="62"/>
      <c r="FJ68" s="62"/>
      <c r="FK68" s="62"/>
      <c r="FL68" s="62"/>
      <c r="FM68" s="62"/>
      <c r="FN68" s="62"/>
      <c r="FO68" s="62"/>
      <c r="FP68" s="62"/>
      <c r="FQ68" s="62"/>
      <c r="FR68" s="62"/>
      <c r="FS68" s="62"/>
      <c r="FT68" s="62"/>
      <c r="FU68" s="62"/>
      <c r="FV68" s="62"/>
      <c r="FW68" s="62"/>
      <c r="FX68" s="62"/>
      <c r="FY68" s="62"/>
      <c r="FZ68" s="62"/>
      <c r="GA68" s="62"/>
      <c r="GB68" s="62"/>
      <c r="GC68" s="62"/>
      <c r="GD68" s="62"/>
      <c r="GE68" s="62"/>
      <c r="GF68" s="62"/>
      <c r="GG68" s="62"/>
      <c r="GH68" s="62"/>
      <c r="GI68" s="62"/>
      <c r="GJ68" s="62"/>
      <c r="GK68" s="62"/>
      <c r="GL68" s="62"/>
      <c r="GM68" s="62"/>
      <c r="GN68" s="62"/>
      <c r="GO68" s="62"/>
      <c r="GP68" s="62"/>
      <c r="GQ68" s="62"/>
      <c r="GR68" s="62"/>
      <c r="GS68" s="62"/>
      <c r="GT68" s="62"/>
      <c r="GU68" s="62"/>
    </row>
    <row r="69" spans="1:203" x14ac:dyDescent="0.25">
      <c r="A69" s="8" t="s">
        <v>253</v>
      </c>
      <c r="B69" s="176" t="str">
        <f>DATA!J73</f>
        <v/>
      </c>
      <c r="C69" s="140">
        <f>DATA!K73</f>
        <v>0</v>
      </c>
      <c r="D69" s="62"/>
      <c r="E69" s="62"/>
      <c r="F69" s="62"/>
      <c r="G69" s="62"/>
      <c r="H69" s="62"/>
      <c r="I69" s="62"/>
      <c r="J69" s="62"/>
      <c r="K69" s="62"/>
      <c r="L69" s="62"/>
      <c r="M69" s="62"/>
      <c r="N69" s="62"/>
      <c r="O69" s="62"/>
      <c r="P69" s="62"/>
      <c r="Q69" s="62"/>
      <c r="R69" s="62"/>
      <c r="S69" s="62"/>
      <c r="T69" s="62"/>
      <c r="U69" s="62"/>
      <c r="V69" s="62"/>
      <c r="W69" s="62"/>
      <c r="X69" s="62"/>
      <c r="Y69" s="62"/>
      <c r="Z69" s="62"/>
      <c r="AA69" s="62"/>
      <c r="AB69" s="62"/>
      <c r="AC69" s="62"/>
      <c r="AD69" s="62"/>
      <c r="AE69" s="62"/>
      <c r="AF69" s="62"/>
      <c r="AG69" s="62"/>
      <c r="AH69" s="62"/>
      <c r="AI69" s="62"/>
      <c r="AJ69" s="62"/>
      <c r="AK69" s="62"/>
      <c r="AL69" s="62"/>
      <c r="AM69" s="62"/>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62"/>
      <c r="BL69" s="62"/>
      <c r="BM69" s="62"/>
      <c r="BN69" s="62"/>
      <c r="BO69" s="62"/>
      <c r="BP69" s="62"/>
      <c r="BQ69" s="62"/>
      <c r="BR69" s="62"/>
      <c r="BS69" s="62"/>
      <c r="BT69" s="62"/>
      <c r="BU69" s="62"/>
      <c r="BV69" s="62"/>
      <c r="BW69" s="62"/>
      <c r="BX69" s="62"/>
      <c r="BY69" s="62"/>
      <c r="BZ69" s="62"/>
      <c r="CA69" s="62"/>
      <c r="CB69" s="62"/>
      <c r="CC69" s="62"/>
      <c r="CD69" s="62"/>
      <c r="CE69" s="62"/>
      <c r="CF69" s="62"/>
      <c r="CG69" s="62"/>
      <c r="CH69" s="62"/>
      <c r="CI69" s="62"/>
      <c r="CJ69" s="62"/>
      <c r="CK69" s="62"/>
      <c r="CL69" s="62"/>
      <c r="CM69" s="62"/>
      <c r="CN69" s="62"/>
      <c r="CO69" s="62"/>
      <c r="CP69" s="62"/>
      <c r="CQ69" s="62"/>
      <c r="CR69" s="62"/>
      <c r="CS69" s="62"/>
      <c r="CT69" s="62"/>
      <c r="CU69" s="62"/>
      <c r="CV69" s="62"/>
      <c r="CW69" s="62"/>
      <c r="CX69" s="62"/>
      <c r="CY69" s="62"/>
      <c r="CZ69" s="62"/>
      <c r="DA69" s="62"/>
      <c r="DB69" s="62"/>
      <c r="DC69" s="62"/>
      <c r="DD69" s="62"/>
      <c r="DE69" s="62"/>
      <c r="DF69" s="62"/>
      <c r="DG69" s="62"/>
      <c r="DH69" s="62"/>
      <c r="DI69" s="62"/>
      <c r="DJ69" s="62"/>
      <c r="DK69" s="62"/>
      <c r="DL69" s="62"/>
      <c r="DM69" s="62"/>
      <c r="DN69" s="62"/>
      <c r="DO69" s="62"/>
      <c r="DP69" s="62"/>
      <c r="DQ69" s="62"/>
      <c r="DR69" s="62"/>
      <c r="DS69" s="62"/>
      <c r="DT69" s="62"/>
      <c r="DU69" s="62"/>
      <c r="DV69" s="62"/>
      <c r="DW69" s="62"/>
      <c r="DX69" s="62"/>
      <c r="DY69" s="62"/>
      <c r="DZ69" s="62"/>
      <c r="EA69" s="62"/>
      <c r="EB69" s="62"/>
      <c r="EC69" s="62"/>
      <c r="ED69" s="62"/>
      <c r="EE69" s="62"/>
      <c r="EF69" s="62"/>
      <c r="EG69" s="62"/>
      <c r="EH69" s="62"/>
      <c r="EI69" s="62"/>
      <c r="EJ69" s="62"/>
      <c r="EK69" s="62"/>
      <c r="EL69" s="62"/>
      <c r="EM69" s="62"/>
      <c r="EN69" s="62"/>
      <c r="EO69" s="62"/>
      <c r="EP69" s="62"/>
      <c r="EQ69" s="62"/>
      <c r="ER69" s="62"/>
      <c r="ES69" s="62"/>
      <c r="ET69" s="62"/>
      <c r="EU69" s="62"/>
      <c r="EV69" s="62"/>
      <c r="EW69" s="62"/>
      <c r="EX69" s="62"/>
      <c r="EY69" s="62"/>
      <c r="EZ69" s="62"/>
      <c r="FA69" s="62"/>
      <c r="FB69" s="62"/>
      <c r="FC69" s="62"/>
      <c r="FD69" s="62"/>
      <c r="FE69" s="62"/>
      <c r="FF69" s="62"/>
      <c r="FG69" s="62"/>
      <c r="FH69" s="62"/>
      <c r="FI69" s="62"/>
      <c r="FJ69" s="62"/>
      <c r="FK69" s="62"/>
      <c r="FL69" s="62"/>
      <c r="FM69" s="62"/>
      <c r="FN69" s="62"/>
      <c r="FO69" s="62"/>
      <c r="FP69" s="62"/>
      <c r="FQ69" s="62"/>
      <c r="FR69" s="62"/>
      <c r="FS69" s="62"/>
      <c r="FT69" s="62"/>
      <c r="FU69" s="62"/>
      <c r="FV69" s="62"/>
      <c r="FW69" s="62"/>
      <c r="FX69" s="62"/>
      <c r="FY69" s="62"/>
      <c r="FZ69" s="62"/>
      <c r="GA69" s="62"/>
      <c r="GB69" s="62"/>
      <c r="GC69" s="62"/>
      <c r="GD69" s="62"/>
      <c r="GE69" s="62"/>
      <c r="GF69" s="62"/>
      <c r="GG69" s="62"/>
      <c r="GH69" s="62"/>
      <c r="GI69" s="62"/>
      <c r="GJ69" s="62"/>
      <c r="GK69" s="62"/>
      <c r="GL69" s="62"/>
      <c r="GM69" s="62"/>
      <c r="GN69" s="62"/>
      <c r="GO69" s="62"/>
      <c r="GP69" s="62"/>
      <c r="GQ69" s="62"/>
      <c r="GR69" s="62"/>
      <c r="GS69" s="62"/>
      <c r="GT69" s="62"/>
      <c r="GU69" s="62"/>
    </row>
    <row r="70" spans="1:203" x14ac:dyDescent="0.25">
      <c r="A70" s="8" t="s">
        <v>76</v>
      </c>
      <c r="B70" s="176" t="str">
        <f>DATA!J74</f>
        <v/>
      </c>
      <c r="C70" s="140">
        <f>DATA!K74</f>
        <v>0</v>
      </c>
      <c r="D70" s="62"/>
      <c r="E70" s="62"/>
      <c r="F70" s="62"/>
      <c r="G70" s="62"/>
      <c r="H70" s="62"/>
      <c r="I70" s="62"/>
      <c r="J70" s="62"/>
      <c r="K70" s="62"/>
      <c r="L70" s="62"/>
      <c r="M70" s="62"/>
      <c r="N70" s="62"/>
      <c r="O70" s="62"/>
      <c r="P70" s="62"/>
      <c r="Q70" s="62"/>
      <c r="R70" s="62"/>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c r="BT70" s="62"/>
      <c r="BU70" s="62"/>
      <c r="BV70" s="62"/>
      <c r="BW70" s="62"/>
      <c r="BX70" s="62"/>
      <c r="BY70" s="62"/>
      <c r="BZ70" s="62"/>
      <c r="CA70" s="62"/>
      <c r="CB70" s="62"/>
      <c r="CC70" s="62"/>
      <c r="CD70" s="62"/>
      <c r="CE70" s="62"/>
      <c r="CF70" s="62"/>
      <c r="CG70" s="62"/>
      <c r="CH70" s="62"/>
      <c r="CI70" s="62"/>
      <c r="CJ70" s="62"/>
      <c r="CK70" s="62"/>
      <c r="CL70" s="62"/>
      <c r="CM70" s="62"/>
      <c r="CN70" s="62"/>
      <c r="CO70" s="62"/>
      <c r="CP70" s="62"/>
      <c r="CQ70" s="62"/>
      <c r="CR70" s="62"/>
      <c r="CS70" s="62"/>
      <c r="CT70" s="62"/>
      <c r="CU70" s="62"/>
      <c r="CV70" s="62"/>
      <c r="CW70" s="62"/>
      <c r="CX70" s="62"/>
      <c r="CY70" s="62"/>
      <c r="CZ70" s="62"/>
      <c r="DA70" s="62"/>
      <c r="DB70" s="62"/>
      <c r="DC70" s="62"/>
      <c r="DD70" s="62"/>
      <c r="DE70" s="62"/>
      <c r="DF70" s="62"/>
      <c r="DG70" s="62"/>
      <c r="DH70" s="62"/>
      <c r="DI70" s="62"/>
      <c r="DJ70" s="62"/>
      <c r="DK70" s="62"/>
      <c r="DL70" s="62"/>
      <c r="DM70" s="62"/>
      <c r="DN70" s="62"/>
      <c r="DO70" s="62"/>
      <c r="DP70" s="62"/>
      <c r="DQ70" s="62"/>
      <c r="DR70" s="62"/>
      <c r="DS70" s="62"/>
      <c r="DT70" s="62"/>
      <c r="DU70" s="62"/>
      <c r="DV70" s="62"/>
      <c r="DW70" s="62"/>
      <c r="DX70" s="62"/>
      <c r="DY70" s="62"/>
      <c r="DZ70" s="62"/>
      <c r="EA70" s="62"/>
      <c r="EB70" s="62"/>
      <c r="EC70" s="62"/>
      <c r="ED70" s="62"/>
      <c r="EE70" s="62"/>
      <c r="EF70" s="62"/>
      <c r="EG70" s="62"/>
      <c r="EH70" s="62"/>
      <c r="EI70" s="62"/>
      <c r="EJ70" s="62"/>
      <c r="EK70" s="62"/>
      <c r="EL70" s="62"/>
      <c r="EM70" s="62"/>
      <c r="EN70" s="62"/>
      <c r="EO70" s="62"/>
      <c r="EP70" s="62"/>
      <c r="EQ70" s="62"/>
      <c r="ER70" s="62"/>
      <c r="ES70" s="62"/>
      <c r="ET70" s="62"/>
      <c r="EU70" s="62"/>
      <c r="EV70" s="62"/>
      <c r="EW70" s="62"/>
      <c r="EX70" s="62"/>
      <c r="EY70" s="62"/>
      <c r="EZ70" s="62"/>
      <c r="FA70" s="62"/>
      <c r="FB70" s="62"/>
      <c r="FC70" s="62"/>
      <c r="FD70" s="62"/>
      <c r="FE70" s="62"/>
      <c r="FF70" s="62"/>
      <c r="FG70" s="62"/>
      <c r="FH70" s="62"/>
      <c r="FI70" s="62"/>
      <c r="FJ70" s="62"/>
      <c r="FK70" s="62"/>
      <c r="FL70" s="62"/>
      <c r="FM70" s="62"/>
      <c r="FN70" s="62"/>
      <c r="FO70" s="62"/>
      <c r="FP70" s="62"/>
      <c r="FQ70" s="62"/>
      <c r="FR70" s="62"/>
      <c r="FS70" s="62"/>
      <c r="FT70" s="62"/>
      <c r="FU70" s="62"/>
      <c r="FV70" s="62"/>
      <c r="FW70" s="62"/>
      <c r="FX70" s="62"/>
      <c r="FY70" s="62"/>
      <c r="FZ70" s="62"/>
      <c r="GA70" s="62"/>
      <c r="GB70" s="62"/>
      <c r="GC70" s="62"/>
      <c r="GD70" s="62"/>
      <c r="GE70" s="62"/>
      <c r="GF70" s="62"/>
      <c r="GG70" s="62"/>
      <c r="GH70" s="62"/>
      <c r="GI70" s="62"/>
      <c r="GJ70" s="62"/>
      <c r="GK70" s="62"/>
      <c r="GL70" s="62"/>
      <c r="GM70" s="62"/>
      <c r="GN70" s="62"/>
      <c r="GO70" s="62"/>
      <c r="GP70" s="62"/>
      <c r="GQ70" s="62"/>
      <c r="GR70" s="62"/>
      <c r="GS70" s="62"/>
      <c r="GT70" s="62"/>
      <c r="GU70" s="62"/>
    </row>
    <row r="71" spans="1:203" x14ac:dyDescent="0.25">
      <c r="A71" s="8" t="s">
        <v>78</v>
      </c>
      <c r="B71" s="176" t="str">
        <f>DATA!J75</f>
        <v/>
      </c>
      <c r="C71" s="140">
        <f>DATA!K75</f>
        <v>0</v>
      </c>
      <c r="D71" s="62"/>
      <c r="E71" s="62"/>
      <c r="F71" s="62"/>
      <c r="G71" s="62"/>
      <c r="H71" s="62"/>
      <c r="I71" s="62"/>
      <c r="J71" s="62"/>
      <c r="K71" s="62"/>
      <c r="L71" s="62"/>
      <c r="M71" s="62"/>
      <c r="N71" s="62"/>
      <c r="O71" s="62"/>
      <c r="P71" s="62"/>
      <c r="Q71" s="62"/>
      <c r="R71" s="62"/>
      <c r="S71" s="62"/>
      <c r="T71" s="62"/>
      <c r="U71" s="62"/>
      <c r="V71" s="62"/>
      <c r="W71" s="62"/>
      <c r="X71" s="62"/>
      <c r="Y71" s="62"/>
      <c r="Z71" s="62"/>
      <c r="AA71" s="62"/>
      <c r="AB71" s="62"/>
      <c r="AC71" s="62"/>
      <c r="AD71" s="62"/>
      <c r="AE71" s="62"/>
      <c r="AF71" s="62"/>
      <c r="AG71" s="62"/>
      <c r="AH71" s="62"/>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c r="BT71" s="62"/>
      <c r="BU71" s="62"/>
      <c r="BV71" s="62"/>
      <c r="BW71" s="62"/>
      <c r="BX71" s="62"/>
      <c r="BY71" s="62"/>
      <c r="BZ71" s="62"/>
      <c r="CA71" s="62"/>
      <c r="CB71" s="62"/>
      <c r="CC71" s="62"/>
      <c r="CD71" s="62"/>
      <c r="CE71" s="62"/>
      <c r="CF71" s="62"/>
      <c r="CG71" s="62"/>
      <c r="CH71" s="62"/>
      <c r="CI71" s="62"/>
      <c r="CJ71" s="62"/>
      <c r="CK71" s="62"/>
      <c r="CL71" s="62"/>
      <c r="CM71" s="62"/>
      <c r="CN71" s="62"/>
      <c r="CO71" s="62"/>
      <c r="CP71" s="62"/>
      <c r="CQ71" s="62"/>
      <c r="CR71" s="62"/>
      <c r="CS71" s="62"/>
      <c r="CT71" s="62"/>
      <c r="CU71" s="62"/>
      <c r="CV71" s="62"/>
      <c r="CW71" s="62"/>
      <c r="CX71" s="62"/>
      <c r="CY71" s="62"/>
      <c r="CZ71" s="62"/>
      <c r="DA71" s="62"/>
      <c r="DB71" s="62"/>
      <c r="DC71" s="62"/>
      <c r="DD71" s="62"/>
      <c r="DE71" s="62"/>
      <c r="DF71" s="62"/>
      <c r="DG71" s="62"/>
      <c r="DH71" s="62"/>
      <c r="DI71" s="62"/>
      <c r="DJ71" s="62"/>
      <c r="DK71" s="62"/>
      <c r="DL71" s="62"/>
      <c r="DM71" s="62"/>
      <c r="DN71" s="62"/>
      <c r="DO71" s="62"/>
      <c r="DP71" s="62"/>
      <c r="DQ71" s="62"/>
      <c r="DR71" s="62"/>
      <c r="DS71" s="62"/>
      <c r="DT71" s="62"/>
      <c r="DU71" s="62"/>
      <c r="DV71" s="62"/>
      <c r="DW71" s="62"/>
      <c r="DX71" s="62"/>
      <c r="DY71" s="62"/>
      <c r="DZ71" s="62"/>
      <c r="EA71" s="62"/>
      <c r="EB71" s="62"/>
      <c r="EC71" s="62"/>
      <c r="ED71" s="62"/>
      <c r="EE71" s="62"/>
      <c r="EF71" s="62"/>
      <c r="EG71" s="62"/>
      <c r="EH71" s="62"/>
      <c r="EI71" s="62"/>
      <c r="EJ71" s="62"/>
      <c r="EK71" s="62"/>
      <c r="EL71" s="62"/>
      <c r="EM71" s="62"/>
      <c r="EN71" s="62"/>
      <c r="EO71" s="62"/>
      <c r="EP71" s="62"/>
      <c r="EQ71" s="62"/>
      <c r="ER71" s="62"/>
      <c r="ES71" s="62"/>
      <c r="ET71" s="62"/>
      <c r="EU71" s="62"/>
      <c r="EV71" s="62"/>
      <c r="EW71" s="62"/>
      <c r="EX71" s="62"/>
      <c r="EY71" s="62"/>
      <c r="EZ71" s="62"/>
      <c r="FA71" s="62"/>
      <c r="FB71" s="62"/>
      <c r="FC71" s="62"/>
      <c r="FD71" s="62"/>
      <c r="FE71" s="62"/>
      <c r="FF71" s="62"/>
      <c r="FG71" s="62"/>
      <c r="FH71" s="62"/>
      <c r="FI71" s="62"/>
      <c r="FJ71" s="62"/>
      <c r="FK71" s="62"/>
      <c r="FL71" s="62"/>
      <c r="FM71" s="62"/>
      <c r="FN71" s="62"/>
      <c r="FO71" s="62"/>
      <c r="FP71" s="62"/>
      <c r="FQ71" s="62"/>
      <c r="FR71" s="62"/>
      <c r="FS71" s="62"/>
      <c r="FT71" s="62"/>
      <c r="FU71" s="62"/>
      <c r="FV71" s="62"/>
      <c r="FW71" s="62"/>
      <c r="FX71" s="62"/>
      <c r="FY71" s="62"/>
      <c r="FZ71" s="62"/>
      <c r="GA71" s="62"/>
      <c r="GB71" s="62"/>
      <c r="GC71" s="62"/>
      <c r="GD71" s="62"/>
      <c r="GE71" s="62"/>
      <c r="GF71" s="62"/>
      <c r="GG71" s="62"/>
      <c r="GH71" s="62"/>
      <c r="GI71" s="62"/>
      <c r="GJ71" s="62"/>
      <c r="GK71" s="62"/>
      <c r="GL71" s="62"/>
      <c r="GM71" s="62"/>
      <c r="GN71" s="62"/>
      <c r="GO71" s="62"/>
      <c r="GP71" s="62"/>
      <c r="GQ71" s="62"/>
      <c r="GR71" s="62"/>
      <c r="GS71" s="62"/>
      <c r="GT71" s="62"/>
      <c r="GU71" s="62"/>
    </row>
    <row r="72" spans="1:203" x14ac:dyDescent="0.25">
      <c r="A72" s="8" t="s">
        <v>135</v>
      </c>
      <c r="B72" s="176" t="str">
        <f>DATA!J76</f>
        <v/>
      </c>
      <c r="C72" s="140">
        <f>DATA!K76</f>
        <v>0</v>
      </c>
      <c r="D72" s="62"/>
      <c r="E72" s="62"/>
      <c r="F72" s="62"/>
      <c r="G72" s="62"/>
      <c r="H72" s="62"/>
      <c r="I72" s="62"/>
      <c r="J72" s="62"/>
      <c r="K72" s="62"/>
      <c r="L72" s="62"/>
      <c r="M72" s="62"/>
      <c r="N72" s="62"/>
      <c r="O72" s="62"/>
      <c r="P72" s="62"/>
      <c r="Q72" s="62"/>
      <c r="R72" s="62"/>
      <c r="S72" s="62"/>
      <c r="T72" s="62"/>
      <c r="U72" s="62"/>
      <c r="V72" s="62"/>
      <c r="W72" s="62"/>
      <c r="X72" s="62"/>
      <c r="Y72" s="62"/>
      <c r="Z72" s="62"/>
      <c r="AA72" s="62"/>
      <c r="AB72" s="62"/>
      <c r="AC72" s="62"/>
      <c r="AD72" s="62"/>
      <c r="AE72" s="62"/>
      <c r="AF72" s="62"/>
      <c r="AG72" s="62"/>
      <c r="AH72" s="62"/>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c r="BW72" s="62"/>
      <c r="BX72" s="62"/>
      <c r="BY72" s="62"/>
      <c r="BZ72" s="62"/>
      <c r="CA72" s="62"/>
      <c r="CB72" s="62"/>
      <c r="CC72" s="62"/>
      <c r="CD72" s="62"/>
      <c r="CE72" s="62"/>
      <c r="CF72" s="62"/>
      <c r="CG72" s="62"/>
      <c r="CH72" s="62"/>
      <c r="CI72" s="62"/>
      <c r="CJ72" s="62"/>
      <c r="CK72" s="62"/>
      <c r="CL72" s="62"/>
      <c r="CM72" s="62"/>
      <c r="CN72" s="62"/>
      <c r="CO72" s="62"/>
      <c r="CP72" s="62"/>
      <c r="CQ72" s="62"/>
      <c r="CR72" s="62"/>
      <c r="CS72" s="62"/>
      <c r="CT72" s="62"/>
      <c r="CU72" s="62"/>
      <c r="CV72" s="62"/>
      <c r="CW72" s="62"/>
      <c r="CX72" s="62"/>
      <c r="CY72" s="62"/>
      <c r="CZ72" s="62"/>
      <c r="DA72" s="62"/>
      <c r="DB72" s="62"/>
      <c r="DC72" s="62"/>
      <c r="DD72" s="62"/>
      <c r="DE72" s="62"/>
      <c r="DF72" s="62"/>
      <c r="DG72" s="62"/>
      <c r="DH72" s="62"/>
      <c r="DI72" s="62"/>
      <c r="DJ72" s="62"/>
      <c r="DK72" s="62"/>
      <c r="DL72" s="62"/>
      <c r="DM72" s="62"/>
      <c r="DN72" s="62"/>
      <c r="DO72" s="62"/>
      <c r="DP72" s="62"/>
      <c r="DQ72" s="62"/>
      <c r="DR72" s="62"/>
      <c r="DS72" s="62"/>
      <c r="DT72" s="62"/>
      <c r="DU72" s="62"/>
      <c r="DV72" s="62"/>
      <c r="DW72" s="62"/>
      <c r="DX72" s="62"/>
      <c r="DY72" s="62"/>
      <c r="DZ72" s="62"/>
      <c r="EA72" s="62"/>
      <c r="EB72" s="62"/>
      <c r="EC72" s="62"/>
      <c r="ED72" s="62"/>
      <c r="EE72" s="62"/>
      <c r="EF72" s="62"/>
      <c r="EG72" s="62"/>
      <c r="EH72" s="62"/>
      <c r="EI72" s="62"/>
      <c r="EJ72" s="62"/>
      <c r="EK72" s="62"/>
      <c r="EL72" s="62"/>
      <c r="EM72" s="62"/>
      <c r="EN72" s="62"/>
      <c r="EO72" s="62"/>
      <c r="EP72" s="62"/>
      <c r="EQ72" s="62"/>
      <c r="ER72" s="62"/>
      <c r="ES72" s="62"/>
      <c r="ET72" s="62"/>
      <c r="EU72" s="62"/>
      <c r="EV72" s="62"/>
      <c r="EW72" s="62"/>
      <c r="EX72" s="62"/>
      <c r="EY72" s="62"/>
      <c r="EZ72" s="62"/>
      <c r="FA72" s="62"/>
      <c r="FB72" s="62"/>
      <c r="FC72" s="62"/>
      <c r="FD72" s="62"/>
      <c r="FE72" s="62"/>
      <c r="FF72" s="62"/>
      <c r="FG72" s="62"/>
      <c r="FH72" s="62"/>
      <c r="FI72" s="62"/>
      <c r="FJ72" s="62"/>
      <c r="FK72" s="62"/>
      <c r="FL72" s="62"/>
      <c r="FM72" s="62"/>
      <c r="FN72" s="62"/>
      <c r="FO72" s="62"/>
      <c r="FP72" s="62"/>
      <c r="FQ72" s="62"/>
      <c r="FR72" s="62"/>
      <c r="FS72" s="62"/>
      <c r="FT72" s="62"/>
      <c r="FU72" s="62"/>
      <c r="FV72" s="62"/>
      <c r="FW72" s="62"/>
      <c r="FX72" s="62"/>
      <c r="FY72" s="62"/>
      <c r="FZ72" s="62"/>
      <c r="GA72" s="62"/>
      <c r="GB72" s="62"/>
      <c r="GC72" s="62"/>
      <c r="GD72" s="62"/>
      <c r="GE72" s="62"/>
      <c r="GF72" s="62"/>
      <c r="GG72" s="62"/>
      <c r="GH72" s="62"/>
      <c r="GI72" s="62"/>
      <c r="GJ72" s="62"/>
      <c r="GK72" s="62"/>
      <c r="GL72" s="62"/>
      <c r="GM72" s="62"/>
      <c r="GN72" s="62"/>
      <c r="GO72" s="62"/>
      <c r="GP72" s="62"/>
      <c r="GQ72" s="62"/>
      <c r="GR72" s="62"/>
      <c r="GS72" s="62"/>
      <c r="GT72" s="62"/>
      <c r="GU72" s="62"/>
    </row>
    <row r="73" spans="1:203" x14ac:dyDescent="0.25">
      <c r="A73" s="8" t="s">
        <v>52</v>
      </c>
      <c r="B73" s="176" t="str">
        <f>DATA!J77</f>
        <v/>
      </c>
      <c r="C73" s="140">
        <f>DATA!K77</f>
        <v>0</v>
      </c>
      <c r="D73" s="62"/>
      <c r="E73" s="62"/>
      <c r="F73" s="62"/>
      <c r="G73" s="62"/>
      <c r="H73" s="62"/>
      <c r="I73" s="62"/>
      <c r="J73" s="62"/>
      <c r="K73" s="62"/>
      <c r="L73" s="62"/>
      <c r="M73" s="62"/>
      <c r="N73" s="62"/>
      <c r="O73" s="62"/>
      <c r="P73" s="62"/>
      <c r="Q73" s="62"/>
      <c r="R73" s="62"/>
      <c r="S73" s="62"/>
      <c r="T73" s="62"/>
      <c r="U73" s="62"/>
      <c r="V73" s="62"/>
      <c r="W73" s="62"/>
      <c r="X73" s="62"/>
      <c r="Y73" s="62"/>
      <c r="Z73" s="62"/>
      <c r="AA73" s="62"/>
      <c r="AB73" s="62"/>
      <c r="AC73" s="62"/>
      <c r="AD73" s="62"/>
      <c r="AE73" s="62"/>
      <c r="AF73" s="62"/>
      <c r="AG73" s="62"/>
      <c r="AH73" s="62"/>
      <c r="AI73" s="62"/>
      <c r="AJ73" s="62"/>
      <c r="AK73" s="62"/>
      <c r="AL73" s="62"/>
      <c r="AM73" s="62"/>
      <c r="AN73" s="62"/>
      <c r="AO73" s="62"/>
      <c r="AP73" s="62"/>
      <c r="AQ73" s="62"/>
      <c r="AR73" s="62"/>
      <c r="AS73" s="62"/>
      <c r="AT73" s="62"/>
      <c r="AU73" s="62"/>
      <c r="AV73" s="62"/>
      <c r="AW73" s="62"/>
      <c r="AX73" s="62"/>
      <c r="AY73" s="62"/>
      <c r="AZ73" s="62"/>
      <c r="BA73" s="62"/>
      <c r="BB73" s="62"/>
      <c r="BC73" s="62"/>
      <c r="BD73" s="62"/>
      <c r="BE73" s="62"/>
      <c r="BF73" s="62"/>
      <c r="BG73" s="62"/>
      <c r="BH73" s="62"/>
      <c r="BI73" s="62"/>
      <c r="BJ73" s="62"/>
      <c r="BK73" s="62"/>
      <c r="BL73" s="62"/>
      <c r="BM73" s="62"/>
      <c r="BN73" s="62"/>
      <c r="BO73" s="62"/>
      <c r="BP73" s="62"/>
      <c r="BQ73" s="62"/>
      <c r="BR73" s="62"/>
      <c r="BS73" s="62"/>
      <c r="BT73" s="62"/>
      <c r="BU73" s="62"/>
      <c r="BV73" s="62"/>
      <c r="BW73" s="62"/>
      <c r="BX73" s="62"/>
      <c r="BY73" s="62"/>
      <c r="BZ73" s="62"/>
      <c r="CA73" s="62"/>
      <c r="CB73" s="62"/>
      <c r="CC73" s="62"/>
      <c r="CD73" s="62"/>
      <c r="CE73" s="62"/>
      <c r="CF73" s="62"/>
      <c r="CG73" s="62"/>
      <c r="CH73" s="62"/>
      <c r="CI73" s="62"/>
      <c r="CJ73" s="62"/>
      <c r="CK73" s="62"/>
      <c r="CL73" s="62"/>
      <c r="CM73" s="62"/>
      <c r="CN73" s="62"/>
      <c r="CO73" s="62"/>
      <c r="CP73" s="62"/>
      <c r="CQ73" s="62"/>
      <c r="CR73" s="62"/>
      <c r="CS73" s="62"/>
      <c r="CT73" s="62"/>
      <c r="CU73" s="62"/>
      <c r="CV73" s="62"/>
      <c r="CW73" s="62"/>
      <c r="CX73" s="62"/>
      <c r="CY73" s="62"/>
      <c r="CZ73" s="62"/>
      <c r="DA73" s="62"/>
      <c r="DB73" s="62"/>
      <c r="DC73" s="62"/>
      <c r="DD73" s="62"/>
      <c r="DE73" s="62"/>
      <c r="DF73" s="62"/>
      <c r="DG73" s="62"/>
      <c r="DH73" s="62"/>
      <c r="DI73" s="62"/>
      <c r="DJ73" s="62"/>
      <c r="DK73" s="62"/>
      <c r="DL73" s="62"/>
      <c r="DM73" s="62"/>
      <c r="DN73" s="62"/>
      <c r="DO73" s="62"/>
      <c r="DP73" s="62"/>
      <c r="DQ73" s="62"/>
      <c r="DR73" s="62"/>
      <c r="DS73" s="62"/>
      <c r="DT73" s="62"/>
      <c r="DU73" s="62"/>
      <c r="DV73" s="62"/>
      <c r="DW73" s="62"/>
      <c r="DX73" s="62"/>
      <c r="DY73" s="62"/>
      <c r="DZ73" s="62"/>
      <c r="EA73" s="62"/>
      <c r="EB73" s="62"/>
      <c r="EC73" s="62"/>
      <c r="ED73" s="62"/>
      <c r="EE73" s="62"/>
      <c r="EF73" s="62"/>
      <c r="EG73" s="62"/>
      <c r="EH73" s="62"/>
      <c r="EI73" s="62"/>
      <c r="EJ73" s="62"/>
      <c r="EK73" s="62"/>
      <c r="EL73" s="62"/>
      <c r="EM73" s="62"/>
      <c r="EN73" s="62"/>
      <c r="EO73" s="62"/>
      <c r="EP73" s="62"/>
      <c r="EQ73" s="62"/>
      <c r="ER73" s="62"/>
      <c r="ES73" s="62"/>
      <c r="ET73" s="62"/>
      <c r="EU73" s="62"/>
      <c r="EV73" s="62"/>
      <c r="EW73" s="62"/>
      <c r="EX73" s="62"/>
      <c r="EY73" s="62"/>
      <c r="EZ73" s="62"/>
      <c r="FA73" s="62"/>
      <c r="FB73" s="62"/>
      <c r="FC73" s="62"/>
      <c r="FD73" s="62"/>
      <c r="FE73" s="62"/>
      <c r="FF73" s="62"/>
      <c r="FG73" s="62"/>
      <c r="FH73" s="62"/>
      <c r="FI73" s="62"/>
      <c r="FJ73" s="62"/>
      <c r="FK73" s="62"/>
      <c r="FL73" s="62"/>
      <c r="FM73" s="62"/>
      <c r="FN73" s="62"/>
      <c r="FO73" s="62"/>
      <c r="FP73" s="62"/>
      <c r="FQ73" s="62"/>
      <c r="FR73" s="62"/>
      <c r="FS73" s="62"/>
      <c r="FT73" s="62"/>
      <c r="FU73" s="62"/>
      <c r="FV73" s="62"/>
      <c r="FW73" s="62"/>
      <c r="FX73" s="62"/>
      <c r="FY73" s="62"/>
      <c r="FZ73" s="62"/>
      <c r="GA73" s="62"/>
      <c r="GB73" s="62"/>
      <c r="GC73" s="62"/>
      <c r="GD73" s="62"/>
      <c r="GE73" s="62"/>
      <c r="GF73" s="62"/>
      <c r="GG73" s="62"/>
      <c r="GH73" s="62"/>
      <c r="GI73" s="62"/>
      <c r="GJ73" s="62"/>
      <c r="GK73" s="62"/>
      <c r="GL73" s="62"/>
      <c r="GM73" s="62"/>
      <c r="GN73" s="62"/>
      <c r="GO73" s="62"/>
      <c r="GP73" s="62"/>
      <c r="GQ73" s="62"/>
      <c r="GR73" s="62"/>
      <c r="GS73" s="62"/>
      <c r="GT73" s="62"/>
      <c r="GU73" s="62"/>
    </row>
    <row r="74" spans="1:203" x14ac:dyDescent="0.25">
      <c r="A74" s="8" t="s">
        <v>72</v>
      </c>
      <c r="B74" s="176" t="str">
        <f>DATA!J78</f>
        <v/>
      </c>
      <c r="C74" s="140">
        <f>DATA!K78</f>
        <v>0</v>
      </c>
      <c r="D74" s="62"/>
      <c r="E74" s="62"/>
      <c r="F74" s="62"/>
      <c r="G74" s="62"/>
      <c r="H74" s="62"/>
      <c r="I74" s="62"/>
      <c r="J74" s="62"/>
      <c r="K74" s="62"/>
      <c r="L74" s="62"/>
      <c r="M74" s="62"/>
      <c r="N74" s="62"/>
      <c r="O74" s="62"/>
      <c r="P74" s="62"/>
      <c r="Q74" s="62"/>
      <c r="R74" s="62"/>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c r="BM74" s="62"/>
      <c r="BN74" s="62"/>
      <c r="BO74" s="62"/>
      <c r="BP74" s="62"/>
      <c r="BQ74" s="62"/>
      <c r="BR74" s="62"/>
      <c r="BS74" s="62"/>
      <c r="BT74" s="62"/>
      <c r="BU74" s="62"/>
      <c r="BV74" s="62"/>
      <c r="BW74" s="62"/>
      <c r="BX74" s="62"/>
      <c r="BY74" s="62"/>
      <c r="BZ74" s="62"/>
      <c r="CA74" s="62"/>
      <c r="CB74" s="62"/>
      <c r="CC74" s="62"/>
      <c r="CD74" s="62"/>
      <c r="CE74" s="62"/>
      <c r="CF74" s="62"/>
      <c r="CG74" s="62"/>
      <c r="CH74" s="62"/>
      <c r="CI74" s="62"/>
      <c r="CJ74" s="62"/>
      <c r="CK74" s="62"/>
      <c r="CL74" s="62"/>
      <c r="CM74" s="62"/>
      <c r="CN74" s="62"/>
      <c r="CO74" s="62"/>
      <c r="CP74" s="62"/>
      <c r="CQ74" s="62"/>
      <c r="CR74" s="62"/>
      <c r="CS74" s="62"/>
      <c r="CT74" s="62"/>
      <c r="CU74" s="62"/>
      <c r="CV74" s="62"/>
      <c r="CW74" s="62"/>
      <c r="CX74" s="62"/>
      <c r="CY74" s="62"/>
      <c r="CZ74" s="62"/>
      <c r="DA74" s="62"/>
      <c r="DB74" s="62"/>
      <c r="DC74" s="62"/>
      <c r="DD74" s="62"/>
      <c r="DE74" s="62"/>
      <c r="DF74" s="62"/>
      <c r="DG74" s="62"/>
      <c r="DH74" s="62"/>
      <c r="DI74" s="62"/>
      <c r="DJ74" s="62"/>
      <c r="DK74" s="62"/>
      <c r="DL74" s="62"/>
      <c r="DM74" s="62"/>
      <c r="DN74" s="62"/>
      <c r="DO74" s="62"/>
      <c r="DP74" s="62"/>
      <c r="DQ74" s="62"/>
      <c r="DR74" s="62"/>
      <c r="DS74" s="62"/>
      <c r="DT74" s="62"/>
      <c r="DU74" s="62"/>
      <c r="DV74" s="62"/>
      <c r="DW74" s="62"/>
      <c r="DX74" s="62"/>
      <c r="DY74" s="62"/>
      <c r="DZ74" s="62"/>
      <c r="EA74" s="62"/>
      <c r="EB74" s="62"/>
      <c r="EC74" s="62"/>
      <c r="ED74" s="62"/>
      <c r="EE74" s="62"/>
      <c r="EF74" s="62"/>
      <c r="EG74" s="62"/>
      <c r="EH74" s="62"/>
      <c r="EI74" s="62"/>
      <c r="EJ74" s="62"/>
      <c r="EK74" s="62"/>
      <c r="EL74" s="62"/>
      <c r="EM74" s="62"/>
      <c r="EN74" s="62"/>
      <c r="EO74" s="62"/>
      <c r="EP74" s="62"/>
      <c r="EQ74" s="62"/>
      <c r="ER74" s="62"/>
      <c r="ES74" s="62"/>
      <c r="ET74" s="62"/>
      <c r="EU74" s="62"/>
      <c r="EV74" s="62"/>
      <c r="EW74" s="62"/>
      <c r="EX74" s="62"/>
      <c r="EY74" s="62"/>
      <c r="EZ74" s="62"/>
      <c r="FA74" s="62"/>
      <c r="FB74" s="62"/>
      <c r="FC74" s="62"/>
      <c r="FD74" s="62"/>
      <c r="FE74" s="62"/>
      <c r="FF74" s="62"/>
      <c r="FG74" s="62"/>
      <c r="FH74" s="62"/>
      <c r="FI74" s="62"/>
      <c r="FJ74" s="62"/>
      <c r="FK74" s="62"/>
      <c r="FL74" s="62"/>
      <c r="FM74" s="62"/>
      <c r="FN74" s="62"/>
      <c r="FO74" s="62"/>
      <c r="FP74" s="62"/>
      <c r="FQ74" s="62"/>
      <c r="FR74" s="62"/>
      <c r="FS74" s="62"/>
      <c r="FT74" s="62"/>
      <c r="FU74" s="62"/>
      <c r="FV74" s="62"/>
      <c r="FW74" s="62"/>
      <c r="FX74" s="62"/>
      <c r="FY74" s="62"/>
      <c r="FZ74" s="62"/>
      <c r="GA74" s="62"/>
      <c r="GB74" s="62"/>
      <c r="GC74" s="62"/>
      <c r="GD74" s="62"/>
      <c r="GE74" s="62"/>
      <c r="GF74" s="62"/>
      <c r="GG74" s="62"/>
      <c r="GH74" s="62"/>
      <c r="GI74" s="62"/>
      <c r="GJ74" s="62"/>
      <c r="GK74" s="62"/>
      <c r="GL74" s="62"/>
      <c r="GM74" s="62"/>
      <c r="GN74" s="62"/>
      <c r="GO74" s="62"/>
      <c r="GP74" s="62"/>
      <c r="GQ74" s="62"/>
      <c r="GR74" s="62"/>
      <c r="GS74" s="62"/>
      <c r="GT74" s="62"/>
      <c r="GU74" s="62"/>
    </row>
    <row r="75" spans="1:203" x14ac:dyDescent="0.25">
      <c r="A75" s="8" t="s">
        <v>53</v>
      </c>
      <c r="B75" s="176" t="str">
        <f>DATA!J79</f>
        <v/>
      </c>
      <c r="C75" s="140">
        <f>DATA!K79</f>
        <v>0</v>
      </c>
      <c r="D75" s="62"/>
      <c r="E75" s="62"/>
      <c r="F75" s="62"/>
      <c r="G75" s="62"/>
      <c r="H75" s="62"/>
      <c r="I75" s="62"/>
      <c r="J75" s="62"/>
      <c r="K75" s="62"/>
      <c r="L75" s="62"/>
      <c r="M75" s="62"/>
      <c r="N75" s="62"/>
      <c r="O75" s="62"/>
      <c r="P75" s="62"/>
      <c r="Q75" s="62"/>
      <c r="R75" s="62"/>
      <c r="S75" s="62"/>
      <c r="T75" s="62"/>
      <c r="U75" s="62"/>
      <c r="V75" s="62"/>
      <c r="W75" s="62"/>
      <c r="X75" s="62"/>
      <c r="Y75" s="62"/>
      <c r="Z75" s="62"/>
      <c r="AA75" s="62"/>
      <c r="AB75" s="62"/>
      <c r="AC75" s="62"/>
      <c r="AD75" s="62"/>
      <c r="AE75" s="62"/>
      <c r="AF75" s="62"/>
      <c r="AG75" s="62"/>
      <c r="AH75" s="62"/>
      <c r="AI75" s="62"/>
      <c r="AJ75" s="62"/>
      <c r="AK75" s="62"/>
      <c r="AL75" s="62"/>
      <c r="AM75" s="62"/>
      <c r="AN75" s="62"/>
      <c r="AO75" s="62"/>
      <c r="AP75" s="62"/>
      <c r="AQ75" s="62"/>
      <c r="AR75" s="62"/>
      <c r="AS75" s="62"/>
      <c r="AT75" s="62"/>
      <c r="AU75" s="62"/>
      <c r="AV75" s="62"/>
      <c r="AW75" s="62"/>
      <c r="AX75" s="62"/>
      <c r="AY75" s="62"/>
      <c r="AZ75" s="62"/>
      <c r="BA75" s="62"/>
      <c r="BB75" s="62"/>
      <c r="BC75" s="62"/>
      <c r="BD75" s="62"/>
      <c r="BE75" s="62"/>
      <c r="BF75" s="62"/>
      <c r="BG75" s="62"/>
      <c r="BH75" s="62"/>
      <c r="BI75" s="62"/>
      <c r="BJ75" s="62"/>
      <c r="BK75" s="62"/>
      <c r="BL75" s="62"/>
      <c r="BM75" s="62"/>
      <c r="BN75" s="62"/>
      <c r="BO75" s="62"/>
      <c r="BP75" s="62"/>
      <c r="BQ75" s="62"/>
      <c r="BR75" s="62"/>
      <c r="BS75" s="62"/>
      <c r="BT75" s="62"/>
      <c r="BU75" s="62"/>
      <c r="BV75" s="62"/>
      <c r="BW75" s="62"/>
      <c r="BX75" s="62"/>
      <c r="BY75" s="62"/>
      <c r="BZ75" s="62"/>
      <c r="CA75" s="62"/>
      <c r="CB75" s="62"/>
      <c r="CC75" s="62"/>
      <c r="CD75" s="62"/>
      <c r="CE75" s="62"/>
      <c r="CF75" s="62"/>
      <c r="CG75" s="62"/>
      <c r="CH75" s="62"/>
      <c r="CI75" s="62"/>
      <c r="CJ75" s="62"/>
      <c r="CK75" s="62"/>
      <c r="CL75" s="62"/>
      <c r="CM75" s="62"/>
      <c r="CN75" s="62"/>
      <c r="CO75" s="62"/>
      <c r="CP75" s="62"/>
      <c r="CQ75" s="62"/>
      <c r="CR75" s="62"/>
      <c r="CS75" s="62"/>
      <c r="CT75" s="62"/>
      <c r="CU75" s="62"/>
      <c r="CV75" s="62"/>
      <c r="CW75" s="62"/>
      <c r="CX75" s="62"/>
      <c r="CY75" s="62"/>
      <c r="CZ75" s="62"/>
      <c r="DA75" s="62"/>
      <c r="DB75" s="62"/>
      <c r="DC75" s="62"/>
      <c r="DD75" s="62"/>
      <c r="DE75" s="62"/>
      <c r="DF75" s="62"/>
      <c r="DG75" s="62"/>
      <c r="DH75" s="62"/>
      <c r="DI75" s="62"/>
      <c r="DJ75" s="62"/>
      <c r="DK75" s="62"/>
      <c r="DL75" s="62"/>
      <c r="DM75" s="62"/>
      <c r="DN75" s="62"/>
      <c r="DO75" s="62"/>
      <c r="DP75" s="62"/>
      <c r="DQ75" s="62"/>
      <c r="DR75" s="62"/>
      <c r="DS75" s="62"/>
      <c r="DT75" s="62"/>
      <c r="DU75" s="62"/>
      <c r="DV75" s="62"/>
      <c r="DW75" s="62"/>
      <c r="DX75" s="62"/>
      <c r="DY75" s="62"/>
      <c r="DZ75" s="62"/>
      <c r="EA75" s="62"/>
      <c r="EB75" s="62"/>
      <c r="EC75" s="62"/>
      <c r="ED75" s="62"/>
      <c r="EE75" s="62"/>
      <c r="EF75" s="62"/>
      <c r="EG75" s="62"/>
      <c r="EH75" s="62"/>
      <c r="EI75" s="62"/>
      <c r="EJ75" s="62"/>
      <c r="EK75" s="62"/>
      <c r="EL75" s="62"/>
      <c r="EM75" s="62"/>
      <c r="EN75" s="62"/>
      <c r="EO75" s="62"/>
      <c r="EP75" s="62"/>
      <c r="EQ75" s="62"/>
      <c r="ER75" s="62"/>
      <c r="ES75" s="62"/>
      <c r="ET75" s="62"/>
      <c r="EU75" s="62"/>
      <c r="EV75" s="62"/>
      <c r="EW75" s="62"/>
      <c r="EX75" s="62"/>
      <c r="EY75" s="62"/>
      <c r="EZ75" s="62"/>
      <c r="FA75" s="62"/>
      <c r="FB75" s="62"/>
      <c r="FC75" s="62"/>
      <c r="FD75" s="62"/>
      <c r="FE75" s="62"/>
      <c r="FF75" s="62"/>
      <c r="FG75" s="62"/>
      <c r="FH75" s="62"/>
      <c r="FI75" s="62"/>
      <c r="FJ75" s="62"/>
      <c r="FK75" s="62"/>
      <c r="FL75" s="62"/>
      <c r="FM75" s="62"/>
      <c r="FN75" s="62"/>
      <c r="FO75" s="62"/>
      <c r="FP75" s="62"/>
      <c r="FQ75" s="62"/>
      <c r="FR75" s="62"/>
      <c r="FS75" s="62"/>
      <c r="FT75" s="62"/>
      <c r="FU75" s="62"/>
      <c r="FV75" s="62"/>
      <c r="FW75" s="62"/>
      <c r="FX75" s="62"/>
      <c r="FY75" s="62"/>
      <c r="FZ75" s="62"/>
      <c r="GA75" s="62"/>
      <c r="GB75" s="62"/>
      <c r="GC75" s="62"/>
      <c r="GD75" s="62"/>
      <c r="GE75" s="62"/>
      <c r="GF75" s="62"/>
      <c r="GG75" s="62"/>
      <c r="GH75" s="62"/>
      <c r="GI75" s="62"/>
      <c r="GJ75" s="62"/>
      <c r="GK75" s="62"/>
      <c r="GL75" s="62"/>
      <c r="GM75" s="62"/>
      <c r="GN75" s="62"/>
      <c r="GO75" s="62"/>
      <c r="GP75" s="62"/>
      <c r="GQ75" s="62"/>
      <c r="GR75" s="62"/>
      <c r="GS75" s="62"/>
      <c r="GT75" s="62"/>
      <c r="GU75" s="62"/>
    </row>
    <row r="76" spans="1:203" x14ac:dyDescent="0.25">
      <c r="A76" s="8" t="s">
        <v>226</v>
      </c>
      <c r="B76" s="176" t="str">
        <f>DATA!J80</f>
        <v/>
      </c>
      <c r="C76" s="140">
        <f>DATA!K80</f>
        <v>0</v>
      </c>
      <c r="D76" s="62"/>
      <c r="E76" s="62"/>
      <c r="F76" s="62"/>
      <c r="G76" s="62"/>
      <c r="H76" s="62"/>
      <c r="I76" s="62"/>
      <c r="J76" s="62"/>
      <c r="K76" s="62"/>
      <c r="L76" s="62"/>
      <c r="M76" s="62"/>
      <c r="N76" s="62"/>
      <c r="O76" s="62"/>
      <c r="P76" s="62"/>
      <c r="Q76" s="62"/>
      <c r="R76" s="62"/>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62"/>
      <c r="BL76" s="62"/>
      <c r="BM76" s="62"/>
      <c r="BN76" s="62"/>
      <c r="BO76" s="62"/>
      <c r="BP76" s="62"/>
      <c r="BQ76" s="62"/>
      <c r="BR76" s="62"/>
      <c r="BS76" s="62"/>
      <c r="BT76" s="62"/>
      <c r="BU76" s="62"/>
      <c r="BV76" s="62"/>
      <c r="BW76" s="62"/>
      <c r="BX76" s="62"/>
      <c r="BY76" s="62"/>
      <c r="BZ76" s="62"/>
      <c r="CA76" s="62"/>
      <c r="CB76" s="62"/>
      <c r="CC76" s="62"/>
      <c r="CD76" s="62"/>
      <c r="CE76" s="62"/>
      <c r="CF76" s="62"/>
      <c r="CG76" s="62"/>
      <c r="CH76" s="62"/>
      <c r="CI76" s="62"/>
      <c r="CJ76" s="62"/>
      <c r="CK76" s="62"/>
      <c r="CL76" s="62"/>
      <c r="CM76" s="62"/>
      <c r="CN76" s="62"/>
      <c r="CO76" s="62"/>
      <c r="CP76" s="62"/>
      <c r="CQ76" s="62"/>
      <c r="CR76" s="62"/>
      <c r="CS76" s="62"/>
      <c r="CT76" s="62"/>
      <c r="CU76" s="62"/>
      <c r="CV76" s="62"/>
      <c r="CW76" s="62"/>
      <c r="CX76" s="62"/>
      <c r="CY76" s="62"/>
      <c r="CZ76" s="62"/>
      <c r="DA76" s="62"/>
      <c r="DB76" s="62"/>
      <c r="DC76" s="62"/>
      <c r="DD76" s="62"/>
      <c r="DE76" s="62"/>
      <c r="DF76" s="62"/>
      <c r="DG76" s="62"/>
      <c r="DH76" s="62"/>
      <c r="DI76" s="62"/>
      <c r="DJ76" s="62"/>
      <c r="DK76" s="62"/>
      <c r="DL76" s="62"/>
      <c r="DM76" s="62"/>
      <c r="DN76" s="62"/>
      <c r="DO76" s="62"/>
      <c r="DP76" s="62"/>
      <c r="DQ76" s="62"/>
      <c r="DR76" s="62"/>
      <c r="DS76" s="62"/>
      <c r="DT76" s="62"/>
      <c r="DU76" s="62"/>
      <c r="DV76" s="62"/>
      <c r="DW76" s="62"/>
      <c r="DX76" s="62"/>
      <c r="DY76" s="62"/>
      <c r="DZ76" s="62"/>
      <c r="EA76" s="62"/>
      <c r="EB76" s="62"/>
      <c r="EC76" s="62"/>
      <c r="ED76" s="62"/>
      <c r="EE76" s="62"/>
      <c r="EF76" s="62"/>
      <c r="EG76" s="62"/>
      <c r="EH76" s="62"/>
      <c r="EI76" s="62"/>
      <c r="EJ76" s="62"/>
      <c r="EK76" s="62"/>
      <c r="EL76" s="62"/>
      <c r="EM76" s="62"/>
      <c r="EN76" s="62"/>
      <c r="EO76" s="62"/>
      <c r="EP76" s="62"/>
      <c r="EQ76" s="62"/>
      <c r="ER76" s="62"/>
      <c r="ES76" s="62"/>
      <c r="ET76" s="62"/>
      <c r="EU76" s="62"/>
      <c r="EV76" s="62"/>
      <c r="EW76" s="62"/>
      <c r="EX76" s="62"/>
      <c r="EY76" s="62"/>
      <c r="EZ76" s="62"/>
      <c r="FA76" s="62"/>
      <c r="FB76" s="62"/>
      <c r="FC76" s="62"/>
      <c r="FD76" s="62"/>
      <c r="FE76" s="62"/>
      <c r="FF76" s="62"/>
      <c r="FG76" s="62"/>
      <c r="FH76" s="62"/>
      <c r="FI76" s="62"/>
      <c r="FJ76" s="62"/>
      <c r="FK76" s="62"/>
      <c r="FL76" s="62"/>
      <c r="FM76" s="62"/>
      <c r="FN76" s="62"/>
      <c r="FO76" s="62"/>
      <c r="FP76" s="62"/>
      <c r="FQ76" s="62"/>
      <c r="FR76" s="62"/>
      <c r="FS76" s="62"/>
      <c r="FT76" s="62"/>
      <c r="FU76" s="62"/>
      <c r="FV76" s="62"/>
      <c r="FW76" s="62"/>
      <c r="FX76" s="62"/>
      <c r="FY76" s="62"/>
      <c r="FZ76" s="62"/>
      <c r="GA76" s="62"/>
      <c r="GB76" s="62"/>
      <c r="GC76" s="62"/>
      <c r="GD76" s="62"/>
      <c r="GE76" s="62"/>
      <c r="GF76" s="62"/>
      <c r="GG76" s="62"/>
      <c r="GH76" s="62"/>
      <c r="GI76" s="62"/>
      <c r="GJ76" s="62"/>
      <c r="GK76" s="62"/>
      <c r="GL76" s="62"/>
      <c r="GM76" s="62"/>
      <c r="GN76" s="62"/>
      <c r="GO76" s="62"/>
      <c r="GP76" s="62"/>
      <c r="GQ76" s="62"/>
      <c r="GR76" s="62"/>
      <c r="GS76" s="62"/>
      <c r="GT76" s="62"/>
      <c r="GU76" s="62"/>
    </row>
    <row r="77" spans="1:203" x14ac:dyDescent="0.25">
      <c r="A77" s="8" t="s">
        <v>227</v>
      </c>
      <c r="B77" s="176" t="str">
        <f>DATA!J81</f>
        <v/>
      </c>
      <c r="C77" s="140">
        <f>DATA!K81</f>
        <v>0</v>
      </c>
      <c r="D77" s="62"/>
      <c r="E77" s="62"/>
      <c r="F77" s="62"/>
      <c r="G77" s="62"/>
      <c r="H77" s="62"/>
      <c r="I77" s="62"/>
      <c r="J77" s="62"/>
      <c r="K77" s="62"/>
      <c r="L77" s="62"/>
      <c r="M77" s="62"/>
      <c r="N77" s="62"/>
      <c r="O77" s="62"/>
      <c r="P77" s="62"/>
      <c r="Q77" s="62"/>
      <c r="R77" s="62"/>
      <c r="S77" s="62"/>
      <c r="T77" s="62"/>
      <c r="U77" s="62"/>
      <c r="V77" s="62"/>
      <c r="W77" s="62"/>
      <c r="X77" s="62"/>
      <c r="Y77" s="62"/>
      <c r="Z77" s="62"/>
      <c r="AA77" s="62"/>
      <c r="AB77" s="62"/>
      <c r="AC77" s="62"/>
      <c r="AD77" s="62"/>
      <c r="AE77" s="62"/>
      <c r="AF77" s="62"/>
      <c r="AG77" s="62"/>
      <c r="AH77" s="62"/>
      <c r="AI77" s="62"/>
      <c r="AJ77" s="62"/>
      <c r="AK77" s="62"/>
      <c r="AL77" s="62"/>
      <c r="AM77" s="62"/>
      <c r="AN77" s="62"/>
      <c r="AO77" s="62"/>
      <c r="AP77" s="62"/>
      <c r="AQ77" s="62"/>
      <c r="AR77" s="62"/>
      <c r="AS77" s="62"/>
      <c r="AT77" s="62"/>
      <c r="AU77" s="62"/>
      <c r="AV77" s="62"/>
      <c r="AW77" s="62"/>
      <c r="AX77" s="62"/>
      <c r="AY77" s="62"/>
      <c r="AZ77" s="62"/>
      <c r="BA77" s="62"/>
      <c r="BB77" s="62"/>
      <c r="BC77" s="62"/>
      <c r="BD77" s="62"/>
      <c r="BE77" s="62"/>
      <c r="BF77" s="62"/>
      <c r="BG77" s="62"/>
      <c r="BH77" s="62"/>
      <c r="BI77" s="62"/>
      <c r="BJ77" s="62"/>
      <c r="BK77" s="62"/>
      <c r="BL77" s="62"/>
      <c r="BM77" s="62"/>
      <c r="BN77" s="62"/>
      <c r="BO77" s="62"/>
      <c r="BP77" s="62"/>
      <c r="BQ77" s="62"/>
      <c r="BR77" s="62"/>
      <c r="BS77" s="62"/>
      <c r="BT77" s="62"/>
      <c r="BU77" s="62"/>
      <c r="BV77" s="62"/>
      <c r="BW77" s="62"/>
      <c r="BX77" s="62"/>
      <c r="BY77" s="62"/>
      <c r="BZ77" s="62"/>
      <c r="CA77" s="62"/>
      <c r="CB77" s="62"/>
      <c r="CC77" s="62"/>
      <c r="CD77" s="62"/>
      <c r="CE77" s="62"/>
      <c r="CF77" s="62"/>
      <c r="CG77" s="62"/>
      <c r="CH77" s="62"/>
      <c r="CI77" s="62"/>
      <c r="CJ77" s="62"/>
      <c r="CK77" s="62"/>
      <c r="CL77" s="62"/>
      <c r="CM77" s="62"/>
      <c r="CN77" s="62"/>
      <c r="CO77" s="62"/>
      <c r="CP77" s="62"/>
      <c r="CQ77" s="62"/>
      <c r="CR77" s="62"/>
      <c r="CS77" s="62"/>
      <c r="CT77" s="62"/>
      <c r="CU77" s="62"/>
      <c r="CV77" s="62"/>
      <c r="CW77" s="62"/>
      <c r="CX77" s="62"/>
      <c r="CY77" s="62"/>
      <c r="CZ77" s="62"/>
      <c r="DA77" s="62"/>
      <c r="DB77" s="62"/>
      <c r="DC77" s="62"/>
      <c r="DD77" s="62"/>
      <c r="DE77" s="62"/>
      <c r="DF77" s="62"/>
      <c r="DG77" s="62"/>
      <c r="DH77" s="62"/>
      <c r="DI77" s="62"/>
      <c r="DJ77" s="62"/>
      <c r="DK77" s="62"/>
      <c r="DL77" s="62"/>
      <c r="DM77" s="62"/>
      <c r="DN77" s="62"/>
      <c r="DO77" s="62"/>
      <c r="DP77" s="62"/>
      <c r="DQ77" s="62"/>
      <c r="DR77" s="62"/>
      <c r="DS77" s="62"/>
      <c r="DT77" s="62"/>
      <c r="DU77" s="62"/>
      <c r="DV77" s="62"/>
      <c r="DW77" s="62"/>
      <c r="DX77" s="62"/>
      <c r="DY77" s="62"/>
      <c r="DZ77" s="62"/>
      <c r="EA77" s="62"/>
      <c r="EB77" s="62"/>
      <c r="EC77" s="62"/>
      <c r="ED77" s="62"/>
      <c r="EE77" s="62"/>
      <c r="EF77" s="62"/>
      <c r="EG77" s="62"/>
      <c r="EH77" s="62"/>
      <c r="EI77" s="62"/>
      <c r="EJ77" s="62"/>
      <c r="EK77" s="62"/>
      <c r="EL77" s="62"/>
      <c r="EM77" s="62"/>
      <c r="EN77" s="62"/>
      <c r="EO77" s="62"/>
      <c r="EP77" s="62"/>
      <c r="EQ77" s="62"/>
      <c r="ER77" s="62"/>
      <c r="ES77" s="62"/>
      <c r="ET77" s="62"/>
      <c r="EU77" s="62"/>
      <c r="EV77" s="62"/>
      <c r="EW77" s="62"/>
      <c r="EX77" s="62"/>
      <c r="EY77" s="62"/>
      <c r="EZ77" s="62"/>
      <c r="FA77" s="62"/>
      <c r="FB77" s="62"/>
      <c r="FC77" s="62"/>
      <c r="FD77" s="62"/>
      <c r="FE77" s="62"/>
      <c r="FF77" s="62"/>
      <c r="FG77" s="62"/>
      <c r="FH77" s="62"/>
      <c r="FI77" s="62"/>
      <c r="FJ77" s="62"/>
      <c r="FK77" s="62"/>
      <c r="FL77" s="62"/>
      <c r="FM77" s="62"/>
      <c r="FN77" s="62"/>
      <c r="FO77" s="62"/>
      <c r="FP77" s="62"/>
      <c r="FQ77" s="62"/>
      <c r="FR77" s="62"/>
      <c r="FS77" s="62"/>
      <c r="FT77" s="62"/>
      <c r="FU77" s="62"/>
      <c r="FV77" s="62"/>
      <c r="FW77" s="62"/>
      <c r="FX77" s="62"/>
      <c r="FY77" s="62"/>
      <c r="FZ77" s="62"/>
      <c r="GA77" s="62"/>
      <c r="GB77" s="62"/>
      <c r="GC77" s="62"/>
      <c r="GD77" s="62"/>
      <c r="GE77" s="62"/>
      <c r="GF77" s="62"/>
      <c r="GG77" s="62"/>
      <c r="GH77" s="62"/>
      <c r="GI77" s="62"/>
      <c r="GJ77" s="62"/>
      <c r="GK77" s="62"/>
      <c r="GL77" s="62"/>
      <c r="GM77" s="62"/>
      <c r="GN77" s="62"/>
      <c r="GO77" s="62"/>
      <c r="GP77" s="62"/>
      <c r="GQ77" s="62"/>
      <c r="GR77" s="62"/>
      <c r="GS77" s="62"/>
      <c r="GT77" s="62"/>
      <c r="GU77" s="62"/>
    </row>
    <row r="78" spans="1:203" x14ac:dyDescent="0.25">
      <c r="A78" s="8" t="s">
        <v>208</v>
      </c>
      <c r="B78" s="176" t="str">
        <f>DATA!J82</f>
        <v/>
      </c>
      <c r="C78" s="140">
        <f>DATA!K82</f>
        <v>0</v>
      </c>
      <c r="D78" s="62"/>
      <c r="E78" s="62"/>
      <c r="F78" s="62"/>
      <c r="G78" s="62"/>
      <c r="H78" s="62"/>
      <c r="I78" s="62"/>
      <c r="J78" s="62"/>
      <c r="K78" s="62"/>
      <c r="L78" s="62"/>
      <c r="M78" s="62"/>
      <c r="N78" s="62"/>
      <c r="O78" s="62"/>
      <c r="P78" s="62"/>
      <c r="Q78" s="62"/>
      <c r="R78" s="62"/>
      <c r="S78" s="62"/>
      <c r="T78" s="62"/>
      <c r="U78" s="62"/>
      <c r="V78" s="62"/>
      <c r="W78" s="62"/>
      <c r="X78" s="62"/>
      <c r="Y78" s="62"/>
      <c r="Z78" s="62"/>
      <c r="AA78" s="62"/>
      <c r="AB78" s="62"/>
      <c r="AC78" s="62"/>
      <c r="AD78" s="62"/>
      <c r="AE78" s="62"/>
      <c r="AF78" s="62"/>
      <c r="AG78" s="62"/>
      <c r="AH78" s="62"/>
      <c r="AI78" s="62"/>
      <c r="AJ78" s="62"/>
      <c r="AK78" s="62"/>
      <c r="AL78" s="62"/>
      <c r="AM78" s="62"/>
      <c r="AN78" s="62"/>
      <c r="AO78" s="62"/>
      <c r="AP78" s="62"/>
      <c r="AQ78" s="62"/>
      <c r="AR78" s="62"/>
      <c r="AS78" s="62"/>
      <c r="AT78" s="62"/>
      <c r="AU78" s="62"/>
      <c r="AV78" s="62"/>
      <c r="AW78" s="62"/>
      <c r="AX78" s="62"/>
      <c r="AY78" s="62"/>
      <c r="AZ78" s="62"/>
      <c r="BA78" s="62"/>
      <c r="BB78" s="62"/>
      <c r="BC78" s="62"/>
      <c r="BD78" s="62"/>
      <c r="BE78" s="62"/>
      <c r="BF78" s="62"/>
      <c r="BG78" s="62"/>
      <c r="BH78" s="62"/>
      <c r="BI78" s="62"/>
      <c r="BJ78" s="62"/>
      <c r="BK78" s="62"/>
      <c r="BL78" s="62"/>
      <c r="BM78" s="62"/>
      <c r="BN78" s="62"/>
      <c r="BO78" s="62"/>
      <c r="BP78" s="62"/>
      <c r="BQ78" s="62"/>
      <c r="BR78" s="62"/>
      <c r="BS78" s="62"/>
      <c r="BT78" s="62"/>
      <c r="BU78" s="62"/>
      <c r="BV78" s="62"/>
      <c r="BW78" s="62"/>
      <c r="BX78" s="62"/>
      <c r="BY78" s="62"/>
      <c r="BZ78" s="62"/>
      <c r="CA78" s="62"/>
      <c r="CB78" s="62"/>
      <c r="CC78" s="62"/>
      <c r="CD78" s="62"/>
      <c r="CE78" s="62"/>
      <c r="CF78" s="62"/>
      <c r="CG78" s="62"/>
      <c r="CH78" s="62"/>
      <c r="CI78" s="62"/>
      <c r="CJ78" s="62"/>
      <c r="CK78" s="62"/>
      <c r="CL78" s="62"/>
      <c r="CM78" s="62"/>
      <c r="CN78" s="62"/>
      <c r="CO78" s="62"/>
      <c r="CP78" s="62"/>
      <c r="CQ78" s="62"/>
      <c r="CR78" s="62"/>
      <c r="CS78" s="62"/>
      <c r="CT78" s="62"/>
      <c r="CU78" s="62"/>
      <c r="CV78" s="62"/>
      <c r="CW78" s="62"/>
      <c r="CX78" s="62"/>
      <c r="CY78" s="62"/>
      <c r="CZ78" s="62"/>
      <c r="DA78" s="62"/>
      <c r="DB78" s="62"/>
      <c r="DC78" s="62"/>
      <c r="DD78" s="62"/>
      <c r="DE78" s="62"/>
      <c r="DF78" s="62"/>
      <c r="DG78" s="62"/>
      <c r="DH78" s="62"/>
      <c r="DI78" s="62"/>
      <c r="DJ78" s="62"/>
      <c r="DK78" s="62"/>
      <c r="DL78" s="62"/>
      <c r="DM78" s="62"/>
      <c r="DN78" s="62"/>
      <c r="DO78" s="62"/>
      <c r="DP78" s="62"/>
      <c r="DQ78" s="62"/>
      <c r="DR78" s="62"/>
      <c r="DS78" s="62"/>
      <c r="DT78" s="62"/>
      <c r="DU78" s="62"/>
      <c r="DV78" s="62"/>
      <c r="DW78" s="62"/>
      <c r="DX78" s="62"/>
      <c r="DY78" s="62"/>
      <c r="DZ78" s="62"/>
      <c r="EA78" s="62"/>
      <c r="EB78" s="62"/>
      <c r="EC78" s="62"/>
      <c r="ED78" s="62"/>
      <c r="EE78" s="62"/>
      <c r="EF78" s="62"/>
      <c r="EG78" s="62"/>
      <c r="EH78" s="62"/>
      <c r="EI78" s="62"/>
      <c r="EJ78" s="62"/>
      <c r="EK78" s="62"/>
      <c r="EL78" s="62"/>
      <c r="EM78" s="62"/>
      <c r="EN78" s="62"/>
      <c r="EO78" s="62"/>
      <c r="EP78" s="62"/>
      <c r="EQ78" s="62"/>
      <c r="ER78" s="62"/>
      <c r="ES78" s="62"/>
      <c r="ET78" s="62"/>
      <c r="EU78" s="62"/>
      <c r="EV78" s="62"/>
      <c r="EW78" s="62"/>
      <c r="EX78" s="62"/>
      <c r="EY78" s="62"/>
      <c r="EZ78" s="62"/>
      <c r="FA78" s="62"/>
      <c r="FB78" s="62"/>
      <c r="FC78" s="62"/>
      <c r="FD78" s="62"/>
      <c r="FE78" s="62"/>
      <c r="FF78" s="62"/>
      <c r="FG78" s="62"/>
      <c r="FH78" s="62"/>
      <c r="FI78" s="62"/>
      <c r="FJ78" s="62"/>
      <c r="FK78" s="62"/>
      <c r="FL78" s="62"/>
      <c r="FM78" s="62"/>
      <c r="FN78" s="62"/>
      <c r="FO78" s="62"/>
      <c r="FP78" s="62"/>
      <c r="FQ78" s="62"/>
      <c r="FR78" s="62"/>
      <c r="FS78" s="62"/>
      <c r="FT78" s="62"/>
      <c r="FU78" s="62"/>
      <c r="FV78" s="62"/>
      <c r="FW78" s="62"/>
      <c r="FX78" s="62"/>
      <c r="FY78" s="62"/>
      <c r="FZ78" s="62"/>
      <c r="GA78" s="62"/>
      <c r="GB78" s="62"/>
      <c r="GC78" s="62"/>
      <c r="GD78" s="62"/>
      <c r="GE78" s="62"/>
      <c r="GF78" s="62"/>
      <c r="GG78" s="62"/>
      <c r="GH78" s="62"/>
      <c r="GI78" s="62"/>
      <c r="GJ78" s="62"/>
      <c r="GK78" s="62"/>
      <c r="GL78" s="62"/>
      <c r="GM78" s="62"/>
      <c r="GN78" s="62"/>
      <c r="GO78" s="62"/>
      <c r="GP78" s="62"/>
      <c r="GQ78" s="62"/>
      <c r="GR78" s="62"/>
      <c r="GS78" s="62"/>
      <c r="GT78" s="62"/>
      <c r="GU78" s="62"/>
    </row>
    <row r="79" spans="1:203" ht="15.75" thickBot="1" x14ac:dyDescent="0.3">
      <c r="A79" s="8" t="s">
        <v>262</v>
      </c>
      <c r="B79" s="177" t="str">
        <f>DATA!J83</f>
        <v/>
      </c>
      <c r="C79" s="141">
        <f>DATA!K83</f>
        <v>0</v>
      </c>
      <c r="D79" s="62"/>
      <c r="E79" s="62"/>
      <c r="F79" s="62"/>
      <c r="G79" s="62"/>
      <c r="H79" s="62"/>
      <c r="I79" s="62"/>
      <c r="J79" s="62"/>
      <c r="K79" s="62"/>
      <c r="L79" s="62"/>
      <c r="M79" s="62"/>
      <c r="N79" s="62"/>
      <c r="O79" s="62"/>
      <c r="P79" s="62"/>
      <c r="Q79" s="62"/>
      <c r="R79" s="62"/>
      <c r="S79" s="62"/>
      <c r="T79" s="62"/>
      <c r="U79" s="62"/>
      <c r="V79" s="62"/>
      <c r="W79" s="62"/>
      <c r="X79" s="62"/>
      <c r="Y79" s="62"/>
      <c r="Z79" s="62"/>
      <c r="AA79" s="62"/>
      <c r="AB79" s="62"/>
      <c r="AC79" s="62"/>
      <c r="AD79" s="62"/>
      <c r="AE79" s="62"/>
      <c r="AF79" s="62"/>
      <c r="AG79" s="62"/>
      <c r="AH79" s="62"/>
      <c r="AI79" s="62"/>
      <c r="AJ79" s="62"/>
      <c r="AK79" s="62"/>
      <c r="AL79" s="62"/>
      <c r="AM79" s="62"/>
      <c r="AN79" s="62"/>
      <c r="AO79" s="62"/>
      <c r="AP79" s="62"/>
      <c r="AQ79" s="62"/>
      <c r="AR79" s="62"/>
      <c r="AS79" s="62"/>
      <c r="AT79" s="62"/>
      <c r="AU79" s="62"/>
      <c r="AV79" s="62"/>
      <c r="AW79" s="62"/>
      <c r="AX79" s="62"/>
      <c r="AY79" s="62"/>
      <c r="AZ79" s="62"/>
      <c r="BA79" s="62"/>
      <c r="BB79" s="62"/>
      <c r="BC79" s="62"/>
      <c r="BD79" s="62"/>
      <c r="BE79" s="62"/>
      <c r="BF79" s="62"/>
      <c r="BG79" s="62"/>
      <c r="BH79" s="62"/>
      <c r="BI79" s="62"/>
      <c r="BJ79" s="62"/>
      <c r="BK79" s="62"/>
      <c r="BL79" s="62"/>
      <c r="BM79" s="62"/>
      <c r="BN79" s="62"/>
      <c r="BO79" s="62"/>
      <c r="BP79" s="62"/>
      <c r="BQ79" s="62"/>
      <c r="BR79" s="62"/>
      <c r="BS79" s="62"/>
      <c r="BT79" s="62"/>
      <c r="BU79" s="62"/>
      <c r="BV79" s="62"/>
      <c r="BW79" s="62"/>
      <c r="BX79" s="62"/>
      <c r="BY79" s="62"/>
      <c r="BZ79" s="62"/>
      <c r="CA79" s="62"/>
      <c r="CB79" s="62"/>
      <c r="CC79" s="62"/>
      <c r="CD79" s="62"/>
      <c r="CE79" s="62"/>
      <c r="CF79" s="62"/>
      <c r="CG79" s="62"/>
      <c r="CH79" s="62"/>
      <c r="CI79" s="62"/>
      <c r="CJ79" s="62"/>
      <c r="CK79" s="62"/>
      <c r="CL79" s="62"/>
      <c r="CM79" s="62"/>
      <c r="CN79" s="62"/>
      <c r="CO79" s="62"/>
      <c r="CP79" s="62"/>
      <c r="CQ79" s="62"/>
      <c r="CR79" s="62"/>
      <c r="CS79" s="62"/>
      <c r="CT79" s="62"/>
      <c r="CU79" s="62"/>
      <c r="CV79" s="62"/>
      <c r="CW79" s="62"/>
      <c r="CX79" s="62"/>
      <c r="CY79" s="62"/>
      <c r="CZ79" s="62"/>
      <c r="DA79" s="62"/>
      <c r="DB79" s="62"/>
      <c r="DC79" s="62"/>
      <c r="DD79" s="62"/>
      <c r="DE79" s="62"/>
      <c r="DF79" s="62"/>
      <c r="DG79" s="62"/>
      <c r="DH79" s="62"/>
      <c r="DI79" s="62"/>
      <c r="DJ79" s="62"/>
      <c r="DK79" s="62"/>
      <c r="DL79" s="62"/>
      <c r="DM79" s="62"/>
      <c r="DN79" s="62"/>
      <c r="DO79" s="62"/>
      <c r="DP79" s="62"/>
      <c r="DQ79" s="62"/>
      <c r="DR79" s="62"/>
      <c r="DS79" s="62"/>
      <c r="DT79" s="62"/>
      <c r="DU79" s="62"/>
      <c r="DV79" s="62"/>
      <c r="DW79" s="62"/>
      <c r="DX79" s="62"/>
      <c r="DY79" s="62"/>
      <c r="DZ79" s="62"/>
      <c r="EA79" s="62"/>
      <c r="EB79" s="62"/>
      <c r="EC79" s="62"/>
      <c r="ED79" s="62"/>
      <c r="EE79" s="62"/>
      <c r="EF79" s="62"/>
      <c r="EG79" s="62"/>
      <c r="EH79" s="62"/>
      <c r="EI79" s="62"/>
      <c r="EJ79" s="62"/>
      <c r="EK79" s="62"/>
      <c r="EL79" s="62"/>
      <c r="EM79" s="62"/>
      <c r="EN79" s="62"/>
      <c r="EO79" s="62"/>
      <c r="EP79" s="62"/>
      <c r="EQ79" s="62"/>
      <c r="ER79" s="62"/>
      <c r="ES79" s="62"/>
      <c r="ET79" s="62"/>
      <c r="EU79" s="62"/>
      <c r="EV79" s="62"/>
      <c r="EW79" s="62"/>
      <c r="EX79" s="62"/>
      <c r="EY79" s="62"/>
      <c r="EZ79" s="62"/>
      <c r="FA79" s="62"/>
      <c r="FB79" s="62"/>
      <c r="FC79" s="62"/>
      <c r="FD79" s="62"/>
      <c r="FE79" s="62"/>
      <c r="FF79" s="62"/>
      <c r="FG79" s="62"/>
      <c r="FH79" s="62"/>
      <c r="FI79" s="62"/>
      <c r="FJ79" s="62"/>
      <c r="FK79" s="62"/>
      <c r="FL79" s="62"/>
      <c r="FM79" s="62"/>
      <c r="FN79" s="62"/>
      <c r="FO79" s="62"/>
      <c r="FP79" s="62"/>
      <c r="FQ79" s="62"/>
      <c r="FR79" s="62"/>
      <c r="FS79" s="62"/>
      <c r="FT79" s="62"/>
      <c r="FU79" s="62"/>
      <c r="FV79" s="62"/>
      <c r="FW79" s="62"/>
      <c r="FX79" s="62"/>
      <c r="FY79" s="62"/>
      <c r="FZ79" s="62"/>
      <c r="GA79" s="62"/>
      <c r="GB79" s="62"/>
      <c r="GC79" s="62"/>
      <c r="GD79" s="62"/>
      <c r="GE79" s="62"/>
      <c r="GF79" s="62"/>
      <c r="GG79" s="62"/>
      <c r="GH79" s="62"/>
      <c r="GI79" s="62"/>
      <c r="GJ79" s="62"/>
      <c r="GK79" s="62"/>
      <c r="GL79" s="62"/>
      <c r="GM79" s="62"/>
      <c r="GN79" s="62"/>
      <c r="GO79" s="62"/>
      <c r="GP79" s="62"/>
      <c r="GQ79" s="62"/>
      <c r="GR79" s="62"/>
      <c r="GS79" s="62"/>
      <c r="GT79" s="62"/>
      <c r="GU79" s="62"/>
    </row>
    <row r="80" spans="1:203" s="150" customFormat="1" x14ac:dyDescent="0.25">
      <c r="A80" s="98" t="s">
        <v>133</v>
      </c>
      <c r="B80" s="178" t="str">
        <f>DATA!J84</f>
        <v/>
      </c>
      <c r="C80" s="142">
        <f>DATA!K84</f>
        <v>0</v>
      </c>
      <c r="D80" s="63"/>
      <c r="E80" s="63"/>
      <c r="F80" s="63"/>
      <c r="G80" s="63"/>
      <c r="H80" s="63"/>
      <c r="I80" s="63"/>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BT80" s="63"/>
      <c r="BU80" s="63"/>
      <c r="BV80" s="63"/>
      <c r="BW80" s="63"/>
      <c r="BX80" s="63"/>
      <c r="BY80" s="63"/>
      <c r="BZ80" s="63"/>
      <c r="CA80" s="63"/>
      <c r="CB80" s="63"/>
      <c r="CC80" s="63"/>
      <c r="CD80" s="63"/>
      <c r="CE80" s="63"/>
      <c r="CF80" s="63"/>
      <c r="CG80" s="63"/>
      <c r="CH80" s="63"/>
      <c r="CI80" s="63"/>
      <c r="CJ80" s="63"/>
      <c r="CK80" s="63"/>
      <c r="CL80" s="63"/>
      <c r="CM80" s="63"/>
      <c r="CN80" s="63"/>
      <c r="CO80" s="63"/>
      <c r="CP80" s="63"/>
      <c r="CQ80" s="63"/>
      <c r="CR80" s="63"/>
      <c r="CS80" s="63"/>
      <c r="CT80" s="63"/>
      <c r="CU80" s="63"/>
      <c r="CV80" s="63"/>
      <c r="CW80" s="63"/>
      <c r="CX80" s="63"/>
      <c r="CY80" s="63"/>
      <c r="CZ80" s="63"/>
      <c r="DA80" s="63"/>
      <c r="DB80" s="63"/>
      <c r="DC80" s="63"/>
      <c r="DD80" s="63"/>
      <c r="DE80" s="63"/>
      <c r="DF80" s="63"/>
      <c r="DG80" s="63"/>
      <c r="DH80" s="63"/>
      <c r="DI80" s="63"/>
      <c r="DJ80" s="63"/>
      <c r="DK80" s="63"/>
      <c r="DL80" s="63"/>
      <c r="DM80" s="63"/>
      <c r="DN80" s="63"/>
      <c r="DO80" s="63"/>
      <c r="DP80" s="63"/>
      <c r="DQ80" s="63"/>
      <c r="DR80" s="63"/>
      <c r="DS80" s="63"/>
      <c r="DT80" s="63"/>
      <c r="DU80" s="63"/>
      <c r="DV80" s="63"/>
      <c r="DW80" s="63"/>
      <c r="DX80" s="63"/>
      <c r="DY80" s="63"/>
      <c r="DZ80" s="63"/>
      <c r="EA80" s="63"/>
      <c r="EB80" s="63"/>
      <c r="EC80" s="63"/>
      <c r="ED80" s="63"/>
      <c r="EE80" s="63"/>
      <c r="EF80" s="63"/>
      <c r="EG80" s="63"/>
      <c r="EH80" s="63"/>
      <c r="EI80" s="63"/>
      <c r="EJ80" s="63"/>
      <c r="EK80" s="63"/>
      <c r="EL80" s="63"/>
      <c r="EM80" s="63"/>
      <c r="EN80" s="63"/>
      <c r="EO80" s="63"/>
      <c r="EP80" s="63"/>
      <c r="EQ80" s="63"/>
      <c r="ER80" s="63"/>
      <c r="ES80" s="63"/>
      <c r="ET80" s="63"/>
      <c r="EU80" s="63"/>
      <c r="EV80" s="63"/>
      <c r="EW80" s="63"/>
      <c r="EX80" s="63"/>
      <c r="EY80" s="63"/>
      <c r="EZ80" s="63"/>
      <c r="FA80" s="63"/>
      <c r="FB80" s="63"/>
      <c r="FC80" s="63"/>
      <c r="FD80" s="63"/>
      <c r="FE80" s="63"/>
      <c r="FF80" s="63"/>
      <c r="FG80" s="63"/>
      <c r="FH80" s="63"/>
      <c r="FI80" s="63"/>
      <c r="FJ80" s="63"/>
      <c r="FK80" s="63"/>
      <c r="FL80" s="63"/>
      <c r="FM80" s="63"/>
      <c r="FN80" s="63"/>
      <c r="FO80" s="63"/>
      <c r="FP80" s="63"/>
      <c r="FQ80" s="63"/>
      <c r="FR80" s="63"/>
      <c r="FS80" s="63"/>
      <c r="FT80" s="63"/>
      <c r="FU80" s="63"/>
      <c r="FV80" s="63"/>
      <c r="FW80" s="63"/>
      <c r="FX80" s="63"/>
      <c r="FY80" s="63"/>
      <c r="FZ80" s="63"/>
      <c r="GA80" s="63"/>
      <c r="GB80" s="63"/>
      <c r="GC80" s="63"/>
      <c r="GD80" s="63"/>
      <c r="GE80" s="63"/>
      <c r="GF80" s="63"/>
      <c r="GG80" s="63"/>
      <c r="GH80" s="63"/>
      <c r="GI80" s="63"/>
      <c r="GJ80" s="63"/>
      <c r="GK80" s="63"/>
      <c r="GL80" s="63"/>
      <c r="GM80" s="63"/>
      <c r="GN80" s="63"/>
      <c r="GO80" s="63"/>
      <c r="GP80" s="63"/>
      <c r="GQ80" s="63"/>
      <c r="GR80" s="63"/>
      <c r="GS80" s="63"/>
      <c r="GT80" s="63"/>
      <c r="GU80" s="63"/>
    </row>
    <row r="81" spans="1:203" s="151" customFormat="1" x14ac:dyDescent="0.25">
      <c r="A81" s="8" t="s">
        <v>134</v>
      </c>
      <c r="B81" s="176" t="str">
        <f>DATA!J85</f>
        <v/>
      </c>
      <c r="C81" s="140">
        <f>DATA!K85</f>
        <v>0</v>
      </c>
      <c r="D81" s="62"/>
      <c r="E81" s="62"/>
      <c r="F81" s="62"/>
      <c r="G81" s="62"/>
      <c r="H81" s="62"/>
      <c r="I81" s="62"/>
      <c r="J81" s="62"/>
      <c r="K81" s="62"/>
      <c r="L81" s="62"/>
      <c r="M81" s="62"/>
      <c r="N81" s="62"/>
      <c r="O81" s="62"/>
      <c r="P81" s="62"/>
      <c r="Q81" s="62"/>
      <c r="R81" s="62"/>
      <c r="S81" s="62"/>
      <c r="T81" s="62"/>
      <c r="U81" s="62"/>
      <c r="V81" s="62"/>
      <c r="W81" s="62"/>
      <c r="X81" s="62"/>
      <c r="Y81" s="62"/>
      <c r="Z81" s="62"/>
      <c r="AA81" s="62"/>
      <c r="AB81" s="62"/>
      <c r="AC81" s="62"/>
      <c r="AD81" s="62"/>
      <c r="AE81" s="62"/>
      <c r="AF81" s="62"/>
      <c r="AG81" s="62"/>
      <c r="AH81" s="62"/>
      <c r="AI81" s="62"/>
      <c r="AJ81" s="62"/>
      <c r="AK81" s="62"/>
      <c r="AL81" s="62"/>
      <c r="AM81" s="62"/>
      <c r="AN81" s="62"/>
      <c r="AO81" s="62"/>
      <c r="AP81" s="62"/>
      <c r="AQ81" s="62"/>
      <c r="AR81" s="62"/>
      <c r="AS81" s="62"/>
      <c r="AT81" s="62"/>
      <c r="AU81" s="62"/>
      <c r="AV81" s="62"/>
      <c r="AW81" s="62"/>
      <c r="AX81" s="62"/>
      <c r="AY81" s="62"/>
      <c r="AZ81" s="62"/>
      <c r="BA81" s="62"/>
      <c r="BB81" s="62"/>
      <c r="BC81" s="62"/>
      <c r="BD81" s="62"/>
      <c r="BE81" s="62"/>
      <c r="BF81" s="62"/>
      <c r="BG81" s="62"/>
      <c r="BH81" s="62"/>
      <c r="BI81" s="62"/>
      <c r="BJ81" s="62"/>
      <c r="BK81" s="62"/>
      <c r="BL81" s="62"/>
      <c r="BM81" s="62"/>
      <c r="BN81" s="62"/>
      <c r="BO81" s="62"/>
      <c r="BP81" s="62"/>
      <c r="BQ81" s="62"/>
      <c r="BR81" s="62"/>
      <c r="BS81" s="62"/>
      <c r="BT81" s="62"/>
      <c r="BU81" s="62"/>
      <c r="BV81" s="62"/>
      <c r="BW81" s="62"/>
      <c r="BX81" s="62"/>
      <c r="BY81" s="62"/>
      <c r="BZ81" s="62"/>
      <c r="CA81" s="62"/>
      <c r="CB81" s="62"/>
      <c r="CC81" s="62"/>
      <c r="CD81" s="62"/>
      <c r="CE81" s="62"/>
      <c r="CF81" s="62"/>
      <c r="CG81" s="62"/>
      <c r="CH81" s="62"/>
      <c r="CI81" s="62"/>
      <c r="CJ81" s="62"/>
      <c r="CK81" s="62"/>
      <c r="CL81" s="62"/>
      <c r="CM81" s="62"/>
      <c r="CN81" s="62"/>
      <c r="CO81" s="62"/>
      <c r="CP81" s="62"/>
      <c r="CQ81" s="62"/>
      <c r="CR81" s="62"/>
      <c r="CS81" s="62"/>
      <c r="CT81" s="62"/>
      <c r="CU81" s="62"/>
      <c r="CV81" s="62"/>
      <c r="CW81" s="62"/>
      <c r="CX81" s="62"/>
      <c r="CY81" s="62"/>
      <c r="CZ81" s="62"/>
      <c r="DA81" s="62"/>
      <c r="DB81" s="62"/>
      <c r="DC81" s="62"/>
      <c r="DD81" s="62"/>
      <c r="DE81" s="62"/>
      <c r="DF81" s="62"/>
      <c r="DG81" s="62"/>
      <c r="DH81" s="62"/>
      <c r="DI81" s="62"/>
      <c r="DJ81" s="62"/>
      <c r="DK81" s="62"/>
      <c r="DL81" s="62"/>
      <c r="DM81" s="62"/>
      <c r="DN81" s="62"/>
      <c r="DO81" s="62"/>
      <c r="DP81" s="62"/>
      <c r="DQ81" s="62"/>
      <c r="DR81" s="62"/>
      <c r="DS81" s="62"/>
      <c r="DT81" s="62"/>
      <c r="DU81" s="62"/>
      <c r="DV81" s="62"/>
      <c r="DW81" s="62"/>
      <c r="DX81" s="62"/>
      <c r="DY81" s="62"/>
      <c r="DZ81" s="62"/>
      <c r="EA81" s="62"/>
      <c r="EB81" s="62"/>
      <c r="EC81" s="62"/>
      <c r="ED81" s="62"/>
      <c r="EE81" s="62"/>
      <c r="EF81" s="62"/>
      <c r="EG81" s="62"/>
      <c r="EH81" s="62"/>
      <c r="EI81" s="62"/>
      <c r="EJ81" s="62"/>
      <c r="EK81" s="62"/>
      <c r="EL81" s="62"/>
      <c r="EM81" s="62"/>
      <c r="EN81" s="62"/>
      <c r="EO81" s="62"/>
      <c r="EP81" s="62"/>
      <c r="EQ81" s="62"/>
      <c r="ER81" s="62"/>
      <c r="ES81" s="62"/>
      <c r="ET81" s="62"/>
      <c r="EU81" s="62"/>
      <c r="EV81" s="62"/>
      <c r="EW81" s="62"/>
      <c r="EX81" s="62"/>
      <c r="EY81" s="62"/>
      <c r="EZ81" s="62"/>
      <c r="FA81" s="62"/>
      <c r="FB81" s="62"/>
      <c r="FC81" s="62"/>
      <c r="FD81" s="62"/>
      <c r="FE81" s="62"/>
      <c r="FF81" s="62"/>
      <c r="FG81" s="62"/>
      <c r="FH81" s="62"/>
      <c r="FI81" s="62"/>
      <c r="FJ81" s="62"/>
      <c r="FK81" s="62"/>
      <c r="FL81" s="62"/>
      <c r="FM81" s="62"/>
      <c r="FN81" s="62"/>
      <c r="FO81" s="62"/>
      <c r="FP81" s="62"/>
      <c r="FQ81" s="62"/>
      <c r="FR81" s="62"/>
      <c r="FS81" s="62"/>
      <c r="FT81" s="62"/>
      <c r="FU81" s="62"/>
      <c r="FV81" s="62"/>
      <c r="FW81" s="62"/>
      <c r="FX81" s="62"/>
      <c r="FY81" s="62"/>
      <c r="FZ81" s="62"/>
      <c r="GA81" s="62"/>
      <c r="GB81" s="62"/>
      <c r="GC81" s="62"/>
      <c r="GD81" s="62"/>
      <c r="GE81" s="62"/>
      <c r="GF81" s="62"/>
      <c r="GG81" s="62"/>
      <c r="GH81" s="62"/>
      <c r="GI81" s="62"/>
      <c r="GJ81" s="62"/>
      <c r="GK81" s="62"/>
      <c r="GL81" s="62"/>
      <c r="GM81" s="62"/>
      <c r="GN81" s="62"/>
      <c r="GO81" s="62"/>
      <c r="GP81" s="62"/>
      <c r="GQ81" s="62"/>
      <c r="GR81" s="62"/>
      <c r="GS81" s="62"/>
      <c r="GT81" s="62"/>
      <c r="GU81" s="62"/>
    </row>
    <row r="82" spans="1:203" s="151" customFormat="1" x14ac:dyDescent="0.25">
      <c r="A82" s="8" t="s">
        <v>45</v>
      </c>
      <c r="B82" s="176" t="str">
        <f>DATA!J86</f>
        <v/>
      </c>
      <c r="C82" s="140">
        <f>DATA!K86</f>
        <v>0</v>
      </c>
      <c r="D82" s="62"/>
      <c r="E82" s="62"/>
      <c r="F82" s="62"/>
      <c r="G82" s="62"/>
      <c r="H82" s="62"/>
      <c r="I82" s="62"/>
      <c r="J82" s="62"/>
      <c r="K82" s="62"/>
      <c r="L82" s="62"/>
      <c r="M82" s="62"/>
      <c r="N82" s="62"/>
      <c r="O82" s="62"/>
      <c r="P82" s="62"/>
      <c r="Q82" s="62"/>
      <c r="R82" s="62"/>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c r="BW82" s="62"/>
      <c r="BX82" s="62"/>
      <c r="BY82" s="62"/>
      <c r="BZ82" s="62"/>
      <c r="CA82" s="62"/>
      <c r="CB82" s="62"/>
      <c r="CC82" s="62"/>
      <c r="CD82" s="62"/>
      <c r="CE82" s="62"/>
      <c r="CF82" s="62"/>
      <c r="CG82" s="62"/>
      <c r="CH82" s="62"/>
      <c r="CI82" s="62"/>
      <c r="CJ82" s="62"/>
      <c r="CK82" s="62"/>
      <c r="CL82" s="62"/>
      <c r="CM82" s="62"/>
      <c r="CN82" s="62"/>
      <c r="CO82" s="62"/>
      <c r="CP82" s="62"/>
      <c r="CQ82" s="62"/>
      <c r="CR82" s="62"/>
      <c r="CS82" s="62"/>
      <c r="CT82" s="62"/>
      <c r="CU82" s="62"/>
      <c r="CV82" s="62"/>
      <c r="CW82" s="62"/>
      <c r="CX82" s="62"/>
      <c r="CY82" s="62"/>
      <c r="CZ82" s="62"/>
      <c r="DA82" s="62"/>
      <c r="DB82" s="62"/>
      <c r="DC82" s="62"/>
      <c r="DD82" s="62"/>
      <c r="DE82" s="62"/>
      <c r="DF82" s="62"/>
      <c r="DG82" s="62"/>
      <c r="DH82" s="62"/>
      <c r="DI82" s="62"/>
      <c r="DJ82" s="62"/>
      <c r="DK82" s="62"/>
      <c r="DL82" s="62"/>
      <c r="DM82" s="62"/>
      <c r="DN82" s="62"/>
      <c r="DO82" s="62"/>
      <c r="DP82" s="62"/>
      <c r="DQ82" s="62"/>
      <c r="DR82" s="62"/>
      <c r="DS82" s="62"/>
      <c r="DT82" s="62"/>
      <c r="DU82" s="62"/>
      <c r="DV82" s="62"/>
      <c r="DW82" s="62"/>
      <c r="DX82" s="62"/>
      <c r="DY82" s="62"/>
      <c r="DZ82" s="62"/>
      <c r="EA82" s="62"/>
      <c r="EB82" s="62"/>
      <c r="EC82" s="62"/>
      <c r="ED82" s="62"/>
      <c r="EE82" s="62"/>
      <c r="EF82" s="62"/>
      <c r="EG82" s="62"/>
      <c r="EH82" s="62"/>
      <c r="EI82" s="62"/>
      <c r="EJ82" s="62"/>
      <c r="EK82" s="62"/>
      <c r="EL82" s="62"/>
      <c r="EM82" s="62"/>
      <c r="EN82" s="62"/>
      <c r="EO82" s="62"/>
      <c r="EP82" s="62"/>
      <c r="EQ82" s="62"/>
      <c r="ER82" s="62"/>
      <c r="ES82" s="62"/>
      <c r="ET82" s="62"/>
      <c r="EU82" s="62"/>
      <c r="EV82" s="62"/>
      <c r="EW82" s="62"/>
      <c r="EX82" s="62"/>
      <c r="EY82" s="62"/>
      <c r="EZ82" s="62"/>
      <c r="FA82" s="62"/>
      <c r="FB82" s="62"/>
      <c r="FC82" s="62"/>
      <c r="FD82" s="62"/>
      <c r="FE82" s="62"/>
      <c r="FF82" s="62"/>
      <c r="FG82" s="62"/>
      <c r="FH82" s="62"/>
      <c r="FI82" s="62"/>
      <c r="FJ82" s="62"/>
      <c r="FK82" s="62"/>
      <c r="FL82" s="62"/>
      <c r="FM82" s="62"/>
      <c r="FN82" s="62"/>
      <c r="FO82" s="62"/>
      <c r="FP82" s="62"/>
      <c r="FQ82" s="62"/>
      <c r="FR82" s="62"/>
      <c r="FS82" s="62"/>
      <c r="FT82" s="62"/>
      <c r="FU82" s="62"/>
      <c r="FV82" s="62"/>
      <c r="FW82" s="62"/>
      <c r="FX82" s="62"/>
      <c r="FY82" s="62"/>
      <c r="FZ82" s="62"/>
      <c r="GA82" s="62"/>
      <c r="GB82" s="62"/>
      <c r="GC82" s="62"/>
      <c r="GD82" s="62"/>
      <c r="GE82" s="62"/>
      <c r="GF82" s="62"/>
      <c r="GG82" s="62"/>
      <c r="GH82" s="62"/>
      <c r="GI82" s="62"/>
      <c r="GJ82" s="62"/>
      <c r="GK82" s="62"/>
      <c r="GL82" s="62"/>
      <c r="GM82" s="62"/>
      <c r="GN82" s="62"/>
      <c r="GO82" s="62"/>
      <c r="GP82" s="62"/>
      <c r="GQ82" s="62"/>
      <c r="GR82" s="62"/>
      <c r="GS82" s="62"/>
      <c r="GT82" s="62"/>
      <c r="GU82" s="62"/>
    </row>
    <row r="83" spans="1:203" s="151" customFormat="1" x14ac:dyDescent="0.25">
      <c r="A83" s="8" t="s">
        <v>49</v>
      </c>
      <c r="B83" s="176" t="str">
        <f>DATA!J87</f>
        <v/>
      </c>
      <c r="C83" s="140">
        <f>DATA!K87</f>
        <v>0</v>
      </c>
      <c r="D83" s="62"/>
      <c r="E83" s="62"/>
      <c r="F83" s="62"/>
      <c r="G83" s="62"/>
      <c r="H83" s="62"/>
      <c r="I83" s="62"/>
      <c r="J83" s="62"/>
      <c r="K83" s="62"/>
      <c r="L83" s="62"/>
      <c r="M83" s="62"/>
      <c r="N83" s="62"/>
      <c r="O83" s="62"/>
      <c r="P83" s="62"/>
      <c r="Q83" s="62"/>
      <c r="R83" s="62"/>
      <c r="S83" s="62"/>
      <c r="T83" s="62"/>
      <c r="U83" s="62"/>
      <c r="V83" s="62"/>
      <c r="W83" s="62"/>
      <c r="X83" s="62"/>
      <c r="Y83" s="62"/>
      <c r="Z83" s="62"/>
      <c r="AA83" s="62"/>
      <c r="AB83" s="62"/>
      <c r="AC83" s="62"/>
      <c r="AD83" s="62"/>
      <c r="AE83" s="62"/>
      <c r="AF83" s="62"/>
      <c r="AG83" s="62"/>
      <c r="AH83" s="62"/>
      <c r="AI83" s="62"/>
      <c r="AJ83" s="62"/>
      <c r="AK83" s="62"/>
      <c r="AL83" s="62"/>
      <c r="AM83" s="62"/>
      <c r="AN83" s="62"/>
      <c r="AO83" s="62"/>
      <c r="AP83" s="62"/>
      <c r="AQ83" s="62"/>
      <c r="AR83" s="62"/>
      <c r="AS83" s="62"/>
      <c r="AT83" s="62"/>
      <c r="AU83" s="62"/>
      <c r="AV83" s="62"/>
      <c r="AW83" s="62"/>
      <c r="AX83" s="62"/>
      <c r="AY83" s="62"/>
      <c r="AZ83" s="62"/>
      <c r="BA83" s="62"/>
      <c r="BB83" s="62"/>
      <c r="BC83" s="62"/>
      <c r="BD83" s="62"/>
      <c r="BE83" s="62"/>
      <c r="BF83" s="62"/>
      <c r="BG83" s="62"/>
      <c r="BH83" s="62"/>
      <c r="BI83" s="62"/>
      <c r="BJ83" s="62"/>
      <c r="BK83" s="62"/>
      <c r="BL83" s="62"/>
      <c r="BM83" s="62"/>
      <c r="BN83" s="62"/>
      <c r="BO83" s="62"/>
      <c r="BP83" s="62"/>
      <c r="BQ83" s="62"/>
      <c r="BR83" s="62"/>
      <c r="BS83" s="62"/>
      <c r="BT83" s="62"/>
      <c r="BU83" s="62"/>
      <c r="BV83" s="62"/>
      <c r="BW83" s="62"/>
      <c r="BX83" s="62"/>
      <c r="BY83" s="62"/>
      <c r="BZ83" s="62"/>
      <c r="CA83" s="62"/>
      <c r="CB83" s="62"/>
      <c r="CC83" s="62"/>
      <c r="CD83" s="62"/>
      <c r="CE83" s="62"/>
      <c r="CF83" s="62"/>
      <c r="CG83" s="62"/>
      <c r="CH83" s="62"/>
      <c r="CI83" s="62"/>
      <c r="CJ83" s="62"/>
      <c r="CK83" s="62"/>
      <c r="CL83" s="62"/>
      <c r="CM83" s="62"/>
      <c r="CN83" s="62"/>
      <c r="CO83" s="62"/>
      <c r="CP83" s="62"/>
      <c r="CQ83" s="62"/>
      <c r="CR83" s="62"/>
      <c r="CS83" s="62"/>
      <c r="CT83" s="62"/>
      <c r="CU83" s="62"/>
      <c r="CV83" s="62"/>
      <c r="CW83" s="62"/>
      <c r="CX83" s="62"/>
      <c r="CY83" s="62"/>
      <c r="CZ83" s="62"/>
      <c r="DA83" s="62"/>
      <c r="DB83" s="62"/>
      <c r="DC83" s="62"/>
      <c r="DD83" s="62"/>
      <c r="DE83" s="62"/>
      <c r="DF83" s="62"/>
      <c r="DG83" s="62"/>
      <c r="DH83" s="62"/>
      <c r="DI83" s="62"/>
      <c r="DJ83" s="62"/>
      <c r="DK83" s="62"/>
      <c r="DL83" s="62"/>
      <c r="DM83" s="62"/>
      <c r="DN83" s="62"/>
      <c r="DO83" s="62"/>
      <c r="DP83" s="62"/>
      <c r="DQ83" s="62"/>
      <c r="DR83" s="62"/>
      <c r="DS83" s="62"/>
      <c r="DT83" s="62"/>
      <c r="DU83" s="62"/>
      <c r="DV83" s="62"/>
      <c r="DW83" s="62"/>
      <c r="DX83" s="62"/>
      <c r="DY83" s="62"/>
      <c r="DZ83" s="62"/>
      <c r="EA83" s="62"/>
      <c r="EB83" s="62"/>
      <c r="EC83" s="62"/>
      <c r="ED83" s="62"/>
      <c r="EE83" s="62"/>
      <c r="EF83" s="62"/>
      <c r="EG83" s="62"/>
      <c r="EH83" s="62"/>
      <c r="EI83" s="62"/>
      <c r="EJ83" s="62"/>
      <c r="EK83" s="62"/>
      <c r="EL83" s="62"/>
      <c r="EM83" s="62"/>
      <c r="EN83" s="62"/>
      <c r="EO83" s="62"/>
      <c r="EP83" s="62"/>
      <c r="EQ83" s="62"/>
      <c r="ER83" s="62"/>
      <c r="ES83" s="62"/>
      <c r="ET83" s="62"/>
      <c r="EU83" s="62"/>
      <c r="EV83" s="62"/>
      <c r="EW83" s="62"/>
      <c r="EX83" s="62"/>
      <c r="EY83" s="62"/>
      <c r="EZ83" s="62"/>
      <c r="FA83" s="62"/>
      <c r="FB83" s="62"/>
      <c r="FC83" s="62"/>
      <c r="FD83" s="62"/>
      <c r="FE83" s="62"/>
      <c r="FF83" s="62"/>
      <c r="FG83" s="62"/>
      <c r="FH83" s="62"/>
      <c r="FI83" s="62"/>
      <c r="FJ83" s="62"/>
      <c r="FK83" s="62"/>
      <c r="FL83" s="62"/>
      <c r="FM83" s="62"/>
      <c r="FN83" s="62"/>
      <c r="FO83" s="62"/>
      <c r="FP83" s="62"/>
      <c r="FQ83" s="62"/>
      <c r="FR83" s="62"/>
      <c r="FS83" s="62"/>
      <c r="FT83" s="62"/>
      <c r="FU83" s="62"/>
      <c r="FV83" s="62"/>
      <c r="FW83" s="62"/>
      <c r="FX83" s="62"/>
      <c r="FY83" s="62"/>
      <c r="FZ83" s="62"/>
      <c r="GA83" s="62"/>
      <c r="GB83" s="62"/>
      <c r="GC83" s="62"/>
      <c r="GD83" s="62"/>
      <c r="GE83" s="62"/>
      <c r="GF83" s="62"/>
      <c r="GG83" s="62"/>
      <c r="GH83" s="62"/>
      <c r="GI83" s="62"/>
      <c r="GJ83" s="62"/>
      <c r="GK83" s="62"/>
      <c r="GL83" s="62"/>
      <c r="GM83" s="62"/>
      <c r="GN83" s="62"/>
      <c r="GO83" s="62"/>
      <c r="GP83" s="62"/>
      <c r="GQ83" s="62"/>
      <c r="GR83" s="62"/>
      <c r="GS83" s="62"/>
      <c r="GT83" s="62"/>
      <c r="GU83" s="62"/>
    </row>
    <row r="84" spans="1:203" s="151" customFormat="1" x14ac:dyDescent="0.25">
      <c r="A84" s="8" t="s">
        <v>277</v>
      </c>
      <c r="B84" s="176" t="str">
        <f>DATA!J88</f>
        <v/>
      </c>
      <c r="C84" s="140">
        <f>DATA!K88</f>
        <v>0</v>
      </c>
      <c r="D84" s="62"/>
      <c r="E84" s="62"/>
      <c r="F84" s="62"/>
      <c r="G84" s="62"/>
      <c r="H84" s="62"/>
      <c r="I84" s="62"/>
      <c r="J84" s="62"/>
      <c r="K84" s="62"/>
      <c r="L84" s="62"/>
      <c r="M84" s="62"/>
      <c r="N84" s="62"/>
      <c r="O84" s="62"/>
      <c r="P84" s="62"/>
      <c r="Q84" s="62"/>
      <c r="R84" s="62"/>
      <c r="S84" s="62"/>
      <c r="T84" s="62"/>
      <c r="U84" s="62"/>
      <c r="V84" s="62"/>
      <c r="W84" s="62"/>
      <c r="X84" s="62"/>
      <c r="Y84" s="62"/>
      <c r="Z84" s="62"/>
      <c r="AA84" s="62"/>
      <c r="AB84" s="62"/>
      <c r="AC84" s="62"/>
      <c r="AD84" s="62"/>
      <c r="AE84" s="62"/>
      <c r="AF84" s="62"/>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c r="BM84" s="62"/>
      <c r="BN84" s="62"/>
      <c r="BO84" s="62"/>
      <c r="BP84" s="62"/>
      <c r="BQ84" s="62"/>
      <c r="BR84" s="62"/>
      <c r="BS84" s="62"/>
      <c r="BT84" s="62"/>
      <c r="BU84" s="62"/>
      <c r="BV84" s="62"/>
      <c r="BW84" s="62"/>
      <c r="BX84" s="62"/>
      <c r="BY84" s="62"/>
      <c r="BZ84" s="62"/>
      <c r="CA84" s="62"/>
      <c r="CB84" s="62"/>
      <c r="CC84" s="62"/>
      <c r="CD84" s="62"/>
      <c r="CE84" s="62"/>
      <c r="CF84" s="62"/>
      <c r="CG84" s="62"/>
      <c r="CH84" s="62"/>
      <c r="CI84" s="62"/>
      <c r="CJ84" s="62"/>
      <c r="CK84" s="62"/>
      <c r="CL84" s="62"/>
      <c r="CM84" s="62"/>
      <c r="CN84" s="62"/>
      <c r="CO84" s="62"/>
      <c r="CP84" s="62"/>
      <c r="CQ84" s="62"/>
      <c r="CR84" s="62"/>
      <c r="CS84" s="62"/>
      <c r="CT84" s="62"/>
      <c r="CU84" s="62"/>
      <c r="CV84" s="62"/>
      <c r="CW84" s="62"/>
      <c r="CX84" s="62"/>
      <c r="CY84" s="62"/>
      <c r="CZ84" s="62"/>
      <c r="DA84" s="62"/>
      <c r="DB84" s="62"/>
      <c r="DC84" s="62"/>
      <c r="DD84" s="62"/>
      <c r="DE84" s="62"/>
      <c r="DF84" s="62"/>
      <c r="DG84" s="62"/>
      <c r="DH84" s="62"/>
      <c r="DI84" s="62"/>
      <c r="DJ84" s="62"/>
      <c r="DK84" s="62"/>
      <c r="DL84" s="62"/>
      <c r="DM84" s="62"/>
      <c r="DN84" s="62"/>
      <c r="DO84" s="62"/>
      <c r="DP84" s="62"/>
      <c r="DQ84" s="62"/>
      <c r="DR84" s="62"/>
      <c r="DS84" s="62"/>
      <c r="DT84" s="62"/>
      <c r="DU84" s="62"/>
      <c r="DV84" s="62"/>
      <c r="DW84" s="62"/>
      <c r="DX84" s="62"/>
      <c r="DY84" s="62"/>
      <c r="DZ84" s="62"/>
      <c r="EA84" s="62"/>
      <c r="EB84" s="62"/>
      <c r="EC84" s="62"/>
      <c r="ED84" s="62"/>
      <c r="EE84" s="62"/>
      <c r="EF84" s="62"/>
      <c r="EG84" s="62"/>
      <c r="EH84" s="62"/>
      <c r="EI84" s="62"/>
      <c r="EJ84" s="62"/>
      <c r="EK84" s="62"/>
      <c r="EL84" s="62"/>
      <c r="EM84" s="62"/>
      <c r="EN84" s="62"/>
      <c r="EO84" s="62"/>
      <c r="EP84" s="62"/>
      <c r="EQ84" s="62"/>
      <c r="ER84" s="62"/>
      <c r="ES84" s="62"/>
      <c r="ET84" s="62"/>
      <c r="EU84" s="62"/>
      <c r="EV84" s="62"/>
      <c r="EW84" s="62"/>
      <c r="EX84" s="62"/>
      <c r="EY84" s="62"/>
      <c r="EZ84" s="62"/>
      <c r="FA84" s="62"/>
      <c r="FB84" s="62"/>
      <c r="FC84" s="62"/>
      <c r="FD84" s="62"/>
      <c r="FE84" s="62"/>
      <c r="FF84" s="62"/>
      <c r="FG84" s="62"/>
      <c r="FH84" s="62"/>
      <c r="FI84" s="62"/>
      <c r="FJ84" s="62"/>
      <c r="FK84" s="62"/>
      <c r="FL84" s="62"/>
      <c r="FM84" s="62"/>
      <c r="FN84" s="62"/>
      <c r="FO84" s="62"/>
      <c r="FP84" s="62"/>
      <c r="FQ84" s="62"/>
      <c r="FR84" s="62"/>
      <c r="FS84" s="62"/>
      <c r="FT84" s="62"/>
      <c r="FU84" s="62"/>
      <c r="FV84" s="62"/>
      <c r="FW84" s="62"/>
      <c r="FX84" s="62"/>
      <c r="FY84" s="62"/>
      <c r="FZ84" s="62"/>
      <c r="GA84" s="62"/>
      <c r="GB84" s="62"/>
      <c r="GC84" s="62"/>
      <c r="GD84" s="62"/>
      <c r="GE84" s="62"/>
      <c r="GF84" s="62"/>
      <c r="GG84" s="62"/>
      <c r="GH84" s="62"/>
      <c r="GI84" s="62"/>
      <c r="GJ84" s="62"/>
      <c r="GK84" s="62"/>
      <c r="GL84" s="62"/>
      <c r="GM84" s="62"/>
      <c r="GN84" s="62"/>
      <c r="GO84" s="62"/>
      <c r="GP84" s="62"/>
      <c r="GQ84" s="62"/>
      <c r="GR84" s="62"/>
      <c r="GS84" s="62"/>
      <c r="GT84" s="62"/>
      <c r="GU84" s="62"/>
    </row>
    <row r="85" spans="1:203" x14ac:dyDescent="0.25">
      <c r="A85" s="155" t="s">
        <v>65</v>
      </c>
      <c r="B85" s="179">
        <f t="shared" ref="B85:B97" si="13">IF(C85&gt;0,1,0)</f>
        <v>0</v>
      </c>
      <c r="C85" s="156">
        <f t="shared" ref="C85:C97" si="14">IF(ISNA((VLOOKUP(A85&amp;" - SCR",$A$1:$C$77,3,FALSE))+(VLOOKUP(A85&amp;" - QUAR",$A$1:$C$77,3,FALSE))),0,((VLOOKUP(A85&amp;" - SCR",$A$1:$C$77,3,FALSE))+(VLOOKUP(A85&amp;" - QUAR",$A$1:$C$77,3,FALSE))))</f>
        <v>0</v>
      </c>
      <c r="D85" s="62"/>
      <c r="E85" s="62"/>
      <c r="F85" s="62"/>
      <c r="G85" s="62"/>
      <c r="H85" s="62"/>
      <c r="I85" s="62"/>
      <c r="J85" s="62"/>
      <c r="K85" s="62"/>
      <c r="L85" s="62"/>
      <c r="M85" s="62"/>
      <c r="N85" s="62"/>
      <c r="O85" s="62"/>
      <c r="P85" s="62"/>
      <c r="Q85" s="62"/>
      <c r="R85" s="62"/>
      <c r="S85" s="62"/>
      <c r="T85" s="62"/>
      <c r="U85" s="62"/>
      <c r="V85" s="62"/>
      <c r="W85" s="62"/>
      <c r="X85" s="62"/>
      <c r="Y85" s="62"/>
      <c r="Z85" s="62"/>
      <c r="AA85" s="62"/>
      <c r="AB85" s="62"/>
      <c r="AC85" s="62"/>
      <c r="AD85" s="62"/>
      <c r="AE85" s="62"/>
      <c r="AF85" s="62"/>
      <c r="AG85" s="62"/>
      <c r="AH85" s="62"/>
      <c r="AI85" s="62"/>
      <c r="AJ85" s="62"/>
      <c r="AK85" s="62"/>
      <c r="AL85" s="62"/>
      <c r="AM85" s="62"/>
      <c r="AN85" s="62"/>
      <c r="AO85" s="62"/>
      <c r="AP85" s="62"/>
      <c r="AQ85" s="62"/>
      <c r="AR85" s="62"/>
      <c r="AS85" s="62"/>
      <c r="AT85" s="62"/>
      <c r="AU85" s="62"/>
      <c r="AV85" s="62"/>
      <c r="AW85" s="62"/>
      <c r="AX85" s="62"/>
      <c r="AY85" s="62"/>
      <c r="AZ85" s="62"/>
      <c r="BA85" s="62"/>
      <c r="BB85" s="62"/>
      <c r="BC85" s="62"/>
      <c r="BD85" s="62"/>
      <c r="BE85" s="62"/>
      <c r="BF85" s="62"/>
      <c r="BG85" s="62"/>
      <c r="BH85" s="62"/>
      <c r="BI85" s="62"/>
      <c r="BJ85" s="62"/>
      <c r="BK85" s="62"/>
      <c r="BL85" s="62"/>
      <c r="BM85" s="62"/>
      <c r="BN85" s="62"/>
      <c r="BO85" s="62"/>
      <c r="BP85" s="62"/>
      <c r="BQ85" s="62"/>
      <c r="BR85" s="62"/>
      <c r="BS85" s="62"/>
      <c r="BT85" s="62"/>
      <c r="BU85" s="62"/>
      <c r="BV85" s="62"/>
      <c r="BW85" s="62"/>
      <c r="BX85" s="62"/>
      <c r="BY85" s="62"/>
      <c r="BZ85" s="62"/>
      <c r="CA85" s="62"/>
      <c r="CB85" s="62"/>
      <c r="CC85" s="62"/>
      <c r="CD85" s="62"/>
      <c r="CE85" s="62"/>
      <c r="CF85" s="62"/>
      <c r="CG85" s="62"/>
      <c r="CH85" s="62"/>
      <c r="CI85" s="62"/>
      <c r="CJ85" s="62"/>
      <c r="CK85" s="62"/>
      <c r="CL85" s="62"/>
      <c r="CM85" s="62"/>
      <c r="CN85" s="62"/>
      <c r="CO85" s="62"/>
      <c r="CP85" s="62"/>
      <c r="CQ85" s="62"/>
      <c r="CR85" s="62"/>
      <c r="CS85" s="62"/>
      <c r="CT85" s="62"/>
      <c r="CU85" s="62"/>
      <c r="CV85" s="62"/>
      <c r="CW85" s="62"/>
      <c r="CX85" s="62"/>
      <c r="CY85" s="62"/>
      <c r="CZ85" s="62"/>
      <c r="DA85" s="62"/>
      <c r="DB85" s="62"/>
      <c r="DC85" s="62"/>
      <c r="DD85" s="62"/>
      <c r="DE85" s="62"/>
      <c r="DF85" s="62"/>
      <c r="DG85" s="62"/>
      <c r="DH85" s="62"/>
      <c r="DI85" s="62"/>
      <c r="DJ85" s="62"/>
      <c r="DK85" s="62"/>
      <c r="DL85" s="62"/>
      <c r="DM85" s="62"/>
      <c r="DN85" s="62"/>
      <c r="DO85" s="62"/>
      <c r="DP85" s="62"/>
      <c r="DQ85" s="62"/>
      <c r="DR85" s="62"/>
      <c r="DS85" s="62"/>
      <c r="DT85" s="62"/>
      <c r="DU85" s="62"/>
      <c r="DV85" s="62"/>
      <c r="DW85" s="62"/>
      <c r="DX85" s="62"/>
      <c r="DY85" s="62"/>
      <c r="DZ85" s="62"/>
      <c r="EA85" s="62"/>
      <c r="EB85" s="62"/>
      <c r="EC85" s="62"/>
      <c r="ED85" s="62"/>
      <c r="EE85" s="62"/>
      <c r="EF85" s="62"/>
      <c r="EG85" s="62"/>
      <c r="EH85" s="62"/>
      <c r="EI85" s="62"/>
      <c r="EJ85" s="62"/>
      <c r="EK85" s="62"/>
      <c r="EL85" s="62"/>
      <c r="EM85" s="62"/>
      <c r="EN85" s="62"/>
      <c r="EO85" s="62"/>
      <c r="EP85" s="62"/>
      <c r="EQ85" s="62"/>
      <c r="ER85" s="62"/>
      <c r="ES85" s="62"/>
      <c r="ET85" s="62"/>
      <c r="EU85" s="62"/>
      <c r="EV85" s="62"/>
      <c r="EW85" s="62"/>
      <c r="EX85" s="62"/>
      <c r="EY85" s="62"/>
      <c r="EZ85" s="62"/>
      <c r="FA85" s="62"/>
      <c r="FB85" s="62"/>
      <c r="FC85" s="62"/>
      <c r="FD85" s="62"/>
      <c r="FE85" s="62"/>
      <c r="FF85" s="62"/>
      <c r="FG85" s="62"/>
      <c r="FH85" s="62"/>
      <c r="FI85" s="62"/>
      <c r="FJ85" s="62"/>
      <c r="FK85" s="62"/>
      <c r="FL85" s="62"/>
      <c r="FM85" s="62"/>
      <c r="FN85" s="62"/>
      <c r="FO85" s="62"/>
      <c r="FP85" s="62"/>
      <c r="FQ85" s="62"/>
      <c r="FR85" s="62"/>
      <c r="FS85" s="62"/>
      <c r="FT85" s="62"/>
      <c r="FU85" s="62"/>
      <c r="FV85" s="62"/>
      <c r="FW85" s="62"/>
      <c r="FX85" s="62"/>
      <c r="FY85" s="62"/>
      <c r="FZ85" s="62"/>
      <c r="GA85" s="62"/>
      <c r="GB85" s="62"/>
      <c r="GC85" s="62"/>
      <c r="GD85" s="62"/>
      <c r="GE85" s="62"/>
      <c r="GF85" s="62"/>
      <c r="GG85" s="62"/>
      <c r="GH85" s="62"/>
      <c r="GI85" s="62"/>
      <c r="GJ85" s="62"/>
      <c r="GK85" s="62"/>
      <c r="GL85" s="62"/>
      <c r="GM85" s="62"/>
      <c r="GN85" s="62"/>
      <c r="GO85" s="62"/>
      <c r="GP85" s="62"/>
      <c r="GQ85" s="62"/>
      <c r="GR85" s="62"/>
      <c r="GS85" s="62"/>
      <c r="GT85" s="62"/>
      <c r="GU85" s="62"/>
    </row>
    <row r="86" spans="1:203" x14ac:dyDescent="0.25">
      <c r="A86" s="155" t="s">
        <v>63</v>
      </c>
      <c r="B86" s="179">
        <f t="shared" si="13"/>
        <v>0</v>
      </c>
      <c r="C86" s="156">
        <f t="shared" si="14"/>
        <v>0</v>
      </c>
      <c r="D86" s="62"/>
      <c r="E86" s="62"/>
      <c r="F86" s="62"/>
      <c r="G86" s="62"/>
      <c r="H86" s="62"/>
      <c r="I86" s="62"/>
      <c r="J86" s="62"/>
      <c r="K86" s="62"/>
      <c r="L86" s="62"/>
      <c r="M86" s="62"/>
      <c r="N86" s="62"/>
      <c r="O86" s="62"/>
      <c r="P86" s="62"/>
      <c r="Q86" s="62"/>
      <c r="R86" s="62"/>
      <c r="S86" s="62"/>
      <c r="T86" s="62"/>
      <c r="U86" s="62"/>
      <c r="V86" s="62"/>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c r="BM86" s="62"/>
      <c r="BN86" s="62"/>
      <c r="BO86" s="62"/>
      <c r="BP86" s="62"/>
      <c r="BQ86" s="62"/>
      <c r="BR86" s="62"/>
      <c r="BS86" s="62"/>
      <c r="BT86" s="62"/>
      <c r="BU86" s="62"/>
      <c r="BV86" s="62"/>
      <c r="BW86" s="62"/>
      <c r="BX86" s="62"/>
      <c r="BY86" s="62"/>
      <c r="BZ86" s="62"/>
      <c r="CA86" s="62"/>
      <c r="CB86" s="62"/>
      <c r="CC86" s="62"/>
      <c r="CD86" s="62"/>
      <c r="CE86" s="62"/>
      <c r="CF86" s="62"/>
      <c r="CG86" s="62"/>
      <c r="CH86" s="62"/>
      <c r="CI86" s="62"/>
      <c r="CJ86" s="62"/>
      <c r="CK86" s="62"/>
      <c r="CL86" s="62"/>
      <c r="CM86" s="62"/>
      <c r="CN86" s="62"/>
      <c r="CO86" s="62"/>
      <c r="CP86" s="62"/>
      <c r="CQ86" s="62"/>
      <c r="CR86" s="62"/>
      <c r="CS86" s="62"/>
      <c r="CT86" s="62"/>
      <c r="CU86" s="62"/>
      <c r="CV86" s="62"/>
      <c r="CW86" s="62"/>
      <c r="CX86" s="62"/>
      <c r="CY86" s="62"/>
      <c r="CZ86" s="62"/>
      <c r="DA86" s="62"/>
      <c r="DB86" s="62"/>
      <c r="DC86" s="62"/>
      <c r="DD86" s="62"/>
      <c r="DE86" s="62"/>
      <c r="DF86" s="62"/>
      <c r="DG86" s="62"/>
      <c r="DH86" s="62"/>
      <c r="DI86" s="62"/>
      <c r="DJ86" s="62"/>
      <c r="DK86" s="62"/>
      <c r="DL86" s="62"/>
      <c r="DM86" s="62"/>
      <c r="DN86" s="62"/>
      <c r="DO86" s="62"/>
      <c r="DP86" s="62"/>
      <c r="DQ86" s="62"/>
      <c r="DR86" s="62"/>
      <c r="DS86" s="62"/>
      <c r="DT86" s="62"/>
      <c r="DU86" s="62"/>
      <c r="DV86" s="62"/>
      <c r="DW86" s="62"/>
      <c r="DX86" s="62"/>
      <c r="DY86" s="62"/>
      <c r="DZ86" s="62"/>
      <c r="EA86" s="62"/>
      <c r="EB86" s="62"/>
      <c r="EC86" s="62"/>
      <c r="ED86" s="62"/>
      <c r="EE86" s="62"/>
      <c r="EF86" s="62"/>
      <c r="EG86" s="62"/>
      <c r="EH86" s="62"/>
      <c r="EI86" s="62"/>
      <c r="EJ86" s="62"/>
      <c r="EK86" s="62"/>
      <c r="EL86" s="62"/>
      <c r="EM86" s="62"/>
      <c r="EN86" s="62"/>
      <c r="EO86" s="62"/>
      <c r="EP86" s="62"/>
      <c r="EQ86" s="62"/>
      <c r="ER86" s="62"/>
      <c r="ES86" s="62"/>
      <c r="ET86" s="62"/>
      <c r="EU86" s="62"/>
      <c r="EV86" s="62"/>
      <c r="EW86" s="62"/>
      <c r="EX86" s="62"/>
      <c r="EY86" s="62"/>
      <c r="EZ86" s="62"/>
      <c r="FA86" s="62"/>
      <c r="FB86" s="62"/>
      <c r="FC86" s="62"/>
      <c r="FD86" s="62"/>
      <c r="FE86" s="62"/>
      <c r="FF86" s="62"/>
      <c r="FG86" s="62"/>
      <c r="FH86" s="62"/>
      <c r="FI86" s="62"/>
      <c r="FJ86" s="62"/>
      <c r="FK86" s="62"/>
      <c r="FL86" s="62"/>
      <c r="FM86" s="62"/>
      <c r="FN86" s="62"/>
      <c r="FO86" s="62"/>
      <c r="FP86" s="62"/>
      <c r="FQ86" s="62"/>
      <c r="FR86" s="62"/>
      <c r="FS86" s="62"/>
      <c r="FT86" s="62"/>
      <c r="FU86" s="62"/>
      <c r="FV86" s="62"/>
      <c r="FW86" s="62"/>
      <c r="FX86" s="62"/>
      <c r="FY86" s="62"/>
      <c r="FZ86" s="62"/>
      <c r="GA86" s="62"/>
      <c r="GB86" s="62"/>
      <c r="GC86" s="62"/>
      <c r="GD86" s="62"/>
      <c r="GE86" s="62"/>
      <c r="GF86" s="62"/>
      <c r="GG86" s="62"/>
      <c r="GH86" s="62"/>
      <c r="GI86" s="62"/>
      <c r="GJ86" s="62"/>
      <c r="GK86" s="62"/>
      <c r="GL86" s="62"/>
      <c r="GM86" s="62"/>
      <c r="GN86" s="62"/>
      <c r="GO86" s="62"/>
      <c r="GP86" s="62"/>
      <c r="GQ86" s="62"/>
      <c r="GR86" s="62"/>
      <c r="GS86" s="62"/>
      <c r="GT86" s="62"/>
      <c r="GU86" s="62"/>
    </row>
    <row r="87" spans="1:203" x14ac:dyDescent="0.25">
      <c r="A87" s="155" t="s">
        <v>41</v>
      </c>
      <c r="B87" s="179">
        <f t="shared" si="13"/>
        <v>0</v>
      </c>
      <c r="C87" s="156">
        <f t="shared" si="14"/>
        <v>0</v>
      </c>
      <c r="D87" s="62"/>
      <c r="E87" s="62"/>
      <c r="F87" s="62"/>
      <c r="G87" s="62"/>
      <c r="H87" s="62"/>
      <c r="I87" s="62"/>
      <c r="J87" s="62"/>
      <c r="K87" s="62"/>
      <c r="L87" s="62"/>
      <c r="M87" s="62"/>
      <c r="N87" s="62"/>
      <c r="O87" s="62"/>
      <c r="P87" s="62"/>
      <c r="Q87" s="62"/>
      <c r="R87" s="62"/>
      <c r="S87" s="62"/>
      <c r="T87" s="62"/>
      <c r="U87" s="62"/>
      <c r="V87" s="62"/>
      <c r="W87" s="62"/>
      <c r="X87" s="62"/>
      <c r="Y87" s="62"/>
      <c r="Z87" s="62"/>
      <c r="AA87" s="62"/>
      <c r="AB87" s="62"/>
      <c r="AC87" s="62"/>
      <c r="AD87" s="62"/>
      <c r="AE87" s="62"/>
      <c r="AF87" s="62"/>
      <c r="AG87" s="62"/>
      <c r="AH87" s="62"/>
      <c r="AI87" s="62"/>
      <c r="AJ87" s="62"/>
      <c r="AK87" s="62"/>
      <c r="AL87" s="62"/>
      <c r="AM87" s="62"/>
      <c r="AN87" s="62"/>
      <c r="AO87" s="62"/>
      <c r="AP87" s="62"/>
      <c r="AQ87" s="62"/>
      <c r="AR87" s="62"/>
      <c r="AS87" s="62"/>
      <c r="AT87" s="62"/>
      <c r="AU87" s="62"/>
      <c r="AV87" s="62"/>
      <c r="AW87" s="62"/>
      <c r="AX87" s="62"/>
      <c r="AY87" s="62"/>
      <c r="AZ87" s="62"/>
      <c r="BA87" s="62"/>
      <c r="BB87" s="62"/>
      <c r="BC87" s="62"/>
      <c r="BD87" s="62"/>
      <c r="BE87" s="62"/>
      <c r="BF87" s="62"/>
      <c r="BG87" s="62"/>
      <c r="BH87" s="62"/>
      <c r="BI87" s="62"/>
      <c r="BJ87" s="62"/>
      <c r="BK87" s="62"/>
      <c r="BL87" s="62"/>
      <c r="BM87" s="62"/>
      <c r="BN87" s="62"/>
      <c r="BO87" s="62"/>
      <c r="BP87" s="62"/>
      <c r="BQ87" s="62"/>
      <c r="BR87" s="62"/>
      <c r="BS87" s="62"/>
      <c r="BT87" s="62"/>
      <c r="BU87" s="62"/>
      <c r="BV87" s="62"/>
      <c r="BW87" s="62"/>
      <c r="BX87" s="62"/>
      <c r="BY87" s="62"/>
      <c r="BZ87" s="62"/>
      <c r="CA87" s="62"/>
      <c r="CB87" s="62"/>
      <c r="CC87" s="62"/>
      <c r="CD87" s="62"/>
      <c r="CE87" s="62"/>
      <c r="CF87" s="62"/>
      <c r="CG87" s="62"/>
      <c r="CH87" s="62"/>
      <c r="CI87" s="62"/>
      <c r="CJ87" s="62"/>
      <c r="CK87" s="62"/>
      <c r="CL87" s="62"/>
      <c r="CM87" s="62"/>
      <c r="CN87" s="62"/>
      <c r="CO87" s="62"/>
      <c r="CP87" s="62"/>
      <c r="CQ87" s="62"/>
      <c r="CR87" s="62"/>
      <c r="CS87" s="62"/>
      <c r="CT87" s="62"/>
      <c r="CU87" s="62"/>
      <c r="CV87" s="62"/>
      <c r="CW87" s="62"/>
      <c r="CX87" s="62"/>
      <c r="CY87" s="62"/>
      <c r="CZ87" s="62"/>
      <c r="DA87" s="62"/>
      <c r="DB87" s="62"/>
      <c r="DC87" s="62"/>
      <c r="DD87" s="62"/>
      <c r="DE87" s="62"/>
      <c r="DF87" s="62"/>
      <c r="DG87" s="62"/>
      <c r="DH87" s="62"/>
      <c r="DI87" s="62"/>
      <c r="DJ87" s="62"/>
      <c r="DK87" s="62"/>
      <c r="DL87" s="62"/>
      <c r="DM87" s="62"/>
      <c r="DN87" s="62"/>
      <c r="DO87" s="62"/>
      <c r="DP87" s="62"/>
      <c r="DQ87" s="62"/>
      <c r="DR87" s="62"/>
      <c r="DS87" s="62"/>
      <c r="DT87" s="62"/>
      <c r="DU87" s="62"/>
      <c r="DV87" s="62"/>
      <c r="DW87" s="62"/>
      <c r="DX87" s="62"/>
      <c r="DY87" s="62"/>
      <c r="DZ87" s="62"/>
      <c r="EA87" s="62"/>
      <c r="EB87" s="62"/>
      <c r="EC87" s="62"/>
      <c r="ED87" s="62"/>
      <c r="EE87" s="62"/>
      <c r="EF87" s="62"/>
      <c r="EG87" s="62"/>
      <c r="EH87" s="62"/>
      <c r="EI87" s="62"/>
      <c r="EJ87" s="62"/>
      <c r="EK87" s="62"/>
      <c r="EL87" s="62"/>
      <c r="EM87" s="62"/>
      <c r="EN87" s="62"/>
      <c r="EO87" s="62"/>
      <c r="EP87" s="62"/>
      <c r="EQ87" s="62"/>
      <c r="ER87" s="62"/>
      <c r="ES87" s="62"/>
      <c r="ET87" s="62"/>
      <c r="EU87" s="62"/>
      <c r="EV87" s="62"/>
      <c r="EW87" s="62"/>
      <c r="EX87" s="62"/>
      <c r="EY87" s="62"/>
      <c r="EZ87" s="62"/>
      <c r="FA87" s="62"/>
      <c r="FB87" s="62"/>
      <c r="FC87" s="62"/>
      <c r="FD87" s="62"/>
      <c r="FE87" s="62"/>
      <c r="FF87" s="62"/>
      <c r="FG87" s="62"/>
      <c r="FH87" s="62"/>
      <c r="FI87" s="62"/>
      <c r="FJ87" s="62"/>
      <c r="FK87" s="62"/>
      <c r="FL87" s="62"/>
      <c r="FM87" s="62"/>
      <c r="FN87" s="62"/>
      <c r="FO87" s="62"/>
      <c r="FP87" s="62"/>
      <c r="FQ87" s="62"/>
      <c r="FR87" s="62"/>
      <c r="FS87" s="62"/>
      <c r="FT87" s="62"/>
      <c r="FU87" s="62"/>
      <c r="FV87" s="62"/>
      <c r="FW87" s="62"/>
      <c r="FX87" s="62"/>
      <c r="FY87" s="62"/>
      <c r="FZ87" s="62"/>
      <c r="GA87" s="62"/>
      <c r="GB87" s="62"/>
      <c r="GC87" s="62"/>
      <c r="GD87" s="62"/>
      <c r="GE87" s="62"/>
      <c r="GF87" s="62"/>
      <c r="GG87" s="62"/>
      <c r="GH87" s="62"/>
      <c r="GI87" s="62"/>
      <c r="GJ87" s="62"/>
      <c r="GK87" s="62"/>
      <c r="GL87" s="62"/>
      <c r="GM87" s="62"/>
      <c r="GN87" s="62"/>
      <c r="GO87" s="62"/>
      <c r="GP87" s="62"/>
      <c r="GQ87" s="62"/>
      <c r="GR87" s="62"/>
      <c r="GS87" s="62"/>
      <c r="GT87" s="62"/>
      <c r="GU87" s="62"/>
    </row>
    <row r="88" spans="1:203" x14ac:dyDescent="0.25">
      <c r="A88" s="155" t="s">
        <v>27</v>
      </c>
      <c r="B88" s="179">
        <f t="shared" si="13"/>
        <v>0</v>
      </c>
      <c r="C88" s="156">
        <f t="shared" si="14"/>
        <v>0</v>
      </c>
      <c r="D88" s="62"/>
      <c r="E88" s="62"/>
      <c r="F88" s="62"/>
      <c r="G88" s="62"/>
      <c r="H88" s="62"/>
      <c r="I88" s="62"/>
      <c r="J88" s="62"/>
      <c r="K88" s="62"/>
      <c r="L88" s="62"/>
      <c r="M88" s="62"/>
      <c r="N88" s="62"/>
      <c r="O88" s="62"/>
      <c r="P88" s="62"/>
      <c r="Q88" s="62"/>
      <c r="R88" s="62"/>
      <c r="S88" s="62"/>
      <c r="T88" s="62"/>
      <c r="U88" s="62"/>
      <c r="V88" s="62"/>
      <c r="W88" s="62"/>
      <c r="X88" s="62"/>
      <c r="Y88" s="62"/>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c r="BM88" s="62"/>
      <c r="BN88" s="62"/>
      <c r="BO88" s="62"/>
      <c r="BP88" s="62"/>
      <c r="BQ88" s="62"/>
      <c r="BR88" s="62"/>
      <c r="BS88" s="62"/>
      <c r="BT88" s="62"/>
      <c r="BU88" s="62"/>
      <c r="BV88" s="62"/>
      <c r="BW88" s="62"/>
      <c r="BX88" s="62"/>
      <c r="BY88" s="62"/>
      <c r="BZ88" s="62"/>
      <c r="CA88" s="62"/>
      <c r="CB88" s="62"/>
      <c r="CC88" s="62"/>
      <c r="CD88" s="62"/>
      <c r="CE88" s="62"/>
      <c r="CF88" s="62"/>
      <c r="CG88" s="62"/>
      <c r="CH88" s="62"/>
      <c r="CI88" s="62"/>
      <c r="CJ88" s="62"/>
      <c r="CK88" s="62"/>
      <c r="CL88" s="62"/>
      <c r="CM88" s="62"/>
      <c r="CN88" s="62"/>
      <c r="CO88" s="62"/>
      <c r="CP88" s="62"/>
      <c r="CQ88" s="62"/>
      <c r="CR88" s="62"/>
      <c r="CS88" s="62"/>
      <c r="CT88" s="62"/>
      <c r="CU88" s="62"/>
      <c r="CV88" s="62"/>
      <c r="CW88" s="62"/>
      <c r="CX88" s="62"/>
      <c r="CY88" s="62"/>
      <c r="CZ88" s="62"/>
      <c r="DA88" s="62"/>
      <c r="DB88" s="62"/>
      <c r="DC88" s="62"/>
      <c r="DD88" s="62"/>
      <c r="DE88" s="62"/>
      <c r="DF88" s="62"/>
      <c r="DG88" s="62"/>
      <c r="DH88" s="62"/>
      <c r="DI88" s="62"/>
      <c r="DJ88" s="62"/>
      <c r="DK88" s="62"/>
      <c r="DL88" s="62"/>
      <c r="DM88" s="62"/>
      <c r="DN88" s="62"/>
      <c r="DO88" s="62"/>
      <c r="DP88" s="62"/>
      <c r="DQ88" s="62"/>
      <c r="DR88" s="62"/>
      <c r="DS88" s="62"/>
      <c r="DT88" s="62"/>
      <c r="DU88" s="62"/>
      <c r="DV88" s="62"/>
      <c r="DW88" s="62"/>
      <c r="DX88" s="62"/>
      <c r="DY88" s="62"/>
      <c r="DZ88" s="62"/>
      <c r="EA88" s="62"/>
      <c r="EB88" s="62"/>
      <c r="EC88" s="62"/>
      <c r="ED88" s="62"/>
      <c r="EE88" s="62"/>
      <c r="EF88" s="62"/>
      <c r="EG88" s="62"/>
      <c r="EH88" s="62"/>
      <c r="EI88" s="62"/>
      <c r="EJ88" s="62"/>
      <c r="EK88" s="62"/>
      <c r="EL88" s="62"/>
      <c r="EM88" s="62"/>
      <c r="EN88" s="62"/>
      <c r="EO88" s="62"/>
      <c r="EP88" s="62"/>
      <c r="EQ88" s="62"/>
      <c r="ER88" s="62"/>
      <c r="ES88" s="62"/>
      <c r="ET88" s="62"/>
      <c r="EU88" s="62"/>
      <c r="EV88" s="62"/>
      <c r="EW88" s="62"/>
      <c r="EX88" s="62"/>
      <c r="EY88" s="62"/>
      <c r="EZ88" s="62"/>
      <c r="FA88" s="62"/>
      <c r="FB88" s="62"/>
      <c r="FC88" s="62"/>
      <c r="FD88" s="62"/>
      <c r="FE88" s="62"/>
      <c r="FF88" s="62"/>
      <c r="FG88" s="62"/>
      <c r="FH88" s="62"/>
      <c r="FI88" s="62"/>
      <c r="FJ88" s="62"/>
      <c r="FK88" s="62"/>
      <c r="FL88" s="62"/>
      <c r="FM88" s="62"/>
      <c r="FN88" s="62"/>
      <c r="FO88" s="62"/>
      <c r="FP88" s="62"/>
      <c r="FQ88" s="62"/>
      <c r="FR88" s="62"/>
      <c r="FS88" s="62"/>
      <c r="FT88" s="62"/>
      <c r="FU88" s="62"/>
      <c r="FV88" s="62"/>
      <c r="FW88" s="62"/>
      <c r="FX88" s="62"/>
      <c r="FY88" s="62"/>
      <c r="FZ88" s="62"/>
      <c r="GA88" s="62"/>
      <c r="GB88" s="62"/>
      <c r="GC88" s="62"/>
      <c r="GD88" s="62"/>
      <c r="GE88" s="62"/>
      <c r="GF88" s="62"/>
      <c r="GG88" s="62"/>
      <c r="GH88" s="62"/>
      <c r="GI88" s="62"/>
      <c r="GJ88" s="62"/>
      <c r="GK88" s="62"/>
      <c r="GL88" s="62"/>
      <c r="GM88" s="62"/>
      <c r="GN88" s="62"/>
      <c r="GO88" s="62"/>
      <c r="GP88" s="62"/>
      <c r="GQ88" s="62"/>
      <c r="GR88" s="62"/>
      <c r="GS88" s="62"/>
      <c r="GT88" s="62"/>
      <c r="GU88" s="62"/>
    </row>
    <row r="89" spans="1:203" x14ac:dyDescent="0.25">
      <c r="A89" s="155" t="s">
        <v>24</v>
      </c>
      <c r="B89" s="179">
        <f t="shared" si="13"/>
        <v>0</v>
      </c>
      <c r="C89" s="156">
        <f t="shared" si="14"/>
        <v>0</v>
      </c>
      <c r="D89" s="62"/>
      <c r="E89" s="62"/>
      <c r="F89" s="62"/>
      <c r="G89" s="62"/>
      <c r="H89" s="62"/>
      <c r="I89" s="62"/>
      <c r="J89" s="62"/>
      <c r="K89" s="62"/>
      <c r="L89" s="62"/>
      <c r="M89" s="62"/>
      <c r="N89" s="62"/>
      <c r="O89" s="62"/>
      <c r="P89" s="62"/>
      <c r="Q89" s="62"/>
      <c r="R89" s="62"/>
      <c r="S89" s="62"/>
      <c r="T89" s="62"/>
      <c r="U89" s="62"/>
      <c r="V89" s="62"/>
      <c r="W89" s="62"/>
      <c r="X89" s="62"/>
      <c r="Y89" s="62"/>
      <c r="Z89" s="62"/>
      <c r="AA89" s="62"/>
      <c r="AB89" s="62"/>
      <c r="AC89" s="62"/>
      <c r="AD89" s="62"/>
      <c r="AE89" s="62"/>
      <c r="AF89" s="62"/>
      <c r="AG89" s="62"/>
      <c r="AH89" s="62"/>
      <c r="AI89" s="62"/>
      <c r="AJ89" s="62"/>
      <c r="AK89" s="62"/>
      <c r="AL89" s="62"/>
      <c r="AM89" s="62"/>
      <c r="AN89" s="62"/>
      <c r="AO89" s="62"/>
      <c r="AP89" s="62"/>
      <c r="AQ89" s="62"/>
      <c r="AR89" s="62"/>
      <c r="AS89" s="62"/>
      <c r="AT89" s="62"/>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c r="BW89" s="62"/>
      <c r="BX89" s="62"/>
      <c r="BY89" s="62"/>
      <c r="BZ89" s="62"/>
      <c r="CA89" s="62"/>
      <c r="CB89" s="62"/>
      <c r="CC89" s="62"/>
      <c r="CD89" s="62"/>
      <c r="CE89" s="62"/>
      <c r="CF89" s="62"/>
      <c r="CG89" s="62"/>
      <c r="CH89" s="62"/>
      <c r="CI89" s="62"/>
      <c r="CJ89" s="62"/>
      <c r="CK89" s="62"/>
      <c r="CL89" s="62"/>
      <c r="CM89" s="62"/>
      <c r="CN89" s="62"/>
      <c r="CO89" s="62"/>
      <c r="CP89" s="62"/>
      <c r="CQ89" s="62"/>
      <c r="CR89" s="62"/>
      <c r="CS89" s="62"/>
      <c r="CT89" s="62"/>
      <c r="CU89" s="62"/>
      <c r="CV89" s="62"/>
      <c r="CW89" s="62"/>
      <c r="CX89" s="62"/>
      <c r="CY89" s="62"/>
      <c r="CZ89" s="62"/>
      <c r="DA89" s="62"/>
      <c r="DB89" s="62"/>
      <c r="DC89" s="62"/>
      <c r="DD89" s="62"/>
      <c r="DE89" s="62"/>
      <c r="DF89" s="62"/>
      <c r="DG89" s="62"/>
      <c r="DH89" s="62"/>
      <c r="DI89" s="62"/>
      <c r="DJ89" s="62"/>
      <c r="DK89" s="62"/>
      <c r="DL89" s="62"/>
      <c r="DM89" s="62"/>
      <c r="DN89" s="62"/>
      <c r="DO89" s="62"/>
      <c r="DP89" s="62"/>
      <c r="DQ89" s="62"/>
      <c r="DR89" s="62"/>
      <c r="DS89" s="62"/>
      <c r="DT89" s="62"/>
      <c r="DU89" s="62"/>
      <c r="DV89" s="62"/>
      <c r="DW89" s="62"/>
      <c r="DX89" s="62"/>
      <c r="DY89" s="62"/>
      <c r="DZ89" s="62"/>
      <c r="EA89" s="62"/>
      <c r="EB89" s="62"/>
      <c r="EC89" s="62"/>
      <c r="ED89" s="62"/>
      <c r="EE89" s="62"/>
      <c r="EF89" s="62"/>
      <c r="EG89" s="62"/>
      <c r="EH89" s="62"/>
      <c r="EI89" s="62"/>
      <c r="EJ89" s="62"/>
      <c r="EK89" s="62"/>
      <c r="EL89" s="62"/>
      <c r="EM89" s="62"/>
      <c r="EN89" s="62"/>
      <c r="EO89" s="62"/>
      <c r="EP89" s="62"/>
      <c r="EQ89" s="62"/>
      <c r="ER89" s="62"/>
      <c r="ES89" s="62"/>
      <c r="ET89" s="62"/>
      <c r="EU89" s="62"/>
      <c r="EV89" s="62"/>
      <c r="EW89" s="62"/>
      <c r="EX89" s="62"/>
      <c r="EY89" s="62"/>
      <c r="EZ89" s="62"/>
      <c r="FA89" s="62"/>
      <c r="FB89" s="62"/>
      <c r="FC89" s="62"/>
      <c r="FD89" s="62"/>
      <c r="FE89" s="62"/>
      <c r="FF89" s="62"/>
      <c r="FG89" s="62"/>
      <c r="FH89" s="62"/>
      <c r="FI89" s="62"/>
      <c r="FJ89" s="62"/>
      <c r="FK89" s="62"/>
      <c r="FL89" s="62"/>
      <c r="FM89" s="62"/>
      <c r="FN89" s="62"/>
      <c r="FO89" s="62"/>
      <c r="FP89" s="62"/>
      <c r="FQ89" s="62"/>
      <c r="FR89" s="62"/>
      <c r="FS89" s="62"/>
      <c r="FT89" s="62"/>
      <c r="FU89" s="62"/>
      <c r="FV89" s="62"/>
      <c r="FW89" s="62"/>
      <c r="FX89" s="62"/>
      <c r="FY89" s="62"/>
      <c r="FZ89" s="62"/>
      <c r="GA89" s="62"/>
      <c r="GB89" s="62"/>
      <c r="GC89" s="62"/>
      <c r="GD89" s="62"/>
      <c r="GE89" s="62"/>
      <c r="GF89" s="62"/>
      <c r="GG89" s="62"/>
      <c r="GH89" s="62"/>
      <c r="GI89" s="62"/>
      <c r="GJ89" s="62"/>
      <c r="GK89" s="62"/>
      <c r="GL89" s="62"/>
      <c r="GM89" s="62"/>
      <c r="GN89" s="62"/>
      <c r="GO89" s="62"/>
      <c r="GP89" s="62"/>
      <c r="GQ89" s="62"/>
      <c r="GR89" s="62"/>
      <c r="GS89" s="62"/>
      <c r="GT89" s="62"/>
      <c r="GU89" s="62"/>
    </row>
    <row r="90" spans="1:203" x14ac:dyDescent="0.25">
      <c r="A90" s="155" t="s">
        <v>29</v>
      </c>
      <c r="B90" s="179">
        <f t="shared" si="13"/>
        <v>0</v>
      </c>
      <c r="C90" s="156">
        <f t="shared" si="14"/>
        <v>0</v>
      </c>
      <c r="D90" s="62"/>
      <c r="E90" s="62"/>
      <c r="F90" s="62"/>
      <c r="G90" s="62"/>
      <c r="H90" s="62"/>
      <c r="I90" s="62"/>
      <c r="J90" s="62"/>
      <c r="K90" s="62"/>
      <c r="L90" s="62"/>
      <c r="M90" s="62"/>
      <c r="N90" s="62"/>
      <c r="O90" s="62"/>
      <c r="P90" s="62"/>
      <c r="Q90" s="62"/>
      <c r="R90" s="62"/>
      <c r="S90" s="62"/>
      <c r="T90" s="62"/>
      <c r="U90" s="62"/>
      <c r="V90" s="62"/>
      <c r="W90" s="62"/>
      <c r="X90" s="62"/>
      <c r="Y90" s="62"/>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62"/>
      <c r="BL90" s="62"/>
      <c r="BM90" s="62"/>
      <c r="BN90" s="62"/>
      <c r="BO90" s="62"/>
      <c r="BP90" s="62"/>
      <c r="BQ90" s="62"/>
      <c r="BR90" s="62"/>
      <c r="BS90" s="62"/>
      <c r="BT90" s="62"/>
      <c r="BU90" s="62"/>
      <c r="BV90" s="62"/>
      <c r="BW90" s="62"/>
      <c r="BX90" s="62"/>
      <c r="BY90" s="62"/>
      <c r="BZ90" s="62"/>
      <c r="CA90" s="62"/>
      <c r="CB90" s="62"/>
      <c r="CC90" s="62"/>
      <c r="CD90" s="62"/>
      <c r="CE90" s="62"/>
      <c r="CF90" s="62"/>
      <c r="CG90" s="62"/>
      <c r="CH90" s="62"/>
      <c r="CI90" s="62"/>
      <c r="CJ90" s="62"/>
      <c r="CK90" s="62"/>
      <c r="CL90" s="62"/>
      <c r="CM90" s="62"/>
      <c r="CN90" s="62"/>
      <c r="CO90" s="62"/>
      <c r="CP90" s="62"/>
      <c r="CQ90" s="62"/>
      <c r="CR90" s="62"/>
      <c r="CS90" s="62"/>
      <c r="CT90" s="62"/>
      <c r="CU90" s="62"/>
      <c r="CV90" s="62"/>
      <c r="CW90" s="62"/>
      <c r="CX90" s="62"/>
      <c r="CY90" s="62"/>
      <c r="CZ90" s="62"/>
      <c r="DA90" s="62"/>
      <c r="DB90" s="62"/>
      <c r="DC90" s="62"/>
      <c r="DD90" s="62"/>
      <c r="DE90" s="62"/>
      <c r="DF90" s="62"/>
      <c r="DG90" s="62"/>
      <c r="DH90" s="62"/>
      <c r="DI90" s="62"/>
      <c r="DJ90" s="62"/>
      <c r="DK90" s="62"/>
      <c r="DL90" s="62"/>
      <c r="DM90" s="62"/>
      <c r="DN90" s="62"/>
      <c r="DO90" s="62"/>
      <c r="DP90" s="62"/>
      <c r="DQ90" s="62"/>
      <c r="DR90" s="62"/>
      <c r="DS90" s="62"/>
      <c r="DT90" s="62"/>
      <c r="DU90" s="62"/>
      <c r="DV90" s="62"/>
      <c r="DW90" s="62"/>
      <c r="DX90" s="62"/>
      <c r="DY90" s="62"/>
      <c r="DZ90" s="62"/>
      <c r="EA90" s="62"/>
      <c r="EB90" s="62"/>
      <c r="EC90" s="62"/>
      <c r="ED90" s="62"/>
      <c r="EE90" s="62"/>
      <c r="EF90" s="62"/>
      <c r="EG90" s="62"/>
      <c r="EH90" s="62"/>
      <c r="EI90" s="62"/>
      <c r="EJ90" s="62"/>
      <c r="EK90" s="62"/>
      <c r="EL90" s="62"/>
      <c r="EM90" s="62"/>
      <c r="EN90" s="62"/>
      <c r="EO90" s="62"/>
      <c r="EP90" s="62"/>
      <c r="EQ90" s="62"/>
      <c r="ER90" s="62"/>
      <c r="ES90" s="62"/>
      <c r="ET90" s="62"/>
      <c r="EU90" s="62"/>
      <c r="EV90" s="62"/>
      <c r="EW90" s="62"/>
      <c r="EX90" s="62"/>
      <c r="EY90" s="62"/>
      <c r="EZ90" s="62"/>
      <c r="FA90" s="62"/>
      <c r="FB90" s="62"/>
      <c r="FC90" s="62"/>
      <c r="FD90" s="62"/>
      <c r="FE90" s="62"/>
      <c r="FF90" s="62"/>
      <c r="FG90" s="62"/>
      <c r="FH90" s="62"/>
      <c r="FI90" s="62"/>
      <c r="FJ90" s="62"/>
      <c r="FK90" s="62"/>
      <c r="FL90" s="62"/>
      <c r="FM90" s="62"/>
      <c r="FN90" s="62"/>
      <c r="FO90" s="62"/>
      <c r="FP90" s="62"/>
      <c r="FQ90" s="62"/>
      <c r="FR90" s="62"/>
      <c r="FS90" s="62"/>
      <c r="FT90" s="62"/>
      <c r="FU90" s="62"/>
      <c r="FV90" s="62"/>
      <c r="FW90" s="62"/>
      <c r="FX90" s="62"/>
      <c r="FY90" s="62"/>
      <c r="FZ90" s="62"/>
      <c r="GA90" s="62"/>
      <c r="GB90" s="62"/>
      <c r="GC90" s="62"/>
      <c r="GD90" s="62"/>
      <c r="GE90" s="62"/>
      <c r="GF90" s="62"/>
      <c r="GG90" s="62"/>
      <c r="GH90" s="62"/>
      <c r="GI90" s="62"/>
      <c r="GJ90" s="62"/>
      <c r="GK90" s="62"/>
      <c r="GL90" s="62"/>
      <c r="GM90" s="62"/>
      <c r="GN90" s="62"/>
      <c r="GO90" s="62"/>
      <c r="GP90" s="62"/>
      <c r="GQ90" s="62"/>
      <c r="GR90" s="62"/>
      <c r="GS90" s="62"/>
      <c r="GT90" s="62"/>
      <c r="GU90" s="62"/>
    </row>
    <row r="91" spans="1:203" x14ac:dyDescent="0.25">
      <c r="A91" s="155" t="s">
        <v>86</v>
      </c>
      <c r="B91" s="179">
        <f t="shared" si="13"/>
        <v>0</v>
      </c>
      <c r="C91" s="156">
        <f t="shared" si="14"/>
        <v>0</v>
      </c>
      <c r="D91" s="62"/>
      <c r="E91" s="62"/>
      <c r="F91" s="62"/>
      <c r="G91" s="62"/>
      <c r="H91" s="62"/>
      <c r="I91" s="62"/>
      <c r="J91" s="62"/>
      <c r="K91" s="62"/>
      <c r="L91" s="62"/>
      <c r="M91" s="62"/>
      <c r="N91" s="62"/>
      <c r="O91" s="62"/>
      <c r="P91" s="62"/>
      <c r="Q91" s="62"/>
      <c r="R91" s="62"/>
      <c r="S91" s="62"/>
      <c r="T91" s="62"/>
      <c r="U91" s="62"/>
      <c r="V91" s="62"/>
      <c r="W91" s="62"/>
      <c r="X91" s="62"/>
      <c r="Y91" s="62"/>
      <c r="Z91" s="62"/>
      <c r="AA91" s="62"/>
      <c r="AB91" s="62"/>
      <c r="AC91" s="62"/>
      <c r="AD91" s="62"/>
      <c r="AE91" s="62"/>
      <c r="AF91" s="62"/>
      <c r="AG91" s="62"/>
      <c r="AH91" s="62"/>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c r="BG91" s="62"/>
      <c r="BH91" s="62"/>
      <c r="BI91" s="62"/>
      <c r="BJ91" s="62"/>
      <c r="BK91" s="62"/>
      <c r="BL91" s="62"/>
      <c r="BM91" s="62"/>
      <c r="BN91" s="62"/>
      <c r="BO91" s="62"/>
      <c r="BP91" s="62"/>
      <c r="BQ91" s="62"/>
      <c r="BR91" s="62"/>
      <c r="BS91" s="62"/>
      <c r="BT91" s="62"/>
      <c r="BU91" s="62"/>
      <c r="BV91" s="62"/>
      <c r="BW91" s="62"/>
      <c r="BX91" s="62"/>
      <c r="BY91" s="62"/>
      <c r="BZ91" s="62"/>
      <c r="CA91" s="62"/>
      <c r="CB91" s="62"/>
      <c r="CC91" s="62"/>
      <c r="CD91" s="62"/>
      <c r="CE91" s="62"/>
      <c r="CF91" s="62"/>
      <c r="CG91" s="62"/>
      <c r="CH91" s="62"/>
      <c r="CI91" s="62"/>
      <c r="CJ91" s="62"/>
      <c r="CK91" s="62"/>
      <c r="CL91" s="62"/>
      <c r="CM91" s="62"/>
      <c r="CN91" s="62"/>
      <c r="CO91" s="62"/>
      <c r="CP91" s="62"/>
      <c r="CQ91" s="62"/>
      <c r="CR91" s="62"/>
      <c r="CS91" s="62"/>
      <c r="CT91" s="62"/>
      <c r="CU91" s="62"/>
      <c r="CV91" s="62"/>
      <c r="CW91" s="62"/>
      <c r="CX91" s="62"/>
      <c r="CY91" s="62"/>
      <c r="CZ91" s="62"/>
      <c r="DA91" s="62"/>
      <c r="DB91" s="62"/>
      <c r="DC91" s="62"/>
      <c r="DD91" s="62"/>
      <c r="DE91" s="62"/>
      <c r="DF91" s="62"/>
      <c r="DG91" s="62"/>
      <c r="DH91" s="62"/>
      <c r="DI91" s="62"/>
      <c r="DJ91" s="62"/>
      <c r="DK91" s="62"/>
      <c r="DL91" s="62"/>
      <c r="DM91" s="62"/>
      <c r="DN91" s="62"/>
      <c r="DO91" s="62"/>
      <c r="DP91" s="62"/>
      <c r="DQ91" s="62"/>
      <c r="DR91" s="62"/>
      <c r="DS91" s="62"/>
      <c r="DT91" s="62"/>
      <c r="DU91" s="62"/>
      <c r="DV91" s="62"/>
      <c r="DW91" s="62"/>
      <c r="DX91" s="62"/>
      <c r="DY91" s="62"/>
      <c r="DZ91" s="62"/>
      <c r="EA91" s="62"/>
      <c r="EB91" s="62"/>
      <c r="EC91" s="62"/>
      <c r="ED91" s="62"/>
      <c r="EE91" s="62"/>
      <c r="EF91" s="62"/>
      <c r="EG91" s="62"/>
      <c r="EH91" s="62"/>
      <c r="EI91" s="62"/>
      <c r="EJ91" s="62"/>
      <c r="EK91" s="62"/>
      <c r="EL91" s="62"/>
      <c r="EM91" s="62"/>
      <c r="EN91" s="62"/>
      <c r="EO91" s="62"/>
      <c r="EP91" s="62"/>
      <c r="EQ91" s="62"/>
      <c r="ER91" s="62"/>
      <c r="ES91" s="62"/>
      <c r="ET91" s="62"/>
      <c r="EU91" s="62"/>
      <c r="EV91" s="62"/>
      <c r="EW91" s="62"/>
      <c r="EX91" s="62"/>
      <c r="EY91" s="62"/>
      <c r="EZ91" s="62"/>
      <c r="FA91" s="62"/>
      <c r="FB91" s="62"/>
      <c r="FC91" s="62"/>
      <c r="FD91" s="62"/>
      <c r="FE91" s="62"/>
      <c r="FF91" s="62"/>
      <c r="FG91" s="62"/>
      <c r="FH91" s="62"/>
      <c r="FI91" s="62"/>
      <c r="FJ91" s="62"/>
      <c r="FK91" s="62"/>
      <c r="FL91" s="62"/>
      <c r="FM91" s="62"/>
      <c r="FN91" s="62"/>
      <c r="FO91" s="62"/>
      <c r="FP91" s="62"/>
      <c r="FQ91" s="62"/>
      <c r="FR91" s="62"/>
      <c r="FS91" s="62"/>
      <c r="FT91" s="62"/>
      <c r="FU91" s="62"/>
      <c r="FV91" s="62"/>
      <c r="FW91" s="62"/>
      <c r="FX91" s="62"/>
      <c r="FY91" s="62"/>
      <c r="FZ91" s="62"/>
      <c r="GA91" s="62"/>
      <c r="GB91" s="62"/>
      <c r="GC91" s="62"/>
      <c r="GD91" s="62"/>
      <c r="GE91" s="62"/>
      <c r="GF91" s="62"/>
      <c r="GG91" s="62"/>
      <c r="GH91" s="62"/>
      <c r="GI91" s="62"/>
      <c r="GJ91" s="62"/>
      <c r="GK91" s="62"/>
      <c r="GL91" s="62"/>
      <c r="GM91" s="62"/>
      <c r="GN91" s="62"/>
      <c r="GO91" s="62"/>
      <c r="GP91" s="62"/>
      <c r="GQ91" s="62"/>
      <c r="GR91" s="62"/>
      <c r="GS91" s="62"/>
      <c r="GT91" s="62"/>
      <c r="GU91" s="62"/>
    </row>
    <row r="92" spans="1:203" x14ac:dyDescent="0.25">
      <c r="A92" s="155" t="s">
        <v>66</v>
      </c>
      <c r="B92" s="179">
        <f t="shared" si="13"/>
        <v>0</v>
      </c>
      <c r="C92" s="156">
        <f t="shared" si="14"/>
        <v>0</v>
      </c>
      <c r="D92" s="62"/>
      <c r="E92" s="62"/>
      <c r="F92" s="62"/>
      <c r="G92" s="62"/>
      <c r="H92" s="62"/>
      <c r="I92" s="62"/>
      <c r="J92" s="62"/>
      <c r="K92" s="62"/>
      <c r="L92" s="62"/>
      <c r="M92" s="62"/>
      <c r="N92" s="62"/>
      <c r="O92" s="62"/>
      <c r="P92" s="62"/>
      <c r="Q92" s="62"/>
      <c r="R92" s="62"/>
      <c r="S92" s="62"/>
      <c r="T92" s="62"/>
      <c r="U92" s="62"/>
      <c r="V92" s="62"/>
      <c r="W92" s="62"/>
      <c r="X92" s="62"/>
      <c r="Y92" s="62"/>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62"/>
      <c r="BJ92" s="62"/>
      <c r="BK92" s="62"/>
      <c r="BL92" s="62"/>
      <c r="BM92" s="62"/>
      <c r="BN92" s="62"/>
      <c r="BO92" s="62"/>
      <c r="BP92" s="62"/>
      <c r="BQ92" s="62"/>
      <c r="BR92" s="62"/>
      <c r="BS92" s="62"/>
      <c r="BT92" s="62"/>
      <c r="BU92" s="62"/>
      <c r="BV92" s="62"/>
      <c r="BW92" s="62"/>
      <c r="BX92" s="62"/>
      <c r="BY92" s="62"/>
      <c r="BZ92" s="62"/>
      <c r="CA92" s="62"/>
      <c r="CB92" s="62"/>
      <c r="CC92" s="62"/>
      <c r="CD92" s="62"/>
      <c r="CE92" s="62"/>
      <c r="CF92" s="62"/>
      <c r="CG92" s="62"/>
      <c r="CH92" s="62"/>
      <c r="CI92" s="62"/>
      <c r="CJ92" s="62"/>
      <c r="CK92" s="62"/>
      <c r="CL92" s="62"/>
      <c r="CM92" s="62"/>
      <c r="CN92" s="62"/>
      <c r="CO92" s="62"/>
      <c r="CP92" s="62"/>
      <c r="CQ92" s="62"/>
      <c r="CR92" s="62"/>
      <c r="CS92" s="62"/>
      <c r="CT92" s="62"/>
      <c r="CU92" s="62"/>
      <c r="CV92" s="62"/>
      <c r="CW92" s="62"/>
      <c r="CX92" s="62"/>
      <c r="CY92" s="62"/>
      <c r="CZ92" s="62"/>
      <c r="DA92" s="62"/>
      <c r="DB92" s="62"/>
      <c r="DC92" s="62"/>
      <c r="DD92" s="62"/>
      <c r="DE92" s="62"/>
      <c r="DF92" s="62"/>
      <c r="DG92" s="62"/>
      <c r="DH92" s="62"/>
      <c r="DI92" s="62"/>
      <c r="DJ92" s="62"/>
      <c r="DK92" s="62"/>
      <c r="DL92" s="62"/>
      <c r="DM92" s="62"/>
      <c r="DN92" s="62"/>
      <c r="DO92" s="62"/>
      <c r="DP92" s="62"/>
      <c r="DQ92" s="62"/>
      <c r="DR92" s="62"/>
      <c r="DS92" s="62"/>
      <c r="DT92" s="62"/>
      <c r="DU92" s="62"/>
      <c r="DV92" s="62"/>
      <c r="DW92" s="62"/>
      <c r="DX92" s="62"/>
      <c r="DY92" s="62"/>
      <c r="DZ92" s="62"/>
      <c r="EA92" s="62"/>
      <c r="EB92" s="62"/>
      <c r="EC92" s="62"/>
      <c r="ED92" s="62"/>
      <c r="EE92" s="62"/>
      <c r="EF92" s="62"/>
      <c r="EG92" s="62"/>
      <c r="EH92" s="62"/>
      <c r="EI92" s="62"/>
      <c r="EJ92" s="62"/>
      <c r="EK92" s="62"/>
      <c r="EL92" s="62"/>
      <c r="EM92" s="62"/>
      <c r="EN92" s="62"/>
      <c r="EO92" s="62"/>
      <c r="EP92" s="62"/>
      <c r="EQ92" s="62"/>
      <c r="ER92" s="62"/>
      <c r="ES92" s="62"/>
      <c r="ET92" s="62"/>
      <c r="EU92" s="62"/>
      <c r="EV92" s="62"/>
      <c r="EW92" s="62"/>
      <c r="EX92" s="62"/>
      <c r="EY92" s="62"/>
      <c r="EZ92" s="62"/>
      <c r="FA92" s="62"/>
      <c r="FB92" s="62"/>
      <c r="FC92" s="62"/>
      <c r="FD92" s="62"/>
      <c r="FE92" s="62"/>
      <c r="FF92" s="62"/>
      <c r="FG92" s="62"/>
      <c r="FH92" s="62"/>
      <c r="FI92" s="62"/>
      <c r="FJ92" s="62"/>
      <c r="FK92" s="62"/>
      <c r="FL92" s="62"/>
      <c r="FM92" s="62"/>
      <c r="FN92" s="62"/>
      <c r="FO92" s="62"/>
      <c r="FP92" s="62"/>
      <c r="FQ92" s="62"/>
      <c r="FR92" s="62"/>
      <c r="FS92" s="62"/>
      <c r="FT92" s="62"/>
      <c r="FU92" s="62"/>
      <c r="FV92" s="62"/>
      <c r="FW92" s="62"/>
      <c r="FX92" s="62"/>
      <c r="FY92" s="62"/>
      <c r="FZ92" s="62"/>
      <c r="GA92" s="62"/>
      <c r="GB92" s="62"/>
      <c r="GC92" s="62"/>
      <c r="GD92" s="62"/>
      <c r="GE92" s="62"/>
      <c r="GF92" s="62"/>
      <c r="GG92" s="62"/>
      <c r="GH92" s="62"/>
      <c r="GI92" s="62"/>
      <c r="GJ92" s="62"/>
      <c r="GK92" s="62"/>
      <c r="GL92" s="62"/>
      <c r="GM92" s="62"/>
      <c r="GN92" s="62"/>
      <c r="GO92" s="62"/>
      <c r="GP92" s="62"/>
      <c r="GQ92" s="62"/>
      <c r="GR92" s="62"/>
      <c r="GS92" s="62"/>
      <c r="GT92" s="62"/>
      <c r="GU92" s="62"/>
    </row>
    <row r="93" spans="1:203" x14ac:dyDescent="0.25">
      <c r="A93" s="155" t="s">
        <v>25</v>
      </c>
      <c r="B93" s="179">
        <f t="shared" si="13"/>
        <v>0</v>
      </c>
      <c r="C93" s="156">
        <f t="shared" si="14"/>
        <v>0</v>
      </c>
      <c r="D93" s="62"/>
      <c r="E93" s="62"/>
      <c r="F93" s="62"/>
      <c r="G93" s="62"/>
      <c r="H93" s="62"/>
      <c r="I93" s="62"/>
      <c r="J93" s="62"/>
      <c r="K93" s="62"/>
      <c r="L93" s="62"/>
      <c r="M93" s="62"/>
      <c r="N93" s="62"/>
      <c r="O93" s="62"/>
      <c r="P93" s="62"/>
      <c r="Q93" s="62"/>
      <c r="R93" s="62"/>
      <c r="S93" s="62"/>
      <c r="T93" s="62"/>
      <c r="U93" s="62"/>
      <c r="V93" s="62"/>
      <c r="W93" s="62"/>
      <c r="X93" s="62"/>
      <c r="Y93" s="62"/>
      <c r="Z93" s="62"/>
      <c r="AA93" s="62"/>
      <c r="AB93" s="62"/>
      <c r="AC93" s="62"/>
      <c r="AD93" s="62"/>
      <c r="AE93" s="62"/>
      <c r="AF93" s="62"/>
      <c r="AG93" s="62"/>
      <c r="AH93" s="62"/>
      <c r="AI93" s="62"/>
      <c r="AJ93" s="62"/>
      <c r="AK93" s="62"/>
      <c r="AL93" s="62"/>
      <c r="AM93" s="62"/>
      <c r="AN93" s="62"/>
      <c r="AO93" s="62"/>
      <c r="AP93" s="62"/>
      <c r="AQ93" s="62"/>
      <c r="AR93" s="62"/>
      <c r="AS93" s="62"/>
      <c r="AT93" s="62"/>
      <c r="AU93" s="62"/>
      <c r="AV93" s="62"/>
      <c r="AW93" s="62"/>
      <c r="AX93" s="62"/>
      <c r="AY93" s="62"/>
      <c r="AZ93" s="62"/>
      <c r="BA93" s="62"/>
      <c r="BB93" s="62"/>
      <c r="BC93" s="62"/>
      <c r="BD93" s="62"/>
      <c r="BE93" s="62"/>
      <c r="BF93" s="62"/>
      <c r="BG93" s="62"/>
      <c r="BH93" s="62"/>
      <c r="BI93" s="62"/>
      <c r="BJ93" s="62"/>
      <c r="BK93" s="62"/>
      <c r="BL93" s="62"/>
      <c r="BM93" s="62"/>
      <c r="BN93" s="62"/>
      <c r="BO93" s="62"/>
      <c r="BP93" s="62"/>
      <c r="BQ93" s="62"/>
      <c r="BR93" s="62"/>
      <c r="BS93" s="62"/>
      <c r="BT93" s="62"/>
      <c r="BU93" s="62"/>
      <c r="BV93" s="62"/>
      <c r="BW93" s="62"/>
      <c r="BX93" s="62"/>
      <c r="BY93" s="62"/>
      <c r="BZ93" s="62"/>
      <c r="CA93" s="62"/>
      <c r="CB93" s="62"/>
      <c r="CC93" s="62"/>
      <c r="CD93" s="62"/>
      <c r="CE93" s="62"/>
      <c r="CF93" s="62"/>
      <c r="CG93" s="62"/>
      <c r="CH93" s="62"/>
      <c r="CI93" s="62"/>
      <c r="CJ93" s="62"/>
      <c r="CK93" s="62"/>
      <c r="CL93" s="62"/>
      <c r="CM93" s="62"/>
      <c r="CN93" s="62"/>
      <c r="CO93" s="62"/>
      <c r="CP93" s="62"/>
      <c r="CQ93" s="62"/>
      <c r="CR93" s="62"/>
      <c r="CS93" s="62"/>
      <c r="CT93" s="62"/>
      <c r="CU93" s="62"/>
      <c r="CV93" s="62"/>
      <c r="CW93" s="62"/>
      <c r="CX93" s="62"/>
      <c r="CY93" s="62"/>
      <c r="CZ93" s="62"/>
      <c r="DA93" s="62"/>
      <c r="DB93" s="62"/>
      <c r="DC93" s="62"/>
      <c r="DD93" s="62"/>
      <c r="DE93" s="62"/>
      <c r="DF93" s="62"/>
      <c r="DG93" s="62"/>
      <c r="DH93" s="62"/>
      <c r="DI93" s="62"/>
      <c r="DJ93" s="62"/>
      <c r="DK93" s="62"/>
      <c r="DL93" s="62"/>
      <c r="DM93" s="62"/>
      <c r="DN93" s="62"/>
      <c r="DO93" s="62"/>
      <c r="DP93" s="62"/>
      <c r="DQ93" s="62"/>
      <c r="DR93" s="62"/>
      <c r="DS93" s="62"/>
      <c r="DT93" s="62"/>
      <c r="DU93" s="62"/>
      <c r="DV93" s="62"/>
      <c r="DW93" s="62"/>
      <c r="DX93" s="62"/>
      <c r="DY93" s="62"/>
      <c r="DZ93" s="62"/>
      <c r="EA93" s="62"/>
      <c r="EB93" s="62"/>
      <c r="EC93" s="62"/>
      <c r="ED93" s="62"/>
      <c r="EE93" s="62"/>
      <c r="EF93" s="62"/>
      <c r="EG93" s="62"/>
      <c r="EH93" s="62"/>
      <c r="EI93" s="62"/>
      <c r="EJ93" s="62"/>
      <c r="EK93" s="62"/>
      <c r="EL93" s="62"/>
      <c r="EM93" s="62"/>
      <c r="EN93" s="62"/>
      <c r="EO93" s="62"/>
      <c r="EP93" s="62"/>
      <c r="EQ93" s="62"/>
      <c r="ER93" s="62"/>
      <c r="ES93" s="62"/>
      <c r="ET93" s="62"/>
      <c r="EU93" s="62"/>
      <c r="EV93" s="62"/>
      <c r="EW93" s="62"/>
      <c r="EX93" s="62"/>
      <c r="EY93" s="62"/>
      <c r="EZ93" s="62"/>
      <c r="FA93" s="62"/>
      <c r="FB93" s="62"/>
      <c r="FC93" s="62"/>
      <c r="FD93" s="62"/>
      <c r="FE93" s="62"/>
      <c r="FF93" s="62"/>
      <c r="FG93" s="62"/>
      <c r="FH93" s="62"/>
      <c r="FI93" s="62"/>
      <c r="FJ93" s="62"/>
      <c r="FK93" s="62"/>
      <c r="FL93" s="62"/>
      <c r="FM93" s="62"/>
      <c r="FN93" s="62"/>
      <c r="FO93" s="62"/>
      <c r="FP93" s="62"/>
      <c r="FQ93" s="62"/>
      <c r="FR93" s="62"/>
      <c r="FS93" s="62"/>
      <c r="FT93" s="62"/>
      <c r="FU93" s="62"/>
      <c r="FV93" s="62"/>
      <c r="FW93" s="62"/>
      <c r="FX93" s="62"/>
      <c r="FY93" s="62"/>
      <c r="FZ93" s="62"/>
      <c r="GA93" s="62"/>
      <c r="GB93" s="62"/>
      <c r="GC93" s="62"/>
      <c r="GD93" s="62"/>
      <c r="GE93" s="62"/>
      <c r="GF93" s="62"/>
      <c r="GG93" s="62"/>
      <c r="GH93" s="62"/>
      <c r="GI93" s="62"/>
      <c r="GJ93" s="62"/>
      <c r="GK93" s="62"/>
      <c r="GL93" s="62"/>
      <c r="GM93" s="62"/>
      <c r="GN93" s="62"/>
      <c r="GO93" s="62"/>
      <c r="GP93" s="62"/>
      <c r="GQ93" s="62"/>
      <c r="GR93" s="62"/>
      <c r="GS93" s="62"/>
      <c r="GT93" s="62"/>
      <c r="GU93" s="62"/>
    </row>
    <row r="94" spans="1:203" x14ac:dyDescent="0.25">
      <c r="A94" s="155" t="s">
        <v>23</v>
      </c>
      <c r="B94" s="179">
        <f t="shared" si="13"/>
        <v>0</v>
      </c>
      <c r="C94" s="156">
        <f t="shared" si="14"/>
        <v>0</v>
      </c>
      <c r="D94" s="62"/>
      <c r="E94" s="62"/>
      <c r="F94" s="62"/>
      <c r="G94" s="62"/>
      <c r="H94" s="62"/>
      <c r="I94" s="62"/>
      <c r="J94" s="62"/>
      <c r="K94" s="62"/>
      <c r="L94" s="62"/>
      <c r="M94" s="62"/>
      <c r="N94" s="62"/>
      <c r="O94" s="62"/>
      <c r="P94" s="62"/>
      <c r="Q94" s="62"/>
      <c r="R94" s="62"/>
      <c r="S94" s="62"/>
      <c r="T94" s="62"/>
      <c r="U94" s="62"/>
      <c r="V94" s="62"/>
      <c r="W94" s="62"/>
      <c r="X94" s="62"/>
      <c r="Y94" s="62"/>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c r="CH94" s="62"/>
      <c r="CI94" s="62"/>
      <c r="CJ94" s="62"/>
      <c r="CK94" s="62"/>
      <c r="CL94" s="62"/>
      <c r="CM94" s="62"/>
      <c r="CN94" s="62"/>
      <c r="CO94" s="62"/>
      <c r="CP94" s="62"/>
      <c r="CQ94" s="62"/>
      <c r="CR94" s="62"/>
      <c r="CS94" s="62"/>
      <c r="CT94" s="62"/>
      <c r="CU94" s="62"/>
      <c r="CV94" s="62"/>
      <c r="CW94" s="62"/>
      <c r="CX94" s="62"/>
      <c r="CY94" s="62"/>
      <c r="CZ94" s="62"/>
      <c r="DA94" s="62"/>
      <c r="DB94" s="62"/>
      <c r="DC94" s="62"/>
      <c r="DD94" s="62"/>
      <c r="DE94" s="62"/>
      <c r="DF94" s="62"/>
      <c r="DG94" s="62"/>
      <c r="DH94" s="62"/>
      <c r="DI94" s="62"/>
      <c r="DJ94" s="62"/>
      <c r="DK94" s="62"/>
      <c r="DL94" s="62"/>
      <c r="DM94" s="62"/>
      <c r="DN94" s="62"/>
      <c r="DO94" s="62"/>
      <c r="DP94" s="62"/>
      <c r="DQ94" s="62"/>
      <c r="DR94" s="62"/>
      <c r="DS94" s="62"/>
      <c r="DT94" s="62"/>
      <c r="DU94" s="62"/>
      <c r="DV94" s="62"/>
      <c r="DW94" s="62"/>
      <c r="DX94" s="62"/>
      <c r="DY94" s="62"/>
      <c r="DZ94" s="62"/>
      <c r="EA94" s="62"/>
      <c r="EB94" s="62"/>
      <c r="EC94" s="62"/>
      <c r="ED94" s="62"/>
      <c r="EE94" s="62"/>
      <c r="EF94" s="62"/>
      <c r="EG94" s="62"/>
      <c r="EH94" s="62"/>
      <c r="EI94" s="62"/>
      <c r="EJ94" s="62"/>
      <c r="EK94" s="62"/>
      <c r="EL94" s="62"/>
      <c r="EM94" s="62"/>
      <c r="EN94" s="62"/>
      <c r="EO94" s="62"/>
      <c r="EP94" s="62"/>
      <c r="EQ94" s="62"/>
      <c r="ER94" s="62"/>
      <c r="ES94" s="62"/>
      <c r="ET94" s="62"/>
      <c r="EU94" s="62"/>
      <c r="EV94" s="62"/>
      <c r="EW94" s="62"/>
      <c r="EX94" s="62"/>
      <c r="EY94" s="62"/>
      <c r="EZ94" s="62"/>
      <c r="FA94" s="62"/>
      <c r="FB94" s="62"/>
      <c r="FC94" s="62"/>
      <c r="FD94" s="62"/>
      <c r="FE94" s="62"/>
      <c r="FF94" s="62"/>
      <c r="FG94" s="62"/>
      <c r="FH94" s="62"/>
      <c r="FI94" s="62"/>
      <c r="FJ94" s="62"/>
      <c r="FK94" s="62"/>
      <c r="FL94" s="62"/>
      <c r="FM94" s="62"/>
      <c r="FN94" s="62"/>
      <c r="FO94" s="62"/>
      <c r="FP94" s="62"/>
      <c r="FQ94" s="62"/>
      <c r="FR94" s="62"/>
      <c r="FS94" s="62"/>
      <c r="FT94" s="62"/>
      <c r="FU94" s="62"/>
      <c r="FV94" s="62"/>
      <c r="FW94" s="62"/>
      <c r="FX94" s="62"/>
      <c r="FY94" s="62"/>
      <c r="FZ94" s="62"/>
      <c r="GA94" s="62"/>
      <c r="GB94" s="62"/>
      <c r="GC94" s="62"/>
      <c r="GD94" s="62"/>
      <c r="GE94" s="62"/>
      <c r="GF94" s="62"/>
      <c r="GG94" s="62"/>
      <c r="GH94" s="62"/>
      <c r="GI94" s="62"/>
      <c r="GJ94" s="62"/>
      <c r="GK94" s="62"/>
      <c r="GL94" s="62"/>
      <c r="GM94" s="62"/>
      <c r="GN94" s="62"/>
      <c r="GO94" s="62"/>
      <c r="GP94" s="62"/>
      <c r="GQ94" s="62"/>
      <c r="GR94" s="62"/>
      <c r="GS94" s="62"/>
      <c r="GT94" s="62"/>
      <c r="GU94" s="62"/>
    </row>
    <row r="95" spans="1:203" x14ac:dyDescent="0.25">
      <c r="A95" s="155" t="s">
        <v>26</v>
      </c>
      <c r="B95" s="179">
        <f t="shared" si="13"/>
        <v>0</v>
      </c>
      <c r="C95" s="156">
        <f t="shared" si="14"/>
        <v>0</v>
      </c>
      <c r="D95" s="62"/>
      <c r="E95" s="62"/>
      <c r="F95" s="62"/>
      <c r="G95" s="62"/>
      <c r="H95" s="62"/>
      <c r="I95" s="62"/>
      <c r="J95" s="62"/>
      <c r="K95" s="62"/>
      <c r="L95" s="62"/>
      <c r="M95" s="62"/>
      <c r="N95" s="62"/>
      <c r="O95" s="62"/>
      <c r="P95" s="62"/>
      <c r="Q95" s="62"/>
      <c r="R95" s="62"/>
      <c r="S95" s="62"/>
      <c r="T95" s="62"/>
      <c r="U95" s="62"/>
      <c r="V95" s="62"/>
      <c r="W95" s="62"/>
      <c r="X95" s="62"/>
      <c r="Y95" s="62"/>
      <c r="Z95" s="62"/>
      <c r="AA95" s="62"/>
      <c r="AB95" s="62"/>
      <c r="AC95" s="62"/>
      <c r="AD95" s="62"/>
      <c r="AE95" s="62"/>
      <c r="AF95" s="62"/>
      <c r="AG95" s="62"/>
      <c r="AH95" s="62"/>
      <c r="AI95" s="62"/>
      <c r="AJ95" s="62"/>
      <c r="AK95" s="62"/>
      <c r="AL95" s="62"/>
      <c r="AM95" s="62"/>
      <c r="AN95" s="62"/>
      <c r="AO95" s="62"/>
      <c r="AP95" s="62"/>
      <c r="AQ95" s="62"/>
      <c r="AR95" s="62"/>
      <c r="AS95" s="62"/>
      <c r="AT95" s="62"/>
      <c r="AU95" s="62"/>
      <c r="AV95" s="62"/>
      <c r="AW95" s="62"/>
      <c r="AX95" s="62"/>
      <c r="AY95" s="62"/>
      <c r="AZ95" s="62"/>
      <c r="BA95" s="62"/>
      <c r="BB95" s="62"/>
      <c r="BC95" s="62"/>
      <c r="BD95" s="62"/>
      <c r="BE95" s="62"/>
      <c r="BF95" s="62"/>
      <c r="BG95" s="62"/>
      <c r="BH95" s="62"/>
      <c r="BI95" s="62"/>
      <c r="BJ95" s="62"/>
      <c r="BK95" s="62"/>
      <c r="BL95" s="62"/>
      <c r="BM95" s="62"/>
      <c r="BN95" s="62"/>
      <c r="BO95" s="62"/>
      <c r="BP95" s="62"/>
      <c r="BQ95" s="62"/>
      <c r="BR95" s="62"/>
      <c r="BS95" s="62"/>
      <c r="BT95" s="62"/>
      <c r="BU95" s="62"/>
      <c r="BV95" s="62"/>
      <c r="BW95" s="62"/>
      <c r="BX95" s="62"/>
      <c r="BY95" s="62"/>
      <c r="BZ95" s="62"/>
      <c r="CA95" s="62"/>
      <c r="CB95" s="62"/>
      <c r="CC95" s="62"/>
      <c r="CD95" s="62"/>
      <c r="CE95" s="62"/>
      <c r="CF95" s="62"/>
      <c r="CG95" s="62"/>
      <c r="CH95" s="62"/>
      <c r="CI95" s="62"/>
      <c r="CJ95" s="62"/>
      <c r="CK95" s="62"/>
      <c r="CL95" s="62"/>
      <c r="CM95" s="62"/>
      <c r="CN95" s="62"/>
      <c r="CO95" s="62"/>
      <c r="CP95" s="62"/>
      <c r="CQ95" s="62"/>
      <c r="CR95" s="62"/>
      <c r="CS95" s="62"/>
      <c r="CT95" s="62"/>
      <c r="CU95" s="62"/>
      <c r="CV95" s="62"/>
      <c r="CW95" s="62"/>
      <c r="CX95" s="62"/>
      <c r="CY95" s="62"/>
      <c r="CZ95" s="62"/>
      <c r="DA95" s="62"/>
      <c r="DB95" s="62"/>
      <c r="DC95" s="62"/>
      <c r="DD95" s="62"/>
      <c r="DE95" s="62"/>
      <c r="DF95" s="62"/>
      <c r="DG95" s="62"/>
      <c r="DH95" s="62"/>
      <c r="DI95" s="62"/>
      <c r="DJ95" s="62"/>
      <c r="DK95" s="62"/>
      <c r="DL95" s="62"/>
      <c r="DM95" s="62"/>
      <c r="DN95" s="62"/>
      <c r="DO95" s="62"/>
      <c r="DP95" s="62"/>
      <c r="DQ95" s="62"/>
      <c r="DR95" s="62"/>
      <c r="DS95" s="62"/>
      <c r="DT95" s="62"/>
      <c r="DU95" s="62"/>
      <c r="DV95" s="62"/>
      <c r="DW95" s="62"/>
      <c r="DX95" s="62"/>
      <c r="DY95" s="62"/>
      <c r="DZ95" s="62"/>
      <c r="EA95" s="62"/>
      <c r="EB95" s="62"/>
      <c r="EC95" s="62"/>
      <c r="ED95" s="62"/>
      <c r="EE95" s="62"/>
      <c r="EF95" s="62"/>
      <c r="EG95" s="62"/>
      <c r="EH95" s="62"/>
      <c r="EI95" s="62"/>
      <c r="EJ95" s="62"/>
      <c r="EK95" s="62"/>
      <c r="EL95" s="62"/>
      <c r="EM95" s="62"/>
      <c r="EN95" s="62"/>
      <c r="EO95" s="62"/>
      <c r="EP95" s="62"/>
      <c r="EQ95" s="62"/>
      <c r="ER95" s="62"/>
      <c r="ES95" s="62"/>
      <c r="ET95" s="62"/>
      <c r="EU95" s="62"/>
      <c r="EV95" s="62"/>
      <c r="EW95" s="62"/>
      <c r="EX95" s="62"/>
      <c r="EY95" s="62"/>
      <c r="EZ95" s="62"/>
      <c r="FA95" s="62"/>
      <c r="FB95" s="62"/>
      <c r="FC95" s="62"/>
      <c r="FD95" s="62"/>
      <c r="FE95" s="62"/>
      <c r="FF95" s="62"/>
      <c r="FG95" s="62"/>
      <c r="FH95" s="62"/>
      <c r="FI95" s="62"/>
      <c r="FJ95" s="62"/>
      <c r="FK95" s="62"/>
      <c r="FL95" s="62"/>
      <c r="FM95" s="62"/>
      <c r="FN95" s="62"/>
      <c r="FO95" s="62"/>
      <c r="FP95" s="62"/>
      <c r="FQ95" s="62"/>
      <c r="FR95" s="62"/>
      <c r="FS95" s="62"/>
      <c r="FT95" s="62"/>
      <c r="FU95" s="62"/>
      <c r="FV95" s="62"/>
      <c r="FW95" s="62"/>
      <c r="FX95" s="62"/>
      <c r="FY95" s="62"/>
      <c r="FZ95" s="62"/>
      <c r="GA95" s="62"/>
      <c r="GB95" s="62"/>
      <c r="GC95" s="62"/>
      <c r="GD95" s="62"/>
      <c r="GE95" s="62"/>
      <c r="GF95" s="62"/>
      <c r="GG95" s="62"/>
      <c r="GH95" s="62"/>
      <c r="GI95" s="62"/>
      <c r="GJ95" s="62"/>
      <c r="GK95" s="62"/>
      <c r="GL95" s="62"/>
      <c r="GM95" s="62"/>
      <c r="GN95" s="62"/>
      <c r="GO95" s="62"/>
      <c r="GP95" s="62"/>
      <c r="GQ95" s="62"/>
      <c r="GR95" s="62"/>
      <c r="GS95" s="62"/>
      <c r="GT95" s="62"/>
      <c r="GU95" s="62"/>
    </row>
    <row r="96" spans="1:203" x14ac:dyDescent="0.25">
      <c r="A96" s="155" t="s">
        <v>22</v>
      </c>
      <c r="B96" s="179">
        <f t="shared" si="13"/>
        <v>0</v>
      </c>
      <c r="C96" s="156">
        <f t="shared" si="14"/>
        <v>0</v>
      </c>
      <c r="D96" s="62"/>
      <c r="E96" s="62"/>
      <c r="F96" s="62"/>
      <c r="G96" s="62"/>
      <c r="H96" s="62"/>
      <c r="I96" s="62"/>
      <c r="J96" s="62"/>
      <c r="K96" s="62"/>
      <c r="L96" s="62"/>
      <c r="M96" s="62"/>
      <c r="N96" s="62"/>
      <c r="O96" s="62"/>
      <c r="P96" s="62"/>
      <c r="Q96" s="62"/>
      <c r="R96" s="62"/>
      <c r="S96" s="62"/>
      <c r="T96" s="62"/>
      <c r="U96" s="62"/>
      <c r="V96" s="62"/>
      <c r="W96" s="62"/>
      <c r="X96" s="62"/>
      <c r="Y96" s="62"/>
      <c r="Z96" s="62"/>
      <c r="AA96" s="62"/>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c r="BM96" s="62"/>
      <c r="BN96" s="62"/>
      <c r="BO96" s="62"/>
      <c r="BP96" s="62"/>
      <c r="BQ96" s="62"/>
      <c r="BR96" s="62"/>
      <c r="BS96" s="62"/>
      <c r="BT96" s="62"/>
      <c r="BU96" s="62"/>
      <c r="BV96" s="62"/>
      <c r="BW96" s="62"/>
      <c r="BX96" s="62"/>
      <c r="BY96" s="62"/>
      <c r="BZ96" s="62"/>
      <c r="CA96" s="62"/>
      <c r="CB96" s="62"/>
      <c r="CC96" s="62"/>
      <c r="CD96" s="62"/>
      <c r="CE96" s="62"/>
      <c r="CF96" s="62"/>
      <c r="CG96" s="62"/>
      <c r="CH96" s="62"/>
      <c r="CI96" s="62"/>
      <c r="CJ96" s="62"/>
      <c r="CK96" s="62"/>
      <c r="CL96" s="62"/>
      <c r="CM96" s="62"/>
      <c r="CN96" s="62"/>
      <c r="CO96" s="62"/>
      <c r="CP96" s="62"/>
      <c r="CQ96" s="62"/>
      <c r="CR96" s="62"/>
      <c r="CS96" s="62"/>
      <c r="CT96" s="62"/>
      <c r="CU96" s="62"/>
      <c r="CV96" s="62"/>
      <c r="CW96" s="62"/>
      <c r="CX96" s="62"/>
      <c r="CY96" s="62"/>
      <c r="CZ96" s="62"/>
      <c r="DA96" s="62"/>
      <c r="DB96" s="62"/>
      <c r="DC96" s="62"/>
      <c r="DD96" s="62"/>
      <c r="DE96" s="62"/>
      <c r="DF96" s="62"/>
      <c r="DG96" s="62"/>
      <c r="DH96" s="62"/>
      <c r="DI96" s="62"/>
      <c r="DJ96" s="62"/>
      <c r="DK96" s="62"/>
      <c r="DL96" s="62"/>
      <c r="DM96" s="62"/>
      <c r="DN96" s="62"/>
      <c r="DO96" s="62"/>
      <c r="DP96" s="62"/>
      <c r="DQ96" s="62"/>
      <c r="DR96" s="62"/>
      <c r="DS96" s="62"/>
      <c r="DT96" s="62"/>
      <c r="DU96" s="62"/>
      <c r="DV96" s="62"/>
      <c r="DW96" s="62"/>
      <c r="DX96" s="62"/>
      <c r="DY96" s="62"/>
      <c r="DZ96" s="62"/>
      <c r="EA96" s="62"/>
      <c r="EB96" s="62"/>
      <c r="EC96" s="62"/>
      <c r="ED96" s="62"/>
      <c r="EE96" s="62"/>
      <c r="EF96" s="62"/>
      <c r="EG96" s="62"/>
      <c r="EH96" s="62"/>
      <c r="EI96" s="62"/>
      <c r="EJ96" s="62"/>
      <c r="EK96" s="62"/>
      <c r="EL96" s="62"/>
      <c r="EM96" s="62"/>
      <c r="EN96" s="62"/>
      <c r="EO96" s="62"/>
      <c r="EP96" s="62"/>
      <c r="EQ96" s="62"/>
      <c r="ER96" s="62"/>
      <c r="ES96" s="62"/>
      <c r="ET96" s="62"/>
      <c r="EU96" s="62"/>
      <c r="EV96" s="62"/>
      <c r="EW96" s="62"/>
      <c r="EX96" s="62"/>
      <c r="EY96" s="62"/>
      <c r="EZ96" s="62"/>
      <c r="FA96" s="62"/>
      <c r="FB96" s="62"/>
      <c r="FC96" s="62"/>
      <c r="FD96" s="62"/>
      <c r="FE96" s="62"/>
      <c r="FF96" s="62"/>
      <c r="FG96" s="62"/>
      <c r="FH96" s="62"/>
      <c r="FI96" s="62"/>
      <c r="FJ96" s="62"/>
      <c r="FK96" s="62"/>
      <c r="FL96" s="62"/>
      <c r="FM96" s="62"/>
      <c r="FN96" s="62"/>
      <c r="FO96" s="62"/>
      <c r="FP96" s="62"/>
      <c r="FQ96" s="62"/>
      <c r="FR96" s="62"/>
      <c r="FS96" s="62"/>
      <c r="FT96" s="62"/>
      <c r="FU96" s="62"/>
      <c r="FV96" s="62"/>
      <c r="FW96" s="62"/>
      <c r="FX96" s="62"/>
      <c r="FY96" s="62"/>
      <c r="FZ96" s="62"/>
      <c r="GA96" s="62"/>
      <c r="GB96" s="62"/>
      <c r="GC96" s="62"/>
      <c r="GD96" s="62"/>
      <c r="GE96" s="62"/>
      <c r="GF96" s="62"/>
      <c r="GG96" s="62"/>
      <c r="GH96" s="62"/>
      <c r="GI96" s="62"/>
      <c r="GJ96" s="62"/>
      <c r="GK96" s="62"/>
      <c r="GL96" s="62"/>
      <c r="GM96" s="62"/>
      <c r="GN96" s="62"/>
      <c r="GO96" s="62"/>
      <c r="GP96" s="62"/>
      <c r="GQ96" s="62"/>
      <c r="GR96" s="62"/>
      <c r="GS96" s="62"/>
      <c r="GT96" s="62"/>
      <c r="GU96" s="62"/>
    </row>
    <row r="97" spans="1:203" x14ac:dyDescent="0.25">
      <c r="A97" s="155" t="s">
        <v>28</v>
      </c>
      <c r="B97" s="179">
        <f t="shared" si="13"/>
        <v>0</v>
      </c>
      <c r="C97" s="156">
        <f t="shared" si="14"/>
        <v>0</v>
      </c>
      <c r="D97" s="62"/>
      <c r="E97" s="62"/>
      <c r="F97" s="62"/>
      <c r="G97" s="62"/>
      <c r="H97" s="62"/>
      <c r="I97" s="62"/>
      <c r="J97" s="62"/>
      <c r="K97" s="62"/>
      <c r="L97" s="62"/>
      <c r="M97" s="62"/>
      <c r="N97" s="62"/>
      <c r="O97" s="62"/>
      <c r="P97" s="62"/>
      <c r="Q97" s="62"/>
      <c r="R97" s="62"/>
      <c r="S97" s="62"/>
      <c r="T97" s="62"/>
      <c r="U97" s="62"/>
      <c r="V97" s="62"/>
      <c r="W97" s="62"/>
      <c r="X97" s="62"/>
      <c r="Y97" s="62"/>
      <c r="Z97" s="62"/>
      <c r="AA97" s="62"/>
      <c r="AB97" s="62"/>
      <c r="AC97" s="62"/>
      <c r="AD97" s="62"/>
      <c r="AE97" s="62"/>
      <c r="AF97" s="62"/>
      <c r="AG97" s="62"/>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c r="BJ97" s="62"/>
      <c r="BK97" s="62"/>
      <c r="BL97" s="62"/>
      <c r="BM97" s="62"/>
      <c r="BN97" s="62"/>
      <c r="BO97" s="62"/>
      <c r="BP97" s="62"/>
      <c r="BQ97" s="62"/>
      <c r="BR97" s="62"/>
      <c r="BS97" s="62"/>
      <c r="BT97" s="62"/>
      <c r="BU97" s="62"/>
      <c r="BV97" s="62"/>
      <c r="BW97" s="62"/>
      <c r="BX97" s="62"/>
      <c r="BY97" s="62"/>
      <c r="BZ97" s="62"/>
      <c r="CA97" s="62"/>
      <c r="CB97" s="62"/>
      <c r="CC97" s="62"/>
      <c r="CD97" s="62"/>
      <c r="CE97" s="62"/>
      <c r="CF97" s="62"/>
      <c r="CG97" s="62"/>
      <c r="CH97" s="62"/>
      <c r="CI97" s="62"/>
      <c r="CJ97" s="62"/>
      <c r="CK97" s="62"/>
      <c r="CL97" s="62"/>
      <c r="CM97" s="62"/>
      <c r="CN97" s="62"/>
      <c r="CO97" s="62"/>
      <c r="CP97" s="62"/>
      <c r="CQ97" s="62"/>
      <c r="CR97" s="62"/>
      <c r="CS97" s="62"/>
      <c r="CT97" s="62"/>
      <c r="CU97" s="62"/>
      <c r="CV97" s="62"/>
      <c r="CW97" s="62"/>
      <c r="CX97" s="62"/>
      <c r="CY97" s="62"/>
      <c r="CZ97" s="62"/>
      <c r="DA97" s="62"/>
      <c r="DB97" s="62"/>
      <c r="DC97" s="62"/>
      <c r="DD97" s="62"/>
      <c r="DE97" s="62"/>
      <c r="DF97" s="62"/>
      <c r="DG97" s="62"/>
      <c r="DH97" s="62"/>
      <c r="DI97" s="62"/>
      <c r="DJ97" s="62"/>
      <c r="DK97" s="62"/>
      <c r="DL97" s="62"/>
      <c r="DM97" s="62"/>
      <c r="DN97" s="62"/>
      <c r="DO97" s="62"/>
      <c r="DP97" s="62"/>
      <c r="DQ97" s="62"/>
      <c r="DR97" s="62"/>
      <c r="DS97" s="62"/>
      <c r="DT97" s="62"/>
      <c r="DU97" s="62"/>
      <c r="DV97" s="62"/>
      <c r="DW97" s="62"/>
      <c r="DX97" s="62"/>
      <c r="DY97" s="62"/>
      <c r="DZ97" s="62"/>
      <c r="EA97" s="62"/>
      <c r="EB97" s="62"/>
      <c r="EC97" s="62"/>
      <c r="ED97" s="62"/>
      <c r="EE97" s="62"/>
      <c r="EF97" s="62"/>
      <c r="EG97" s="62"/>
      <c r="EH97" s="62"/>
      <c r="EI97" s="62"/>
      <c r="EJ97" s="62"/>
      <c r="EK97" s="62"/>
      <c r="EL97" s="62"/>
      <c r="EM97" s="62"/>
      <c r="EN97" s="62"/>
      <c r="EO97" s="62"/>
      <c r="EP97" s="62"/>
      <c r="EQ97" s="62"/>
      <c r="ER97" s="62"/>
      <c r="ES97" s="62"/>
      <c r="ET97" s="62"/>
      <c r="EU97" s="62"/>
      <c r="EV97" s="62"/>
      <c r="EW97" s="62"/>
      <c r="EX97" s="62"/>
      <c r="EY97" s="62"/>
      <c r="EZ97" s="62"/>
      <c r="FA97" s="62"/>
      <c r="FB97" s="62"/>
      <c r="FC97" s="62"/>
      <c r="FD97" s="62"/>
      <c r="FE97" s="62"/>
      <c r="FF97" s="62"/>
      <c r="FG97" s="62"/>
      <c r="FH97" s="62"/>
      <c r="FI97" s="62"/>
      <c r="FJ97" s="62"/>
      <c r="FK97" s="62"/>
      <c r="FL97" s="62"/>
      <c r="FM97" s="62"/>
      <c r="FN97" s="62"/>
      <c r="FO97" s="62"/>
      <c r="FP97" s="62"/>
      <c r="FQ97" s="62"/>
      <c r="FR97" s="62"/>
      <c r="FS97" s="62"/>
      <c r="FT97" s="62"/>
      <c r="FU97" s="62"/>
      <c r="FV97" s="62"/>
      <c r="FW97" s="62"/>
      <c r="FX97" s="62"/>
      <c r="FY97" s="62"/>
      <c r="FZ97" s="62"/>
      <c r="GA97" s="62"/>
      <c r="GB97" s="62"/>
      <c r="GC97" s="62"/>
      <c r="GD97" s="62"/>
      <c r="GE97" s="62"/>
      <c r="GF97" s="62"/>
      <c r="GG97" s="62"/>
      <c r="GH97" s="62"/>
      <c r="GI97" s="62"/>
      <c r="GJ97" s="62"/>
      <c r="GK97" s="62"/>
      <c r="GL97" s="62"/>
      <c r="GM97" s="62"/>
      <c r="GN97" s="62"/>
      <c r="GO97" s="62"/>
      <c r="GP97" s="62"/>
      <c r="GQ97" s="62"/>
      <c r="GR97" s="62"/>
      <c r="GS97" s="62"/>
      <c r="GT97" s="62"/>
      <c r="GU97" s="62"/>
    </row>
  </sheetData>
  <autoFilter ref="A1:AG97"/>
  <sortState ref="A10:V19">
    <sortCondition ref="A10:A19"/>
  </sortState>
  <conditionalFormatting sqref="C2:ZZ2">
    <cfRule type="cellIs" dxfId="2" priority="1" operator="notEqual">
      <formula>0</formula>
    </cfRule>
  </conditionalFormatting>
  <pageMargins left="0.7" right="0.7" top="0.75" bottom="0.75" header="0.3" footer="0.3"/>
  <pageSetup scale="35" fitToWidth="2" orientation="landscape" verticalDpi="1200" r:id="rId1"/>
  <headerFooter>
    <oddHeader>&amp;C&amp;F</oddHeader>
    <oddFooter>&amp;LPage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O2002"/>
  <sheetViews>
    <sheetView workbookViewId="0">
      <pane ySplit="3" topLeftCell="A56" activePane="bottomLeft" state="frozen"/>
      <selection activeCell="I36" sqref="I36"/>
      <selection pane="bottomLeft" activeCell="B69" sqref="B69"/>
    </sheetView>
  </sheetViews>
  <sheetFormatPr defaultRowHeight="15" x14ac:dyDescent="0.25"/>
  <cols>
    <col min="1" max="1" width="17.85546875" style="14" customWidth="1"/>
    <col min="2" max="2" width="13.5703125" customWidth="1"/>
    <col min="3" max="3" width="7.85546875" customWidth="1"/>
    <col min="4" max="4" width="6.28515625" customWidth="1"/>
    <col min="5" max="5" width="10" customWidth="1"/>
    <col min="6" max="6" width="10" style="6" customWidth="1"/>
    <col min="7" max="7" width="11.5703125" customWidth="1"/>
    <col min="8" max="8" width="9.140625" style="75"/>
    <col min="9" max="9" width="11.42578125" style="75" customWidth="1"/>
    <col min="11" max="11" width="10.42578125" customWidth="1"/>
    <col min="12" max="12" width="11.140625" bestFit="1" customWidth="1"/>
  </cols>
  <sheetData>
    <row r="1" spans="1:15" ht="18.75" x14ac:dyDescent="0.3">
      <c r="A1" s="20" t="s">
        <v>81</v>
      </c>
      <c r="B1" s="227" t="str">
        <f>COVERPAGE!B12</f>
        <v>FULL LOCATION</v>
      </c>
      <c r="C1" s="227"/>
      <c r="D1" s="229" t="str">
        <f>COVERPAGE!B13</f>
        <v>FACILITY</v>
      </c>
      <c r="E1" s="229"/>
      <c r="F1" s="229"/>
      <c r="G1" s="60" t="s">
        <v>82</v>
      </c>
      <c r="H1" s="227" t="str">
        <f>COVERPAGE!B14</f>
        <v/>
      </c>
      <c r="I1" s="227"/>
      <c r="K1" t="s">
        <v>30</v>
      </c>
      <c r="L1" t="s">
        <v>213</v>
      </c>
      <c r="M1" t="s">
        <v>266</v>
      </c>
      <c r="N1" t="s">
        <v>261</v>
      </c>
      <c r="O1" t="s">
        <v>267</v>
      </c>
    </row>
    <row r="2" spans="1:15" ht="18.75" x14ac:dyDescent="0.3">
      <c r="A2" s="20" t="s">
        <v>17</v>
      </c>
      <c r="B2" s="132" t="str">
        <f>COVERPAGE!B11</f>
        <v/>
      </c>
      <c r="C2" s="132"/>
      <c r="E2" s="65"/>
      <c r="F2" s="65"/>
      <c r="G2" s="66" t="s">
        <v>105</v>
      </c>
      <c r="H2" s="228">
        <f>COVERPAGE!B19</f>
        <v>0</v>
      </c>
      <c r="I2" s="228"/>
      <c r="K2" s="61">
        <f>UNLOAD!F11</f>
        <v>0</v>
      </c>
      <c r="L2" s="61">
        <f>UNLOAD!F8</f>
        <v>0</v>
      </c>
      <c r="M2" s="90">
        <f>B73</f>
        <v>0</v>
      </c>
      <c r="N2">
        <v>0.23</v>
      </c>
      <c r="O2" t="str">
        <f>IF(A71&lt;&gt;"No Freight Charges","Yes", "No")</f>
        <v>Yes</v>
      </c>
    </row>
    <row r="3" spans="1:15" s="3" customFormat="1" ht="30" x14ac:dyDescent="0.25">
      <c r="A3" s="54" t="s">
        <v>0</v>
      </c>
      <c r="B3" s="54" t="s">
        <v>1</v>
      </c>
      <c r="C3" s="54" t="s">
        <v>2</v>
      </c>
      <c r="D3" s="54" t="s">
        <v>3</v>
      </c>
      <c r="E3" s="54" t="s">
        <v>4</v>
      </c>
      <c r="F3" s="55" t="s">
        <v>5</v>
      </c>
      <c r="G3" s="54" t="s">
        <v>6</v>
      </c>
      <c r="H3" s="76" t="s">
        <v>7</v>
      </c>
      <c r="I3" s="76" t="s">
        <v>8</v>
      </c>
    </row>
    <row r="4" spans="1:15" x14ac:dyDescent="0.25">
      <c r="A4" s="56" t="s">
        <v>38</v>
      </c>
      <c r="B4" s="1" t="s">
        <v>38</v>
      </c>
      <c r="C4" s="1">
        <f>IF(VLOOKUP(B4,PALLETS!A:C,2,FALSE)="",0,VLOOKUP(B4,PALLETS!A:C,2,FALSE))</f>
        <v>0</v>
      </c>
      <c r="D4" s="1">
        <f>IF(C4="",0,C4)</f>
        <v>0</v>
      </c>
      <c r="E4" s="62">
        <f>IF(VLOOKUP(B4,PALLETS!A:C,3,FALSE)=0,0,(VLOOKUP(B4,PALLETS!A:C,3,FALSE))/D4)</f>
        <v>0</v>
      </c>
      <c r="F4" s="5">
        <f t="shared" ref="F4:F16" si="0">D4*E4</f>
        <v>0</v>
      </c>
      <c r="G4" s="1" t="str">
        <f>IF(ISNA(VLOOKUP(B4,REFCE!A:D,3,FALSE)),"",(VLOOKUP(B4,REFCE!A:D,3,FALSE)))</f>
        <v>Aluminum</v>
      </c>
      <c r="H4" s="77">
        <f>IF(B4="",0,VLOOKUP(B4,REFCE!A:D,2,FALSE))</f>
        <v>2.5000000000000001E-2</v>
      </c>
      <c r="I4" s="77">
        <f t="shared" ref="I4:I28" si="1">F4*H4</f>
        <v>0</v>
      </c>
    </row>
    <row r="5" spans="1:15" x14ac:dyDescent="0.25">
      <c r="A5" s="56" t="s">
        <v>58</v>
      </c>
      <c r="B5" s="1" t="s">
        <v>58</v>
      </c>
      <c r="C5" s="1">
        <f>IF(VLOOKUP(B5,PALLETS!A:C,2,FALSE)="",0,VLOOKUP(B5,PALLETS!A:C,2,FALSE))</f>
        <v>0</v>
      </c>
      <c r="D5" s="1">
        <f t="shared" ref="D5:D62" si="2">IF(C5="",0,C5)</f>
        <v>0</v>
      </c>
      <c r="E5" s="62">
        <f>IF(VLOOKUP(B5,PALLETS!A:C,3,FALSE)=0,0,(VLOOKUP(B5,PALLETS!A:C,3,FALSE))/D5)</f>
        <v>0</v>
      </c>
      <c r="F5" s="5">
        <f t="shared" si="0"/>
        <v>0</v>
      </c>
      <c r="G5" s="1" t="str">
        <f>IF(ISNA(VLOOKUP(B5,REFCE!A:D,3,FALSE)),"",(VLOOKUP(B5,REFCE!A:D,3,FALSE)))</f>
        <v>Plastic</v>
      </c>
      <c r="H5" s="77">
        <f>IF(B5="",0,VLOOKUP(B5,REFCE!A:D,2,FALSE))</f>
        <v>2.5000000000000001E-2</v>
      </c>
      <c r="I5" s="77">
        <f t="shared" si="1"/>
        <v>0</v>
      </c>
    </row>
    <row r="6" spans="1:15" x14ac:dyDescent="0.25">
      <c r="A6" s="56" t="s">
        <v>33</v>
      </c>
      <c r="B6" s="1" t="s">
        <v>33</v>
      </c>
      <c r="C6" s="1">
        <f>IF(VLOOKUP(B6,PALLETS!A:C,2,FALSE)="",0,VLOOKUP(B6,PALLETS!A:C,2,FALSE))</f>
        <v>0</v>
      </c>
      <c r="D6" s="1">
        <f t="shared" si="2"/>
        <v>0</v>
      </c>
      <c r="E6" s="62">
        <f>IF(VLOOKUP(B6,PALLETS!A:C,3,FALSE)=0,0,(VLOOKUP(B6,PALLETS!A:C,3,FALSE))/D6)</f>
        <v>0</v>
      </c>
      <c r="F6" s="5">
        <f t="shared" si="0"/>
        <v>0</v>
      </c>
      <c r="G6" s="1" t="str">
        <f>IF(ISNA(VLOOKUP(B6,REFCE!A:D,3,FALSE)),"",(VLOOKUP(B6,REFCE!A:D,3,FALSE)))</f>
        <v>Cloth</v>
      </c>
      <c r="H6" s="77">
        <f>IF(B6="",0,VLOOKUP(B6,REFCE!A:D,2,FALSE))</f>
        <v>2.5000000000000001E-2</v>
      </c>
      <c r="I6" s="77">
        <f t="shared" si="1"/>
        <v>0</v>
      </c>
    </row>
    <row r="7" spans="1:15" x14ac:dyDescent="0.25">
      <c r="A7" s="56" t="s">
        <v>34</v>
      </c>
      <c r="B7" s="1" t="s">
        <v>34</v>
      </c>
      <c r="C7" s="1">
        <f>IF(VLOOKUP(B7,PALLETS!A:C,2,FALSE)="",0,VLOOKUP(B7,PALLETS!A:C,2,FALSE))</f>
        <v>0</v>
      </c>
      <c r="D7" s="1">
        <f t="shared" si="2"/>
        <v>0</v>
      </c>
      <c r="E7" s="62">
        <f>IF(VLOOKUP(B7,PALLETS!A:C,3,FALSE)=0,0,(VLOOKUP(B7,PALLETS!A:C,3,FALSE))/D7)</f>
        <v>0</v>
      </c>
      <c r="F7" s="5">
        <f t="shared" si="0"/>
        <v>0</v>
      </c>
      <c r="G7" s="1" t="str">
        <f>IF(ISNA(VLOOKUP(B7,REFCE!A:D,3,FALSE)),"",(VLOOKUP(B7,REFCE!A:D,3,FALSE)))</f>
        <v>E-Waste</v>
      </c>
      <c r="H7" s="77">
        <f>IF(B7="",0,VLOOKUP(B7,REFCE!A:D,2,FALSE))</f>
        <v>2.5000000000000001E-2</v>
      </c>
      <c r="I7" s="77">
        <f t="shared" si="1"/>
        <v>0</v>
      </c>
    </row>
    <row r="8" spans="1:15" x14ac:dyDescent="0.25">
      <c r="A8" s="56" t="s">
        <v>36</v>
      </c>
      <c r="B8" s="1" t="s">
        <v>36</v>
      </c>
      <c r="C8" s="1">
        <f>IF(VLOOKUP(B8,PALLETS!A:C,2,FALSE)="",0,VLOOKUP(B8,PALLETS!A:C,2,FALSE))</f>
        <v>0</v>
      </c>
      <c r="D8" s="1">
        <f t="shared" si="2"/>
        <v>0</v>
      </c>
      <c r="E8" s="62">
        <f>IF(VLOOKUP(B8,PALLETS!A:C,3,FALSE)=0,0,(VLOOKUP(B8,PALLETS!A:C,3,FALSE))/D8)</f>
        <v>0</v>
      </c>
      <c r="F8" s="5">
        <f t="shared" si="0"/>
        <v>0</v>
      </c>
      <c r="G8" s="1" t="str">
        <f>IF(ISNA(VLOOKUP(B8,REFCE!A:D,3,FALSE)),"",(VLOOKUP(B8,REFCE!A:D,3,FALSE)))</f>
        <v>Foam</v>
      </c>
      <c r="H8" s="77">
        <f>IF(B8="",0,VLOOKUP(B8,REFCE!A:D,2,FALSE))</f>
        <v>2.5000000000000001E-2</v>
      </c>
      <c r="I8" s="77">
        <f t="shared" si="1"/>
        <v>0</v>
      </c>
    </row>
    <row r="9" spans="1:15" x14ac:dyDescent="0.25">
      <c r="A9" s="56" t="s">
        <v>32</v>
      </c>
      <c r="B9" s="1" t="s">
        <v>32</v>
      </c>
      <c r="C9" s="1">
        <f>IF(VLOOKUP(B9,PALLETS!A:C,2,FALSE)="",0,VLOOKUP(B9,PALLETS!A:C,2,FALSE))</f>
        <v>0</v>
      </c>
      <c r="D9" s="1">
        <f t="shared" si="2"/>
        <v>0</v>
      </c>
      <c r="E9" s="62">
        <f>IF(VLOOKUP(B9,PALLETS!A:C,3,FALSE)=0,0,(VLOOKUP(B9,PALLETS!A:C,3,FALSE))/D9)</f>
        <v>0</v>
      </c>
      <c r="F9" s="5">
        <f t="shared" si="0"/>
        <v>0</v>
      </c>
      <c r="G9" s="1" t="str">
        <f>IF(ISNA(VLOOKUP(B9,REFCE!A:D,3,FALSE)),"",(VLOOKUP(B9,REFCE!A:D,3,FALSE)))</f>
        <v>Glass</v>
      </c>
      <c r="H9" s="77">
        <f>IF(B9="",0,VLOOKUP(B9,REFCE!A:D,2,FALSE))</f>
        <v>2.5000000000000001E-2</v>
      </c>
      <c r="I9" s="77">
        <f t="shared" si="1"/>
        <v>0</v>
      </c>
    </row>
    <row r="10" spans="1:15" x14ac:dyDescent="0.25">
      <c r="A10" s="56" t="s">
        <v>87</v>
      </c>
      <c r="B10" s="1" t="s">
        <v>87</v>
      </c>
      <c r="C10" s="1">
        <f>IF(VLOOKUP(B10,PALLETS!A:C,2,FALSE)="",0,VLOOKUP(B10,PALLETS!A:C,2,FALSE))</f>
        <v>0</v>
      </c>
      <c r="D10" s="1">
        <f t="shared" ref="D10" si="3">IF(C10="",0,C10)</f>
        <v>0</v>
      </c>
      <c r="E10" s="62">
        <f>IF(VLOOKUP(B10,PALLETS!A:C,3,FALSE)=0,0,(VLOOKUP(B10,PALLETS!A:C,3,FALSE))/D10)</f>
        <v>0</v>
      </c>
      <c r="F10" s="5">
        <f t="shared" ref="F10" si="4">D10*E10</f>
        <v>0</v>
      </c>
      <c r="G10" s="1" t="str">
        <f>IF(ISNA(VLOOKUP(B10,REFCE!A:D,3,FALSE)),"",(VLOOKUP(B10,REFCE!A:D,3,FALSE)))</f>
        <v>Iron</v>
      </c>
      <c r="H10" s="77">
        <f>IF(B10="",0,VLOOKUP(B10,REFCE!A:D,2,FALSE))</f>
        <v>2.5000000000000001E-2</v>
      </c>
      <c r="I10" s="77">
        <f t="shared" si="1"/>
        <v>0</v>
      </c>
    </row>
    <row r="11" spans="1:15" x14ac:dyDescent="0.25">
      <c r="A11" s="56" t="s">
        <v>40</v>
      </c>
      <c r="B11" s="1" t="s">
        <v>40</v>
      </c>
      <c r="C11" s="1">
        <f>IF(VLOOKUP(B11,PALLETS!A:C,2,FALSE)="",0,VLOOKUP(B11,PALLETS!A:C,2,FALSE))</f>
        <v>0</v>
      </c>
      <c r="D11" s="1">
        <f t="shared" si="2"/>
        <v>0</v>
      </c>
      <c r="E11" s="62">
        <f>IF(VLOOKUP(B11,PALLETS!A:C,3,FALSE)=0,0,(VLOOKUP(B11,PALLETS!A:C,3,FALSE))/D11)</f>
        <v>0</v>
      </c>
      <c r="F11" s="5">
        <f t="shared" si="0"/>
        <v>0</v>
      </c>
      <c r="G11" s="1" t="str">
        <f>IF(ISNA(VLOOKUP(B11,REFCE!A:D,3,FALSE)),"",(VLOOKUP(B11,REFCE!A:D,3,FALSE)))</f>
        <v>Mixed Metals</v>
      </c>
      <c r="H11" s="77">
        <f>IF(B11="",0,VLOOKUP(B11,REFCE!A:D,2,FALSE))</f>
        <v>2.5000000000000001E-2</v>
      </c>
      <c r="I11" s="77">
        <f t="shared" si="1"/>
        <v>0</v>
      </c>
    </row>
    <row r="12" spans="1:15" x14ac:dyDescent="0.25">
      <c r="A12" s="56" t="s">
        <v>10</v>
      </c>
      <c r="B12" s="1" t="s">
        <v>10</v>
      </c>
      <c r="C12" s="1">
        <f>IF(VLOOKUP(B12,PALLETS!A:C,2,FALSE)="",0,VLOOKUP(B12,PALLETS!A:C,2,FALSE))</f>
        <v>0</v>
      </c>
      <c r="D12" s="1">
        <f t="shared" si="2"/>
        <v>0</v>
      </c>
      <c r="E12" s="62">
        <f>IF(VLOOKUP(B12,PALLETS!A:C,3,FALSE)=0,0,(VLOOKUP(B12,PALLETS!A:C,3,FALSE))/D12)</f>
        <v>0</v>
      </c>
      <c r="F12" s="5">
        <f t="shared" si="0"/>
        <v>0</v>
      </c>
      <c r="G12" s="1" t="str">
        <f>IF(ISNA(VLOOKUP(B12,REFCE!A:D,3,FALSE)),"",(VLOOKUP(B12,REFCE!A:D,3,FALSE)))</f>
        <v>Paper</v>
      </c>
      <c r="H12" s="77">
        <f>IF(B12="",0,VLOOKUP(B12,REFCE!A:D,2,FALSE))</f>
        <v>2.5000000000000001E-2</v>
      </c>
      <c r="I12" s="77">
        <f t="shared" si="1"/>
        <v>0</v>
      </c>
    </row>
    <row r="13" spans="1:15" x14ac:dyDescent="0.25">
      <c r="A13" s="56" t="s">
        <v>37</v>
      </c>
      <c r="B13" s="1" t="s">
        <v>37</v>
      </c>
      <c r="C13" s="1">
        <f>IF(VLOOKUP(B13,PALLETS!A:C,2,FALSE)="",0,VLOOKUP(B13,PALLETS!A:C,2,FALSE))</f>
        <v>0</v>
      </c>
      <c r="D13" s="1">
        <f t="shared" si="2"/>
        <v>0</v>
      </c>
      <c r="E13" s="62">
        <f>IF(VLOOKUP(B13,PALLETS!A:C,3,FALSE)=0,0,(VLOOKUP(B13,PALLETS!A:C,3,FALSE))/D13)</f>
        <v>0</v>
      </c>
      <c r="F13" s="5">
        <f t="shared" si="0"/>
        <v>0</v>
      </c>
      <c r="G13" s="1" t="str">
        <f>IF(ISNA(VLOOKUP(B13,REFCE!A:D,3,FALSE)),"",(VLOOKUP(B13,REFCE!A:D,3,FALSE)))</f>
        <v>Plastic</v>
      </c>
      <c r="H13" s="77">
        <f>IF(B13="",0,VLOOKUP(B13,REFCE!A:D,2,FALSE))</f>
        <v>2.5000000000000001E-2</v>
      </c>
      <c r="I13" s="77">
        <f t="shared" si="1"/>
        <v>0</v>
      </c>
    </row>
    <row r="14" spans="1:15" x14ac:dyDescent="0.25">
      <c r="A14" s="56" t="s">
        <v>35</v>
      </c>
      <c r="B14" s="1" t="s">
        <v>35</v>
      </c>
      <c r="C14" s="1">
        <f>IF(VLOOKUP(B14,PALLETS!A:C,2,FALSE)="",0,VLOOKUP(B14,PALLETS!A:C,2,FALSE))</f>
        <v>0</v>
      </c>
      <c r="D14" s="1">
        <f t="shared" si="2"/>
        <v>0</v>
      </c>
      <c r="E14" s="62">
        <f>IF(VLOOKUP(B14,PALLETS!A:C,3,FALSE)=0,0,(VLOOKUP(B14,PALLETS!A:C,3,FALSE))/D14)</f>
        <v>0</v>
      </c>
      <c r="F14" s="5">
        <f t="shared" si="0"/>
        <v>0</v>
      </c>
      <c r="G14" s="1" t="str">
        <f>IF(ISNA(VLOOKUP(B14,REFCE!A:D,3,FALSE)),"",(VLOOKUP(B14,REFCE!A:D,3,FALSE)))</f>
        <v>Rubber</v>
      </c>
      <c r="H14" s="77">
        <f>IF(B14="",0,VLOOKUP(B14,REFCE!A:D,2,FALSE))</f>
        <v>2.5000000000000001E-2</v>
      </c>
      <c r="I14" s="77">
        <f t="shared" si="1"/>
        <v>0</v>
      </c>
    </row>
    <row r="15" spans="1:15" x14ac:dyDescent="0.25">
      <c r="A15" s="56" t="s">
        <v>39</v>
      </c>
      <c r="B15" s="1" t="s">
        <v>39</v>
      </c>
      <c r="C15" s="1">
        <f>IF(VLOOKUP(B15,PALLETS!A:C,2,FALSE)="",0,VLOOKUP(B15,PALLETS!A:C,2,FALSE))</f>
        <v>0</v>
      </c>
      <c r="D15" s="1">
        <f t="shared" si="2"/>
        <v>0</v>
      </c>
      <c r="E15" s="62">
        <f>IF(VLOOKUP(B15,PALLETS!A:C,3,FALSE)=0,0,(VLOOKUP(B15,PALLETS!A:C,3,FALSE))/D15)</f>
        <v>0</v>
      </c>
      <c r="F15" s="5">
        <f t="shared" si="0"/>
        <v>0</v>
      </c>
      <c r="G15" s="1" t="str">
        <f>IF(ISNA(VLOOKUP(B15,REFCE!A:D,3,FALSE)),"",(VLOOKUP(B15,REFCE!A:D,3,FALSE)))</f>
        <v>Steel</v>
      </c>
      <c r="H15" s="77">
        <f>IF(B15="",0,VLOOKUP(B15,REFCE!A:D,2,FALSE))</f>
        <v>2.5000000000000001E-2</v>
      </c>
      <c r="I15" s="77">
        <f t="shared" si="1"/>
        <v>0</v>
      </c>
    </row>
    <row r="16" spans="1:15" x14ac:dyDescent="0.25">
      <c r="A16" s="56" t="s">
        <v>31</v>
      </c>
      <c r="B16" s="1" t="s">
        <v>31</v>
      </c>
      <c r="C16" s="1">
        <f>IF(VLOOKUP(B16,PALLETS!A:C,2,FALSE)="",0,VLOOKUP(B16,PALLETS!A:C,2,FALSE))</f>
        <v>0</v>
      </c>
      <c r="D16" s="1">
        <f t="shared" si="2"/>
        <v>0</v>
      </c>
      <c r="E16" s="62">
        <f>IF(VLOOKUP(B16,PALLETS!A:C,3,FALSE)=0,0,(VLOOKUP(B16,PALLETS!A:C,3,FALSE))/D16)</f>
        <v>0</v>
      </c>
      <c r="F16" s="5">
        <f t="shared" si="0"/>
        <v>0</v>
      </c>
      <c r="G16" s="1" t="str">
        <f>IF(ISNA(VLOOKUP(B16,REFCE!A:D,3,FALSE)),"",(VLOOKUP(B16,REFCE!A:D,3,FALSE)))</f>
        <v>Wood</v>
      </c>
      <c r="H16" s="77">
        <f>IF(B16="",0,VLOOKUP(B16,REFCE!A:D,2,FALSE))</f>
        <v>2.5000000000000001E-2</v>
      </c>
      <c r="I16" s="77">
        <f t="shared" si="1"/>
        <v>0</v>
      </c>
    </row>
    <row r="17" spans="1:9" x14ac:dyDescent="0.25">
      <c r="A17" s="56" t="s">
        <v>259</v>
      </c>
      <c r="B17" s="56" t="s">
        <v>259</v>
      </c>
      <c r="C17" s="1">
        <f>IF(VLOOKUP(B17,PALLETS!A:C,2,FALSE)="",0,VLOOKUP(B17,PALLETS!A:C,2,FALSE))</f>
        <v>0</v>
      </c>
      <c r="D17" s="1">
        <f t="shared" ref="D17" si="5">IF(C17="",0,C17)</f>
        <v>0</v>
      </c>
      <c r="E17" s="62">
        <f>IF(VLOOKUP(B17,PALLETS!A:C,3,FALSE)=0,0,(VLOOKUP(B17,PALLETS!A:C,3,FALSE))/D17)</f>
        <v>0</v>
      </c>
      <c r="F17" s="5">
        <f t="shared" ref="F17" si="6">D17*E17</f>
        <v>0</v>
      </c>
      <c r="G17" s="1" t="str">
        <f>IF(ISNA(VLOOKUP(B17,REFCE!A:D,3,FALSE)),"",(VLOOKUP(B17,REFCE!A:D,3,FALSE)))</f>
        <v>Steel</v>
      </c>
      <c r="H17" s="77">
        <f>IF(B17="",0,VLOOKUP(B17,REFCE!A:D,2,FALSE))</f>
        <v>2.5000000000000001E-2</v>
      </c>
      <c r="I17" s="77">
        <f t="shared" ref="I17" si="7">F17*H17</f>
        <v>0</v>
      </c>
    </row>
    <row r="18" spans="1:9" x14ac:dyDescent="0.25">
      <c r="A18" s="56" t="s">
        <v>42</v>
      </c>
      <c r="B18" s="1" t="s">
        <v>42</v>
      </c>
      <c r="C18" s="1">
        <f>IF(VLOOKUP(B18,PALLETS!A:C,2,FALSE)="",0,VLOOKUP(B18,PALLETS!A:C,2,FALSE))</f>
        <v>0</v>
      </c>
      <c r="D18" s="1">
        <f t="shared" si="2"/>
        <v>0</v>
      </c>
      <c r="E18" s="62">
        <f>IF(VLOOKUP(B18,PALLETS!A:C,3,FALSE)=0,0,(VLOOKUP(B18,PALLETS!A:C,3,FALSE))/D18)</f>
        <v>0</v>
      </c>
      <c r="F18" s="5">
        <f>D18*E18</f>
        <v>0</v>
      </c>
      <c r="G18" s="1" t="str">
        <f>IF(ISNA(VLOOKUP(B18,REFCE!A:D,3,FALSE)),"",(VLOOKUP(B18,REFCE!A:D,3,FALSE)))</f>
        <v>Mixed Metals</v>
      </c>
      <c r="H18" s="77">
        <f>IF(B18="",0,VLOOKUP(B18,REFCE!A:D,2,FALSE))</f>
        <v>2.5000000000000001E-2</v>
      </c>
      <c r="I18" s="77">
        <f t="shared" si="1"/>
        <v>0</v>
      </c>
    </row>
    <row r="19" spans="1:9" x14ac:dyDescent="0.25">
      <c r="A19" s="56" t="s">
        <v>43</v>
      </c>
      <c r="B19" s="1" t="s">
        <v>43</v>
      </c>
      <c r="C19" s="1">
        <f>IF(VLOOKUP(B19,PALLETS!A:C,2,FALSE)="",0,VLOOKUP(B19,PALLETS!A:C,2,FALSE))</f>
        <v>0</v>
      </c>
      <c r="D19" s="1">
        <f t="shared" si="2"/>
        <v>0</v>
      </c>
      <c r="E19" s="62">
        <f>IF(VLOOKUP(B19,PALLETS!A:C,3,FALSE)=0,0,(VLOOKUP(B19,PALLETS!A:C,3,FALSE))/D19)</f>
        <v>0</v>
      </c>
      <c r="F19" s="5">
        <f>D19*E19</f>
        <v>0</v>
      </c>
      <c r="G19" s="1" t="str">
        <f>IF(ISNA(VLOOKUP(B19,REFCE!A:D,3,FALSE)),"",(VLOOKUP(B19,REFCE!A:D,3,FALSE)))</f>
        <v>Mixed Metals</v>
      </c>
      <c r="H19" s="77">
        <f>IF(B19="",0,VLOOKUP(B19,REFCE!A:D,2,FALSE))</f>
        <v>2.5000000000000001E-2</v>
      </c>
      <c r="I19" s="77">
        <f t="shared" si="1"/>
        <v>0</v>
      </c>
    </row>
    <row r="20" spans="1:9" x14ac:dyDescent="0.25">
      <c r="A20" s="56" t="s">
        <v>133</v>
      </c>
      <c r="B20" s="1" t="s">
        <v>133</v>
      </c>
      <c r="C20" s="1">
        <f>IF(VLOOKUP(B20,PALLETS!A:C,2,FALSE)="",0,VLOOKUP(B20,PALLETS!A:C,2,FALSE))</f>
        <v>0</v>
      </c>
      <c r="D20" s="1">
        <f t="shared" ref="D20" si="8">IF(C20="",0,C20)</f>
        <v>0</v>
      </c>
      <c r="E20" s="62">
        <f>IF(VLOOKUP(B20,PALLETS!A:C,3,FALSE)=0,0,(VLOOKUP(B20,PALLETS!A:C,3,FALSE))/D20)</f>
        <v>0</v>
      </c>
      <c r="F20" s="5">
        <f t="shared" ref="F20" si="9">D20*E20</f>
        <v>0</v>
      </c>
      <c r="G20" s="1" t="str">
        <f>IF(ISNA(VLOOKUP(B20,REFCE!A:D,3,FALSE)),"",(VLOOKUP(B20,REFCE!A:D,3,FALSE)))</f>
        <v>E-Waste</v>
      </c>
      <c r="H20" s="77">
        <f>IF(B20="",0,VLOOKUP(B20,REFCE!A:D,2,FALSE))</f>
        <v>2.5000000000000001E-2</v>
      </c>
      <c r="I20" s="77">
        <f t="shared" ref="I20" si="10">F20*H20</f>
        <v>0</v>
      </c>
    </row>
    <row r="21" spans="1:9" x14ac:dyDescent="0.25">
      <c r="A21" s="1" t="s">
        <v>198</v>
      </c>
      <c r="B21" s="1" t="s">
        <v>198</v>
      </c>
      <c r="C21" s="1">
        <f>IF(VLOOKUP(B21,PALLETS!A:C,2,FALSE)="",0,VLOOKUP(B21,PALLETS!A:C,2,FALSE))</f>
        <v>0</v>
      </c>
      <c r="D21" s="1">
        <f t="shared" ref="D21" si="11">IF(C21="",0,C21)</f>
        <v>0</v>
      </c>
      <c r="E21" s="62">
        <f>IF(VLOOKUP(B21,PALLETS!A:C,3,FALSE)=0,0,(VLOOKUP(B21,PALLETS!A:C,3,FALSE))/D21)</f>
        <v>0</v>
      </c>
      <c r="F21" s="5">
        <f t="shared" ref="F21" si="12">D21*E21</f>
        <v>0</v>
      </c>
      <c r="G21" s="1" t="str">
        <f>IF(ISNA(VLOOKUP(B21,REFCE!A:D,3,FALSE)),"",(VLOOKUP(B21,REFCE!A:D,3,FALSE)))</f>
        <v>E-Waste</v>
      </c>
      <c r="H21" s="77">
        <f>IF(B21="",0,VLOOKUP(B21,REFCE!A:D,2,FALSE))</f>
        <v>2.5000000000000001E-2</v>
      </c>
      <c r="I21" s="77">
        <f t="shared" ref="I21" si="13">F21*H21</f>
        <v>0</v>
      </c>
    </row>
    <row r="22" spans="1:9" x14ac:dyDescent="0.25">
      <c r="A22" s="11" t="s">
        <v>134</v>
      </c>
      <c r="B22" s="11" t="s">
        <v>134</v>
      </c>
      <c r="C22" s="1">
        <f>IF(VLOOKUP(B22,PALLETS!A:C,2,FALSE)="",0,VLOOKUP(B22,PALLETS!A:C,2,FALSE))</f>
        <v>0</v>
      </c>
      <c r="D22" s="1">
        <f t="shared" ref="D22" si="14">IF(C22="",0,C22)</f>
        <v>0</v>
      </c>
      <c r="E22" s="62">
        <f>IF(VLOOKUP(B22,PALLETS!A:C,3,FALSE)=0,0,(VLOOKUP(B22,PALLETS!A:C,3,FALSE))/D22)</f>
        <v>0</v>
      </c>
      <c r="F22" s="5">
        <f t="shared" ref="F22" si="15">D22*E22</f>
        <v>0</v>
      </c>
      <c r="G22" s="1" t="str">
        <f>IF(ISNA(VLOOKUP(B22,REFCE!A:D,3,FALSE)),"",(VLOOKUP(B22,REFCE!A:D,3,FALSE)))</f>
        <v>Steel</v>
      </c>
      <c r="H22" s="77">
        <f>IF(B22="",0,VLOOKUP(B22,REFCE!A:D,2,FALSE))</f>
        <v>2.5000000000000001E-2</v>
      </c>
      <c r="I22" s="77">
        <f t="shared" ref="I22" si="16">F22*H22</f>
        <v>0</v>
      </c>
    </row>
    <row r="23" spans="1:9" x14ac:dyDescent="0.25">
      <c r="A23" s="11" t="s">
        <v>130</v>
      </c>
      <c r="B23" s="11" t="s">
        <v>130</v>
      </c>
      <c r="C23" s="1">
        <f>IF(VLOOKUP(B23,PALLETS!A:C,2,FALSE)="",0,VLOOKUP(B23,PALLETS!A:C,2,FALSE))</f>
        <v>0</v>
      </c>
      <c r="D23" s="1">
        <f t="shared" ref="D23" si="17">IF(C23="",0,C23)</f>
        <v>0</v>
      </c>
      <c r="E23" s="62">
        <f>IF(VLOOKUP(B23,PALLETS!A:C,3,FALSE)=0,0,(VLOOKUP(B23,PALLETS!A:C,3,FALSE))/D23)</f>
        <v>0</v>
      </c>
      <c r="F23" s="5">
        <f>D23*E23</f>
        <v>0</v>
      </c>
      <c r="G23" s="1" t="str">
        <f>IF(ISNA(VLOOKUP(B23,REFCE!A:D,3,FALSE)),"",(VLOOKUP(B23,REFCE!A:D,3,FALSE)))</f>
        <v>Steel</v>
      </c>
      <c r="H23" s="77">
        <f>IF(B23="",0,VLOOKUP(B23,REFCE!A:D,2,FALSE))</f>
        <v>2.5000000000000001E-2</v>
      </c>
      <c r="I23" s="77">
        <f t="shared" ref="I23" si="18">F23*H23</f>
        <v>0</v>
      </c>
    </row>
    <row r="24" spans="1:9" x14ac:dyDescent="0.25">
      <c r="A24" s="56" t="s">
        <v>271</v>
      </c>
      <c r="B24" s="1" t="s">
        <v>271</v>
      </c>
      <c r="C24" s="1">
        <f>IF(VLOOKUP(B24,PALLETS!A:C,2,FALSE)="",0,VLOOKUP(B24,PALLETS!A:C,2,FALSE))</f>
        <v>0</v>
      </c>
      <c r="D24" s="1">
        <f t="shared" si="2"/>
        <v>0</v>
      </c>
      <c r="E24" s="62">
        <f>IF(VLOOKUP(B24,PALLETS!A:C,3,FALSE)=0,0,(VLOOKUP(B24,PALLETS!A:C,3,FALSE))/D24)</f>
        <v>0</v>
      </c>
      <c r="F24" s="5">
        <f>D24*E24</f>
        <v>0</v>
      </c>
      <c r="G24" s="1" t="str">
        <f>IF(ISNA(VLOOKUP(B24,REFCE!A:D,3,FALSE)),"",(VLOOKUP(B24,REFCE!A:D,3,FALSE)))</f>
        <v>Steel</v>
      </c>
      <c r="H24" s="77">
        <f>IF(B24="",0,VLOOKUP(B24,REFCE!A:D,2,FALSE))</f>
        <v>2.5000000000000001E-2</v>
      </c>
      <c r="I24" s="77">
        <f t="shared" si="1"/>
        <v>0</v>
      </c>
    </row>
    <row r="25" spans="1:9" x14ac:dyDescent="0.25">
      <c r="A25" s="56" t="s">
        <v>166</v>
      </c>
      <c r="B25" s="56" t="s">
        <v>166</v>
      </c>
      <c r="C25" s="1">
        <f>IF(VLOOKUP(B25,PALLETS!A:C,2,FALSE)="",0,VLOOKUP(B25,PALLETS!A:C,2,FALSE))</f>
        <v>0</v>
      </c>
      <c r="D25" s="1">
        <f t="shared" ref="D25" si="19">IF(C25="",0,C25)</f>
        <v>0</v>
      </c>
      <c r="E25" s="62">
        <f>IF(VLOOKUP(B25,PALLETS!A:C,3,FALSE)=0,0,(VLOOKUP(B25,PALLETS!A:C,3,FALSE))/D25)</f>
        <v>0</v>
      </c>
      <c r="F25" s="5">
        <f>D25*E25</f>
        <v>0</v>
      </c>
      <c r="G25" s="1" t="str">
        <f>IF(ISNA(VLOOKUP(B25,REFCE!A:D,3,FALSE)),"",(VLOOKUP(B25,REFCE!A:D,3,FALSE)))</f>
        <v>Steel</v>
      </c>
      <c r="H25" s="77">
        <f>IF(B25="",0,VLOOKUP(B25,REFCE!A:D,2,FALSE))</f>
        <v>2.5000000000000001E-2</v>
      </c>
      <c r="I25" s="77">
        <f t="shared" si="1"/>
        <v>0</v>
      </c>
    </row>
    <row r="26" spans="1:9" x14ac:dyDescent="0.25">
      <c r="A26" s="56" t="s">
        <v>44</v>
      </c>
      <c r="B26" s="1" t="s">
        <v>44</v>
      </c>
      <c r="C26" s="1">
        <f>IF(VLOOKUP(B26,PALLETS!A:C,2,FALSE)="",0,VLOOKUP(B26,PALLETS!A:C,2,FALSE))</f>
        <v>0</v>
      </c>
      <c r="D26" s="1">
        <f t="shared" si="2"/>
        <v>0</v>
      </c>
      <c r="E26" s="62">
        <f>IF(VLOOKUP(B26,PALLETS!A:C,3,FALSE)=0,0,(VLOOKUP(B26,PALLETS!A:C,3,FALSE))/D26)</f>
        <v>0</v>
      </c>
      <c r="F26" s="5">
        <f>D26*E26</f>
        <v>0</v>
      </c>
      <c r="G26" s="1" t="str">
        <f>IF(ISNA(VLOOKUP(B26,REFCE!A:D,3,FALSE)),"",(VLOOKUP(B26,REFCE!A:D,3,FALSE)))</f>
        <v>Steel</v>
      </c>
      <c r="H26" s="77">
        <f>IF(B26="",0,VLOOKUP(B26,REFCE!A:D,2,FALSE))</f>
        <v>2.5000000000000001E-2</v>
      </c>
      <c r="I26" s="77">
        <f t="shared" si="1"/>
        <v>0</v>
      </c>
    </row>
    <row r="27" spans="1:9" x14ac:dyDescent="0.25">
      <c r="A27" s="1" t="s">
        <v>202</v>
      </c>
      <c r="B27" s="1" t="s">
        <v>202</v>
      </c>
      <c r="C27" s="1">
        <f>IF(VLOOKUP(B27,PALLETS!A:C,2,FALSE)="",0,VLOOKUP(B27,PALLETS!A:C,2,FALSE))</f>
        <v>0</v>
      </c>
      <c r="D27" s="1">
        <f t="shared" ref="D27" si="20">IF(C27="",0,C27)</f>
        <v>0</v>
      </c>
      <c r="E27" s="62">
        <f>IF(VLOOKUP(B27,PALLETS!A:C,3,FALSE)=0,0,(VLOOKUP(B27,PALLETS!A:C,3,FALSE))/D27)</f>
        <v>0</v>
      </c>
      <c r="F27" s="5">
        <f t="shared" ref="F27" si="21">D27*E27</f>
        <v>0</v>
      </c>
      <c r="G27" s="1" t="str">
        <f>IF(ISNA(VLOOKUP(B27,REFCE!A:D,3,FALSE)),"",(VLOOKUP(B27,REFCE!A:D,3,FALSE)))</f>
        <v>Steel</v>
      </c>
      <c r="H27" s="77">
        <f>IF(B27="",0,VLOOKUP(B27,REFCE!A:D,2,FALSE))</f>
        <v>2.5000000000000001E-2</v>
      </c>
      <c r="I27" s="77">
        <f t="shared" si="1"/>
        <v>0</v>
      </c>
    </row>
    <row r="28" spans="1:9" x14ac:dyDescent="0.25">
      <c r="A28" s="1" t="s">
        <v>208</v>
      </c>
      <c r="B28" s="1" t="s">
        <v>208</v>
      </c>
      <c r="C28" s="1">
        <f>IF(VLOOKUP(B28,PALLETS!A:C,2,FALSE)="",0,VLOOKUP(B28,PALLETS!A:C,2,FALSE))</f>
        <v>0</v>
      </c>
      <c r="D28" s="1">
        <f t="shared" ref="D28" si="22">IF(C28="",0,C28)</f>
        <v>0</v>
      </c>
      <c r="E28" s="62">
        <f>IF(VLOOKUP(B28,PALLETS!A:C,3,FALSE)=0,0,(VLOOKUP(B28,PALLETS!A:C,3,FALSE))/D28)</f>
        <v>0</v>
      </c>
      <c r="F28" s="5">
        <f t="shared" ref="F28" si="23">D28*E28</f>
        <v>0</v>
      </c>
      <c r="G28" s="1" t="str">
        <f>IF(ISNA(VLOOKUP(B28,REFCE!A:D,3,FALSE)),"",(VLOOKUP(B28,REFCE!A:D,3,FALSE)))</f>
        <v>Steel</v>
      </c>
      <c r="H28" s="77">
        <f>IF(B28="",0,VLOOKUP(B28,REFCE!A:D,2,FALSE))</f>
        <v>2.5000000000000001E-2</v>
      </c>
      <c r="I28" s="77">
        <f t="shared" si="1"/>
        <v>0</v>
      </c>
    </row>
    <row r="29" spans="1:9" x14ac:dyDescent="0.25">
      <c r="A29" s="59" t="s">
        <v>68</v>
      </c>
      <c r="B29" s="11" t="s">
        <v>68</v>
      </c>
      <c r="C29" s="1">
        <f>IF(VLOOKUP(B29,PALLETS!A:C,2,FALSE)="",0,VLOOKUP(B29,PALLETS!A:C,2,FALSE))</f>
        <v>0</v>
      </c>
      <c r="D29" s="1">
        <f t="shared" si="2"/>
        <v>0</v>
      </c>
      <c r="E29" s="62">
        <f>IF(VLOOKUP(B29,PALLETS!A:C,3,FALSE)=0,0,(VLOOKUP(B29,PALLETS!A:C,3,FALSE))/D29)</f>
        <v>0</v>
      </c>
      <c r="F29" s="5">
        <f t="shared" ref="F29" si="24">D29*E29</f>
        <v>0</v>
      </c>
      <c r="G29" s="1" t="str">
        <f>IF(ISNA(VLOOKUP(B29,REFCE!A:D,3,FALSE)),"",(VLOOKUP(B29,REFCE!A:D,3,FALSE)))</f>
        <v>Mixed Metals</v>
      </c>
      <c r="H29" s="77">
        <f>IF(B29="",0,VLOOKUP(B29,REFCE!A:D,2,FALSE))</f>
        <v>2.5000000000000001E-2</v>
      </c>
      <c r="I29" s="77">
        <f t="shared" ref="I29" si="25">F29*H29</f>
        <v>0</v>
      </c>
    </row>
    <row r="30" spans="1:9" x14ac:dyDescent="0.25">
      <c r="A30" s="1" t="s">
        <v>69</v>
      </c>
      <c r="B30" s="1" t="s">
        <v>69</v>
      </c>
      <c r="C30" s="1">
        <f>IF(VLOOKUP(B30,PALLETS!A:C,2,FALSE)="",0,VLOOKUP(B30,PALLETS!A:C,2,FALSE))</f>
        <v>0</v>
      </c>
      <c r="D30" s="1">
        <f t="shared" si="2"/>
        <v>0</v>
      </c>
      <c r="E30" s="62">
        <f>IF(VLOOKUP(B30,PALLETS!A:C,3,FALSE)=0,0,(VLOOKUP(B30,PALLETS!A:C,3,FALSE))/D30)</f>
        <v>0</v>
      </c>
      <c r="F30" s="5">
        <f t="shared" ref="F30" si="26">D30*E30</f>
        <v>0</v>
      </c>
      <c r="G30" s="1" t="str">
        <f>IF(ISNA(VLOOKUP(B30,REFCE!A:D,3,FALSE)),"",(VLOOKUP(B30,REFCE!A:D,3,FALSE)))</f>
        <v>Steel</v>
      </c>
      <c r="H30" s="77">
        <f>IF(B30="",0,VLOOKUP(B30,REFCE!A:D,2,FALSE))</f>
        <v>2.5000000000000001E-2</v>
      </c>
      <c r="I30" s="77">
        <f t="shared" ref="I30" si="27">F30*H30</f>
        <v>0</v>
      </c>
    </row>
    <row r="31" spans="1:9" x14ac:dyDescent="0.25">
      <c r="A31" s="1" t="s">
        <v>206</v>
      </c>
      <c r="B31" s="1" t="s">
        <v>206</v>
      </c>
      <c r="C31" s="1">
        <f>IF(VLOOKUP(B31,PALLETS!A:C,2,FALSE)="",0,VLOOKUP(B31,PALLETS!A:C,2,FALSE))</f>
        <v>0</v>
      </c>
      <c r="D31" s="1">
        <f t="shared" ref="D31" si="28">IF(C31="",0,C31)</f>
        <v>0</v>
      </c>
      <c r="E31" s="62">
        <f>IF(VLOOKUP(B31,PALLETS!A:C,3,FALSE)=0,0,(VLOOKUP(B31,PALLETS!A:C,3,FALSE))/D31)</f>
        <v>0</v>
      </c>
      <c r="F31" s="5">
        <f t="shared" ref="F31" si="29">D31*E31</f>
        <v>0</v>
      </c>
      <c r="G31" s="1" t="str">
        <f>IF(ISNA(VLOOKUP(B31,REFCE!A:D,3,FALSE)),"",(VLOOKUP(B31,REFCE!A:D,3,FALSE)))</f>
        <v>Mixed Metals</v>
      </c>
      <c r="H31" s="77">
        <f>IF(B31="",0,VLOOKUP(B31,REFCE!A:D,2,FALSE))</f>
        <v>2.5000000000000001E-2</v>
      </c>
      <c r="I31" s="77">
        <f t="shared" ref="I31" si="30">F31*H31</f>
        <v>0</v>
      </c>
    </row>
    <row r="32" spans="1:9" x14ac:dyDescent="0.25">
      <c r="A32" s="1" t="s">
        <v>127</v>
      </c>
      <c r="B32" s="1" t="s">
        <v>127</v>
      </c>
      <c r="C32" s="1">
        <f>IF(VLOOKUP(B32,PALLETS!A:C,2,FALSE)="",0,VLOOKUP(B32,PALLETS!A:C,2,FALSE))</f>
        <v>0</v>
      </c>
      <c r="D32" s="1">
        <f t="shared" ref="D32" si="31">IF(C32="",0,C32)</f>
        <v>0</v>
      </c>
      <c r="E32" s="62">
        <f>IF(VLOOKUP(B32,PALLETS!A:C,3,FALSE)=0,0,(VLOOKUP(B32,PALLETS!A:C,3,FALSE))/D32)</f>
        <v>0</v>
      </c>
      <c r="F32" s="5">
        <f t="shared" ref="F32" si="32">D32*E32</f>
        <v>0</v>
      </c>
      <c r="G32" s="1" t="str">
        <f>IF(ISNA(VLOOKUP(B32,REFCE!A:D,3,FALSE)),"",(VLOOKUP(B32,REFCE!A:D,3,FALSE)))</f>
        <v>Steel</v>
      </c>
      <c r="H32" s="77">
        <f>IF(B32="",0,VLOOKUP(B32,REFCE!A:D,2,FALSE))</f>
        <v>2.5000000000000001E-2</v>
      </c>
      <c r="I32" s="77">
        <f t="shared" ref="I32" si="33">F32*H32</f>
        <v>0</v>
      </c>
    </row>
    <row r="33" spans="1:9" x14ac:dyDescent="0.25">
      <c r="A33" s="1" t="s">
        <v>77</v>
      </c>
      <c r="B33" s="1" t="s">
        <v>77</v>
      </c>
      <c r="C33" s="1">
        <f>IF(VLOOKUP(B33,PALLETS!A:C,2,FALSE)="",0,VLOOKUP(B33,PALLETS!A:C,2,FALSE))</f>
        <v>0</v>
      </c>
      <c r="D33" s="1">
        <f t="shared" si="2"/>
        <v>0</v>
      </c>
      <c r="E33" s="62">
        <f>IF(VLOOKUP(B33,PALLETS!A:C,3,FALSE)=0,0,(VLOOKUP(B33,PALLETS!A:C,3,FALSE))/D33)</f>
        <v>0</v>
      </c>
      <c r="F33" s="5">
        <f t="shared" ref="F33" si="34">D33*E33</f>
        <v>0</v>
      </c>
      <c r="G33" s="1" t="str">
        <f>IF(ISNA(VLOOKUP(B33,REFCE!A:D,3,FALSE)),"",(VLOOKUP(B33,REFCE!A:D,3,FALSE)))</f>
        <v>E-Waste</v>
      </c>
      <c r="H33" s="77">
        <f>IF(B33="",0,VLOOKUP(B33,REFCE!A:D,2,FALSE))</f>
        <v>2.5000000000000001E-2</v>
      </c>
      <c r="I33" s="77">
        <f t="shared" ref="I33" si="35">F33*H33</f>
        <v>0</v>
      </c>
    </row>
    <row r="34" spans="1:9" x14ac:dyDescent="0.25">
      <c r="A34" s="1" t="s">
        <v>200</v>
      </c>
      <c r="B34" s="1" t="s">
        <v>200</v>
      </c>
      <c r="C34" s="1">
        <f>IF(VLOOKUP(B34,PALLETS!A:C,2,FALSE)="",0,VLOOKUP(B34,PALLETS!A:C,2,FALSE))</f>
        <v>0</v>
      </c>
      <c r="D34" s="1">
        <f t="shared" ref="D34" si="36">IF(C34="",0,C34)</f>
        <v>0</v>
      </c>
      <c r="E34" s="62">
        <f>IF(VLOOKUP(B34,PALLETS!A:C,3,FALSE)=0,0,(VLOOKUP(B34,PALLETS!A:C,3,FALSE))/D34)</f>
        <v>0</v>
      </c>
      <c r="F34" s="5">
        <f t="shared" ref="F34" si="37">D34*E34</f>
        <v>0</v>
      </c>
      <c r="G34" s="1" t="str">
        <f>IF(ISNA(VLOOKUP(B34,REFCE!A:D,3,FALSE)),"",(VLOOKUP(B34,REFCE!A:D,3,FALSE)))</f>
        <v>Mixed Metals</v>
      </c>
      <c r="H34" s="77">
        <f>IF(B34="",0,VLOOKUP(B34,REFCE!A:D,2,FALSE))</f>
        <v>2.5000000000000001E-2</v>
      </c>
      <c r="I34" s="77">
        <f t="shared" ref="I34" si="38">F34*H34</f>
        <v>0</v>
      </c>
    </row>
    <row r="35" spans="1:9" x14ac:dyDescent="0.25">
      <c r="A35" s="56" t="s">
        <v>46</v>
      </c>
      <c r="B35" s="1" t="s">
        <v>46</v>
      </c>
      <c r="C35" s="1">
        <f>IF(VLOOKUP(B35,PALLETS!A:C,2,FALSE)="",0,VLOOKUP(B35,PALLETS!A:C,2,FALSE))</f>
        <v>0</v>
      </c>
      <c r="D35" s="1">
        <f t="shared" si="2"/>
        <v>0</v>
      </c>
      <c r="E35" s="62">
        <f>IF(VLOOKUP(B35,PALLETS!A:C,3,FALSE)=0,0,(VLOOKUP(B35,PALLETS!A:C,3,FALSE))/D35)</f>
        <v>0</v>
      </c>
      <c r="F35" s="5">
        <f>D35*E35</f>
        <v>0</v>
      </c>
      <c r="G35" s="1" t="str">
        <f>IF(ISNA(VLOOKUP(B35,REFCE!A:D,3,FALSE)),"",(VLOOKUP(B35,REFCE!A:D,3,FALSE)))</f>
        <v>Aluminum</v>
      </c>
      <c r="H35" s="77">
        <f>IF(B35="",0,VLOOKUP(B35,REFCE!A:D,2,FALSE))</f>
        <v>2.5000000000000001E-2</v>
      </c>
      <c r="I35" s="77">
        <f>F35*H35</f>
        <v>0</v>
      </c>
    </row>
    <row r="36" spans="1:9" x14ac:dyDescent="0.25">
      <c r="A36" s="56" t="s">
        <v>74</v>
      </c>
      <c r="B36" s="1" t="s">
        <v>74</v>
      </c>
      <c r="C36" s="1">
        <f>IF(VLOOKUP(B36,PALLETS!A:C,2,FALSE)="",0,VLOOKUP(B36,PALLETS!A:C,2,FALSE))</f>
        <v>0</v>
      </c>
      <c r="D36" s="1">
        <f t="shared" si="2"/>
        <v>0</v>
      </c>
      <c r="E36" s="62">
        <f>IF(VLOOKUP(B36,PALLETS!A:C,3,FALSE)=0,0,(VLOOKUP(B36,PALLETS!A:C,3,FALSE))/D36)</f>
        <v>0</v>
      </c>
      <c r="F36" s="5">
        <f t="shared" ref="F36" si="39">D36*E36</f>
        <v>0</v>
      </c>
      <c r="G36" s="1" t="str">
        <f>IF(ISNA(VLOOKUP(B36,REFCE!A:D,3,FALSE)),"",(VLOOKUP(B36,REFCE!A:D,3,FALSE)))</f>
        <v>Aluminum</v>
      </c>
      <c r="H36" s="77">
        <f>IF(B36="",0,VLOOKUP(B36,REFCE!A:D,2,FALSE))</f>
        <v>2.5000000000000001E-2</v>
      </c>
      <c r="I36" s="77">
        <f t="shared" ref="I36" si="40">F36*H36</f>
        <v>0</v>
      </c>
    </row>
    <row r="37" spans="1:9" x14ac:dyDescent="0.25">
      <c r="A37" s="56" t="s">
        <v>193</v>
      </c>
      <c r="B37" s="1" t="s">
        <v>193</v>
      </c>
      <c r="C37" s="1">
        <f>IF(VLOOKUP(B37,PALLETS!A:C,2,FALSE)="",0,VLOOKUP(B37,PALLETS!A:C,2,FALSE))</f>
        <v>0</v>
      </c>
      <c r="D37" s="1">
        <f t="shared" ref="D37" si="41">IF(C37="",0,C37)</f>
        <v>0</v>
      </c>
      <c r="E37" s="62">
        <f>IF(VLOOKUP(B37,PALLETS!A:C,3,FALSE)=0,0,(VLOOKUP(B37,PALLETS!A:C,3,FALSE))/D37)</f>
        <v>0</v>
      </c>
      <c r="F37" s="5">
        <f t="shared" ref="F37" si="42">D37*E37</f>
        <v>0</v>
      </c>
      <c r="G37" s="1" t="str">
        <f>IF(ISNA(VLOOKUP(B37,REFCE!A:D,3,FALSE)),"",(VLOOKUP(B37,REFCE!A:D,3,FALSE)))</f>
        <v>Mixed Metals</v>
      </c>
      <c r="H37" s="77">
        <f>IF(B37="",0,VLOOKUP(B37,REFCE!A:D,2,FALSE))</f>
        <v>2.5000000000000001E-2</v>
      </c>
      <c r="I37" s="77">
        <f t="shared" ref="I37" si="43">F37*H37</f>
        <v>0</v>
      </c>
    </row>
    <row r="38" spans="1:9" x14ac:dyDescent="0.25">
      <c r="A38" s="1" t="s">
        <v>262</v>
      </c>
      <c r="B38" s="1" t="s">
        <v>262</v>
      </c>
      <c r="C38" s="1">
        <f>IF(VLOOKUP(B38,PALLETS!A:C,2,FALSE)="",0,VLOOKUP(B38,PALLETS!A:C,2,FALSE))</f>
        <v>0</v>
      </c>
      <c r="D38" s="1">
        <f t="shared" ref="D38:D49" si="44">IF(C38="",0,C38)</f>
        <v>0</v>
      </c>
      <c r="E38" s="62">
        <f>IF(VLOOKUP(B38,PALLETS!A:C,3,FALSE)=0,0,(VLOOKUP(B38,PALLETS!A:C,3,FALSE))/D38)</f>
        <v>0</v>
      </c>
      <c r="F38" s="5">
        <f t="shared" ref="F38:F49" si="45">D38*E38</f>
        <v>0</v>
      </c>
      <c r="G38" s="1" t="str">
        <f>IF(ISNA(VLOOKUP(B38,REFCE!A:D,3,FALSE)),"",(VLOOKUP(B38,REFCE!A:D,3,FALSE)))</f>
        <v>Steel</v>
      </c>
      <c r="H38" s="77">
        <f>IF(B38="",0,VLOOKUP(B38,REFCE!A:D,2,FALSE))</f>
        <v>2.5000000000000001E-2</v>
      </c>
      <c r="I38" s="77">
        <f t="shared" ref="I38:I49" si="46">F38*H38</f>
        <v>0</v>
      </c>
    </row>
    <row r="39" spans="1:9" x14ac:dyDescent="0.25">
      <c r="A39" s="56" t="s">
        <v>73</v>
      </c>
      <c r="B39" s="1" t="s">
        <v>73</v>
      </c>
      <c r="C39" s="1">
        <f>IF(VLOOKUP(B39,PALLETS!A:C,2,FALSE)="",0,VLOOKUP(B39,PALLETS!A:C,2,FALSE))</f>
        <v>0</v>
      </c>
      <c r="D39" s="1">
        <f t="shared" si="44"/>
        <v>0</v>
      </c>
      <c r="E39" s="62">
        <f>IF(VLOOKUP(B39,PALLETS!A:C,3,FALSE)=0,0,(VLOOKUP(B39,PALLETS!A:C,3,FALSE))/D39)</f>
        <v>0</v>
      </c>
      <c r="F39" s="5">
        <f t="shared" si="45"/>
        <v>0</v>
      </c>
      <c r="G39" s="1" t="str">
        <f>IF(ISNA(VLOOKUP(B39,REFCE!A:D,3,FALSE)),"",(VLOOKUP(B39,REFCE!A:D,3,FALSE)))</f>
        <v>Mixed Metals</v>
      </c>
      <c r="H39" s="77">
        <f>IF(B39="",0,VLOOKUP(B39,REFCE!A:D,2,FALSE))</f>
        <v>2.5000000000000001E-2</v>
      </c>
      <c r="I39" s="77">
        <f t="shared" si="46"/>
        <v>0</v>
      </c>
    </row>
    <row r="40" spans="1:9" x14ac:dyDescent="0.25">
      <c r="A40" s="56" t="s">
        <v>45</v>
      </c>
      <c r="B40" s="1" t="s">
        <v>45</v>
      </c>
      <c r="C40" s="1">
        <f>IF(VLOOKUP(B40,PALLETS!A:C,2,FALSE)="",0,VLOOKUP(B40,PALLETS!A:C,2,FALSE))</f>
        <v>0</v>
      </c>
      <c r="D40" s="1">
        <f t="shared" si="44"/>
        <v>0</v>
      </c>
      <c r="E40" s="62">
        <f>IF(VLOOKUP(B40,PALLETS!A:C,3,FALSE)=0,0,(VLOOKUP(B40,PALLETS!A:C,3,FALSE))/D40)</f>
        <v>0</v>
      </c>
      <c r="F40" s="5">
        <f t="shared" si="45"/>
        <v>0</v>
      </c>
      <c r="G40" s="1" t="str">
        <f>IF(ISNA(VLOOKUP(B40,REFCE!A:D,3,FALSE)),"",(VLOOKUP(B40,REFCE!A:D,3,FALSE)))</f>
        <v>Aluminum</v>
      </c>
      <c r="H40" s="77">
        <f>IF(B40="",0,VLOOKUP(B40,REFCE!A:D,2,FALSE))</f>
        <v>2.5000000000000001E-2</v>
      </c>
      <c r="I40" s="77">
        <f t="shared" si="46"/>
        <v>0</v>
      </c>
    </row>
    <row r="41" spans="1:9" x14ac:dyDescent="0.25">
      <c r="A41" s="56" t="s">
        <v>204</v>
      </c>
      <c r="B41" s="1" t="s">
        <v>204</v>
      </c>
      <c r="C41" s="1">
        <f>IF(VLOOKUP(B41,PALLETS!A:C,2,FALSE)="",0,VLOOKUP(B41,PALLETS!A:C,2,FALSE))</f>
        <v>0</v>
      </c>
      <c r="D41" s="1">
        <f t="shared" si="44"/>
        <v>0</v>
      </c>
      <c r="E41" s="62">
        <f>IF(VLOOKUP(B41,PALLETS!A:C,3,FALSE)=0,0,(VLOOKUP(B41,PALLETS!A:C,3,FALSE))/D41)</f>
        <v>0</v>
      </c>
      <c r="F41" s="5">
        <f t="shared" si="45"/>
        <v>0</v>
      </c>
      <c r="G41" s="1" t="str">
        <f>IF(ISNA(VLOOKUP(B41,REFCE!A:D,3,FALSE)),"",(VLOOKUP(B41,REFCE!A:D,3,FALSE)))</f>
        <v>Mixed Metals</v>
      </c>
      <c r="H41" s="77">
        <f>IF(B41="",0,VLOOKUP(B41,REFCE!A:D,2,FALSE))</f>
        <v>2.5000000000000001E-2</v>
      </c>
      <c r="I41" s="77">
        <f t="shared" si="46"/>
        <v>0</v>
      </c>
    </row>
    <row r="42" spans="1:9" x14ac:dyDescent="0.25">
      <c r="A42" s="56" t="s">
        <v>250</v>
      </c>
      <c r="B42" s="56" t="s">
        <v>250</v>
      </c>
      <c r="C42" s="1">
        <f>IF(VLOOKUP(B42,PALLETS!A:C,2,FALSE)="",0,VLOOKUP(B42,PALLETS!A:C,2,FALSE))</f>
        <v>0</v>
      </c>
      <c r="D42" s="1">
        <f t="shared" si="44"/>
        <v>0</v>
      </c>
      <c r="E42" s="62">
        <f>IF(VLOOKUP(B42,PALLETS!A:C,3,FALSE)=0,0,(VLOOKUP(B42,PALLETS!A:C,3,FALSE))/D42)</f>
        <v>0</v>
      </c>
      <c r="F42" s="5">
        <f t="shared" si="45"/>
        <v>0</v>
      </c>
      <c r="G42" s="1" t="str">
        <f>IF(ISNA(VLOOKUP(B42,REFCE!A:D,3,FALSE)),"",(VLOOKUP(B42,REFCE!A:D,3,FALSE)))</f>
        <v>Steel</v>
      </c>
      <c r="H42" s="77">
        <f>IF(B42="",0,VLOOKUP(B42,REFCE!A:D,2,FALSE))</f>
        <v>2.5000000000000001E-2</v>
      </c>
      <c r="I42" s="77">
        <f t="shared" si="46"/>
        <v>0</v>
      </c>
    </row>
    <row r="43" spans="1:9" x14ac:dyDescent="0.25">
      <c r="A43" s="1" t="s">
        <v>272</v>
      </c>
      <c r="B43" s="1" t="s">
        <v>272</v>
      </c>
      <c r="C43" s="1">
        <f>IF(VLOOKUP(B43,PALLETS!A:C,2,FALSE)="",0,VLOOKUP(B43,PALLETS!A:C,2,FALSE))</f>
        <v>0</v>
      </c>
      <c r="D43" s="1">
        <f t="shared" si="44"/>
        <v>0</v>
      </c>
      <c r="E43" s="62">
        <f>IF(VLOOKUP(B43,PALLETS!A:C,3,FALSE)=0,0,(VLOOKUP(B43,PALLETS!A:C,3,FALSE))/D43)</f>
        <v>0</v>
      </c>
      <c r="F43" s="5">
        <f t="shared" si="45"/>
        <v>0</v>
      </c>
      <c r="G43" s="1" t="str">
        <f>IF(ISNA(VLOOKUP(B43,REFCE!A:D,3,FALSE)),"",(VLOOKUP(B43,REFCE!A:D,3,FALSE)))</f>
        <v>Mixed Metals</v>
      </c>
      <c r="H43" s="77">
        <f>IF(B43="",0,VLOOKUP(B43,REFCE!A:D,2,FALSE))</f>
        <v>2.5000000000000001E-2</v>
      </c>
      <c r="I43" s="77">
        <f t="shared" si="46"/>
        <v>0</v>
      </c>
    </row>
    <row r="44" spans="1:9" x14ac:dyDescent="0.25">
      <c r="A44" s="1" t="s">
        <v>263</v>
      </c>
      <c r="B44" s="1" t="s">
        <v>263</v>
      </c>
      <c r="C44" s="1">
        <f>IF(VLOOKUP(B44,PALLETS!A:C,2,FALSE)="",0,VLOOKUP(B44,PALLETS!A:C,2,FALSE))</f>
        <v>0</v>
      </c>
      <c r="D44" s="1">
        <f t="shared" si="44"/>
        <v>0</v>
      </c>
      <c r="E44" s="62">
        <f>IF(VLOOKUP(B44,PALLETS!A:C,3,FALSE)=0,0,(VLOOKUP(B44,PALLETS!A:C,3,FALSE))/D44)</f>
        <v>0</v>
      </c>
      <c r="F44" s="5">
        <f t="shared" si="45"/>
        <v>0</v>
      </c>
      <c r="G44" s="1" t="str">
        <f>IF(ISNA(VLOOKUP(B44,REFCE!A:D,3,FALSE)),"",(VLOOKUP(B44,REFCE!A:D,3,FALSE)))</f>
        <v>Mixed Metals</v>
      </c>
      <c r="H44" s="77">
        <f>IF(B44="",0,VLOOKUP(B44,REFCE!A:D,2,FALSE))</f>
        <v>2.5000000000000001E-2</v>
      </c>
      <c r="I44" s="77">
        <f t="shared" si="46"/>
        <v>0</v>
      </c>
    </row>
    <row r="45" spans="1:9" x14ac:dyDescent="0.25">
      <c r="A45" s="56" t="s">
        <v>47</v>
      </c>
      <c r="B45" s="1" t="s">
        <v>47</v>
      </c>
      <c r="C45" s="1">
        <f>IF(VLOOKUP(B45,PALLETS!A:C,2,FALSE)="",0,VLOOKUP(B45,PALLETS!A:C,2,FALSE))</f>
        <v>0</v>
      </c>
      <c r="D45" s="1">
        <f t="shared" si="44"/>
        <v>0</v>
      </c>
      <c r="E45" s="62">
        <f>IF(VLOOKUP(B45,PALLETS!A:C,3,FALSE)=0,0,(VLOOKUP(B45,PALLETS!A:C,3,FALSE))/D45)</f>
        <v>0</v>
      </c>
      <c r="F45" s="5">
        <f t="shared" si="45"/>
        <v>0</v>
      </c>
      <c r="G45" s="1" t="str">
        <f>IF(ISNA(VLOOKUP(B45,REFCE!A:D,3,FALSE)),"",(VLOOKUP(B45,REFCE!A:D,3,FALSE)))</f>
        <v>Steel</v>
      </c>
      <c r="H45" s="77">
        <f>IF(B45="",0,VLOOKUP(B45,REFCE!A:D,2,FALSE))</f>
        <v>2.5000000000000001E-2</v>
      </c>
      <c r="I45" s="77">
        <f t="shared" si="46"/>
        <v>0</v>
      </c>
    </row>
    <row r="46" spans="1:9" x14ac:dyDescent="0.25">
      <c r="A46" s="56" t="s">
        <v>48</v>
      </c>
      <c r="B46" s="1" t="s">
        <v>48</v>
      </c>
      <c r="C46" s="1">
        <f>IF(VLOOKUP(B46,PALLETS!A:C,2,FALSE)="",0,VLOOKUP(B46,PALLETS!A:C,2,FALSE))</f>
        <v>0</v>
      </c>
      <c r="D46" s="1">
        <f t="shared" si="44"/>
        <v>0</v>
      </c>
      <c r="E46" s="62">
        <f>IF(VLOOKUP(B46,PALLETS!A:C,3,FALSE)=0,0,(VLOOKUP(B46,PALLETS!A:C,3,FALSE))/D46)</f>
        <v>0</v>
      </c>
      <c r="F46" s="5">
        <f t="shared" si="45"/>
        <v>0</v>
      </c>
      <c r="G46" s="1" t="str">
        <f>IF(ISNA(VLOOKUP(B46,REFCE!A:D,3,FALSE)),"",(VLOOKUP(B46,REFCE!A:D,3,FALSE)))</f>
        <v>Steel</v>
      </c>
      <c r="H46" s="77">
        <f>IF(B46="",0,VLOOKUP(B46,REFCE!A:D,2,FALSE))</f>
        <v>2.5000000000000001E-2</v>
      </c>
      <c r="I46" s="77">
        <f t="shared" si="46"/>
        <v>0</v>
      </c>
    </row>
    <row r="47" spans="1:9" x14ac:dyDescent="0.25">
      <c r="A47" s="56" t="s">
        <v>49</v>
      </c>
      <c r="B47" s="1" t="s">
        <v>49</v>
      </c>
      <c r="C47" s="1">
        <f>IF(VLOOKUP(B47,PALLETS!A:C,2,FALSE)="",0,VLOOKUP(B47,PALLETS!A:C,2,FALSE))</f>
        <v>0</v>
      </c>
      <c r="D47" s="1">
        <f t="shared" si="44"/>
        <v>0</v>
      </c>
      <c r="E47" s="62">
        <f>IF(VLOOKUP(B47,PALLETS!A:C,3,FALSE)=0,0,(VLOOKUP(B47,PALLETS!A:C,3,FALSE))/D47)</f>
        <v>0</v>
      </c>
      <c r="F47" s="5">
        <f t="shared" si="45"/>
        <v>0</v>
      </c>
      <c r="G47" s="1" t="str">
        <f>IF(ISNA(VLOOKUP(B47,REFCE!A:D,3,FALSE)),"",(VLOOKUP(B47,REFCE!A:D,3,FALSE)))</f>
        <v>Aluminum</v>
      </c>
      <c r="H47" s="77">
        <f>IF(B47="",0,VLOOKUP(B47,REFCE!A:D,2,FALSE))</f>
        <v>2.5000000000000001E-2</v>
      </c>
      <c r="I47" s="77">
        <f t="shared" si="46"/>
        <v>0</v>
      </c>
    </row>
    <row r="48" spans="1:9" x14ac:dyDescent="0.25">
      <c r="A48" s="56" t="s">
        <v>253</v>
      </c>
      <c r="B48" s="1" t="s">
        <v>253</v>
      </c>
      <c r="C48" s="1">
        <f>IF(VLOOKUP(B48,PALLETS!A:C,2,FALSE)="",0,VLOOKUP(B48,PALLETS!A:C,2,FALSE))</f>
        <v>0</v>
      </c>
      <c r="D48" s="1">
        <f t="shared" si="44"/>
        <v>0</v>
      </c>
      <c r="E48" s="62">
        <f>IF(VLOOKUP(B48,PALLETS!A:C,3,FALSE)=0,0,(VLOOKUP(B48,PALLETS!A:C,3,FALSE))/D48)</f>
        <v>0</v>
      </c>
      <c r="F48" s="5">
        <f t="shared" si="45"/>
        <v>0</v>
      </c>
      <c r="G48" s="1" t="str">
        <f>IF(ISNA(VLOOKUP(B48,REFCE!A:D,3,FALSE)),"",(VLOOKUP(B48,REFCE!A:D,3,FALSE)))</f>
        <v>Mixed Metals</v>
      </c>
      <c r="H48" s="77">
        <f>IF(B48="",0,VLOOKUP(B48,REFCE!A:D,2,FALSE))</f>
        <v>2.5000000000000001E-2</v>
      </c>
      <c r="I48" s="77">
        <f t="shared" si="46"/>
        <v>0</v>
      </c>
    </row>
    <row r="49" spans="1:9" x14ac:dyDescent="0.25">
      <c r="A49" s="1" t="s">
        <v>195</v>
      </c>
      <c r="B49" s="1" t="s">
        <v>195</v>
      </c>
      <c r="C49" s="1">
        <f>IF(VLOOKUP(B49,PALLETS!A:C,2,FALSE)="",0,VLOOKUP(B49,PALLETS!A:C,2,FALSE))</f>
        <v>0</v>
      </c>
      <c r="D49" s="1">
        <f t="shared" si="44"/>
        <v>0</v>
      </c>
      <c r="E49" s="62">
        <f>IF(VLOOKUP(B49,PALLETS!A:C,3,FALSE)=0,0,(VLOOKUP(B49,PALLETS!A:C,3,FALSE))/D49)</f>
        <v>0</v>
      </c>
      <c r="F49" s="5">
        <f t="shared" si="45"/>
        <v>0</v>
      </c>
      <c r="G49" s="1" t="str">
        <f>IF(ISNA(VLOOKUP(B49,REFCE!A:D,3,FALSE)),"",(VLOOKUP(B49,REFCE!A:D,3,FALSE)))</f>
        <v>E-Waste</v>
      </c>
      <c r="H49" s="77">
        <f>IF(B49="",0,VLOOKUP(B49,REFCE!A:D,2,FALSE))</f>
        <v>2.5000000000000001E-2</v>
      </c>
      <c r="I49" s="77">
        <f t="shared" si="46"/>
        <v>0</v>
      </c>
    </row>
    <row r="50" spans="1:9" x14ac:dyDescent="0.25">
      <c r="A50" s="56" t="s">
        <v>50</v>
      </c>
      <c r="B50" s="1" t="s">
        <v>50</v>
      </c>
      <c r="C50" s="1">
        <f>IF(VLOOKUP(B50,PALLETS!A:C,2,FALSE)="",0,VLOOKUP(B50,PALLETS!A:C,2,FALSE))</f>
        <v>0</v>
      </c>
      <c r="D50" s="1">
        <f t="shared" si="2"/>
        <v>0</v>
      </c>
      <c r="E50" s="62">
        <f>IF(VLOOKUP(B50,PALLETS!A:C,3,FALSE)=0,0,(VLOOKUP(B50,PALLETS!A:C,3,FALSE))/D50)</f>
        <v>0</v>
      </c>
      <c r="F50" s="5">
        <f>D50*E50</f>
        <v>0</v>
      </c>
      <c r="G50" s="1" t="str">
        <f>IF(ISNA(VLOOKUP(B50,REFCE!A:D,3,FALSE)),"",(VLOOKUP(B50,REFCE!A:D,3,FALSE)))</f>
        <v>Mixed Metals</v>
      </c>
      <c r="H50" s="77">
        <f>IF(B50="",0,VLOOKUP(B50,REFCE!A:D,2,FALSE))</f>
        <v>2.5000000000000001E-2</v>
      </c>
      <c r="I50" s="77">
        <f>F50*H50</f>
        <v>0</v>
      </c>
    </row>
    <row r="51" spans="1:9" x14ac:dyDescent="0.25">
      <c r="A51" s="56" t="s">
        <v>51</v>
      </c>
      <c r="B51" s="1" t="s">
        <v>51</v>
      </c>
      <c r="C51" s="1">
        <f>IF(VLOOKUP(B51,PALLETS!A:C,2,FALSE)="",0,VLOOKUP(B51,PALLETS!A:C,2,FALSE))</f>
        <v>0</v>
      </c>
      <c r="D51" s="1">
        <f t="shared" si="2"/>
        <v>0</v>
      </c>
      <c r="E51" s="62">
        <f>IF(VLOOKUP(B51,PALLETS!A:C,3,FALSE)=0,0,(VLOOKUP(B51,PALLETS!A:C,3,FALSE))/D51)</f>
        <v>0</v>
      </c>
      <c r="F51" s="5">
        <f>D51*E51</f>
        <v>0</v>
      </c>
      <c r="G51" s="1" t="str">
        <f>IF(ISNA(VLOOKUP(B51,REFCE!A:D,3,FALSE)),"",(VLOOKUP(B51,REFCE!A:D,3,FALSE)))</f>
        <v>Steel</v>
      </c>
      <c r="H51" s="77">
        <f>IF(B51="",0,VLOOKUP(B51,REFCE!A:D,2,FALSE))</f>
        <v>2.5000000000000001E-2</v>
      </c>
      <c r="I51" s="77">
        <f>F51*H51</f>
        <v>0</v>
      </c>
    </row>
    <row r="52" spans="1:9" x14ac:dyDescent="0.25">
      <c r="A52" s="1" t="s">
        <v>76</v>
      </c>
      <c r="B52" s="1" t="s">
        <v>76</v>
      </c>
      <c r="C52" s="1">
        <f>IF(VLOOKUP(B52,PALLETS!A:C,2,FALSE)="",0,VLOOKUP(B52,PALLETS!A:C,2,FALSE))</f>
        <v>0</v>
      </c>
      <c r="D52" s="1">
        <f t="shared" si="2"/>
        <v>0</v>
      </c>
      <c r="E52" s="62">
        <f>IF(VLOOKUP(B52,PALLETS!A:C,3,FALSE)=0,0,(VLOOKUP(B52,PALLETS!A:C,3,FALSE))/D52)</f>
        <v>0</v>
      </c>
      <c r="F52" s="5">
        <f t="shared" ref="F52" si="47">D52*E52</f>
        <v>0</v>
      </c>
      <c r="G52" s="1" t="str">
        <f>IF(ISNA(VLOOKUP(B52,REFCE!A:D,3,FALSE)),"",(VLOOKUP(B52,REFCE!A:D,3,FALSE)))</f>
        <v>Mixed Metals</v>
      </c>
      <c r="H52" s="77">
        <f>IF(B52="",0,VLOOKUP(B52,REFCE!A:D,2,FALSE))</f>
        <v>2.5000000000000001E-2</v>
      </c>
      <c r="I52" s="77">
        <f t="shared" ref="I52" si="48">F52*H52</f>
        <v>0</v>
      </c>
    </row>
    <row r="53" spans="1:9" x14ac:dyDescent="0.25">
      <c r="A53" s="1" t="s">
        <v>78</v>
      </c>
      <c r="B53" s="1" t="s">
        <v>78</v>
      </c>
      <c r="C53" s="1">
        <f>IF(VLOOKUP(B53,PALLETS!A:C,2,FALSE)="",0,VLOOKUP(B53,PALLETS!A:C,2,FALSE))</f>
        <v>0</v>
      </c>
      <c r="D53" s="1">
        <f t="shared" ref="D53" si="49">IF(C53="",0,C53)</f>
        <v>0</v>
      </c>
      <c r="E53" s="62">
        <f>IF(VLOOKUP(B53,PALLETS!A:C,3,FALSE)=0,0,(VLOOKUP(B53,PALLETS!A:C,3,FALSE))/D53)</f>
        <v>0</v>
      </c>
      <c r="F53" s="5">
        <f t="shared" ref="F53" si="50">D53*E53</f>
        <v>0</v>
      </c>
      <c r="G53" s="1" t="str">
        <f>IF(ISNA(VLOOKUP(B53,REFCE!A:D,3,FALSE)),"",(VLOOKUP(B53,REFCE!A:D,3,FALSE)))</f>
        <v>Steel</v>
      </c>
      <c r="H53" s="77">
        <f>IF(B53="",0,VLOOKUP(B53,REFCE!A:D,2,FALSE))</f>
        <v>2.5000000000000001E-2</v>
      </c>
      <c r="I53" s="77">
        <f t="shared" ref="I53" si="51">F53*H53</f>
        <v>0</v>
      </c>
    </row>
    <row r="54" spans="1:9" x14ac:dyDescent="0.25">
      <c r="A54" s="1" t="s">
        <v>135</v>
      </c>
      <c r="B54" s="1" t="s">
        <v>135</v>
      </c>
      <c r="C54" s="1">
        <f>IF(VLOOKUP(B54,PALLETS!A:C,2,FALSE)="",0,VLOOKUP(B54,PALLETS!A:C,2,FALSE))</f>
        <v>0</v>
      </c>
      <c r="D54" s="1">
        <f t="shared" ref="D54" si="52">IF(C54="",0,C54)</f>
        <v>0</v>
      </c>
      <c r="E54" s="62">
        <f>IF(VLOOKUP(B54,PALLETS!A:C,3,FALSE)=0,0,(VLOOKUP(B54,PALLETS!A:C,3,FALSE))/D54)</f>
        <v>0</v>
      </c>
      <c r="F54" s="5">
        <f t="shared" ref="F54" si="53">D54*E54</f>
        <v>0</v>
      </c>
      <c r="G54" s="1" t="str">
        <f>IF(ISNA(VLOOKUP(B54,REFCE!A:D,3,FALSE)),"",(VLOOKUP(B54,REFCE!A:D,3,FALSE)))</f>
        <v>Aluminum</v>
      </c>
      <c r="H54" s="77">
        <f>IF(B54="",0,VLOOKUP(B54,REFCE!A:D,2,FALSE))</f>
        <v>2.5000000000000001E-2</v>
      </c>
      <c r="I54" s="77">
        <f t="shared" ref="I54" si="54">F54*H54</f>
        <v>0</v>
      </c>
    </row>
    <row r="55" spans="1:9" x14ac:dyDescent="0.25">
      <c r="A55" s="56" t="s">
        <v>52</v>
      </c>
      <c r="B55" s="1" t="s">
        <v>52</v>
      </c>
      <c r="C55" s="1">
        <f>IF(VLOOKUP(B55,PALLETS!A:C,2,FALSE)="",0,VLOOKUP(B55,PALLETS!A:C,2,FALSE))</f>
        <v>0</v>
      </c>
      <c r="D55" s="1">
        <f t="shared" si="2"/>
        <v>0</v>
      </c>
      <c r="E55" s="62">
        <f>IF(VLOOKUP(B55,PALLETS!A:C,3,FALSE)=0,0,(VLOOKUP(B55,PALLETS!A:C,3,FALSE))/D55)</f>
        <v>0</v>
      </c>
      <c r="F55" s="5">
        <f>D55*E55</f>
        <v>0</v>
      </c>
      <c r="G55" s="1" t="str">
        <f>IF(ISNA(VLOOKUP(B55,REFCE!A:D,3,FALSE)),"",(VLOOKUP(B55,REFCE!A:D,3,FALSE)))</f>
        <v>Mixed Metals</v>
      </c>
      <c r="H55" s="77">
        <f>IF(B55="",0,VLOOKUP(B55,REFCE!A:D,2,FALSE))</f>
        <v>2.5000000000000001E-2</v>
      </c>
      <c r="I55" s="77">
        <f>F55*H55</f>
        <v>0</v>
      </c>
    </row>
    <row r="56" spans="1:9" x14ac:dyDescent="0.25">
      <c r="A56" s="56" t="s">
        <v>72</v>
      </c>
      <c r="B56" s="56" t="s">
        <v>72</v>
      </c>
      <c r="C56" s="1">
        <f>IF(VLOOKUP(B56,PALLETS!A:C,2,FALSE)="",0,VLOOKUP(B56,PALLETS!A:C,2,FALSE))</f>
        <v>0</v>
      </c>
      <c r="D56" s="1">
        <f t="shared" ref="D56" si="55">IF(C56="",0,C56)</f>
        <v>0</v>
      </c>
      <c r="E56" s="62">
        <f>IF(VLOOKUP(B56,PALLETS!A:C,3,FALSE)=0,0,(VLOOKUP(B56,PALLETS!A:C,3,FALSE))/D56)</f>
        <v>0</v>
      </c>
      <c r="F56" s="5">
        <f>D56*E56</f>
        <v>0</v>
      </c>
      <c r="G56" s="1" t="str">
        <f>IF(ISNA(VLOOKUP(B56,REFCE!A:D,3,FALSE)),"",(VLOOKUP(B56,REFCE!A:D,3,FALSE)))</f>
        <v>Mixed Metals</v>
      </c>
      <c r="H56" s="77">
        <f>IF(B56="",0,VLOOKUP(B56,REFCE!A:D,2,FALSE))</f>
        <v>2.5000000000000001E-2</v>
      </c>
      <c r="I56" s="77">
        <f>F56*H56</f>
        <v>0</v>
      </c>
    </row>
    <row r="57" spans="1:9" x14ac:dyDescent="0.25">
      <c r="A57" s="56" t="s">
        <v>53</v>
      </c>
      <c r="B57" s="1" t="s">
        <v>53</v>
      </c>
      <c r="C57" s="1">
        <f>IF(VLOOKUP(B57,PALLETS!A:C,2,FALSE)="",0,VLOOKUP(B57,PALLETS!A:C,2,FALSE))</f>
        <v>0</v>
      </c>
      <c r="D57" s="1">
        <f t="shared" si="2"/>
        <v>0</v>
      </c>
      <c r="E57" s="62">
        <f>IF(VLOOKUP(B57,PALLETS!A:C,3,FALSE)=0,0,(VLOOKUP(B57,PALLETS!A:C,3,FALSE))/D57)</f>
        <v>0</v>
      </c>
      <c r="F57" s="5">
        <f>D57*E57</f>
        <v>0</v>
      </c>
      <c r="G57" s="1" t="str">
        <f>IF(ISNA(VLOOKUP(B57,REFCE!A:D,3,FALSE)),"",(VLOOKUP(B57,REFCE!A:D,3,FALSE)))</f>
        <v>Steel</v>
      </c>
      <c r="H57" s="77">
        <f>IF(B57="",0,VLOOKUP(B57,REFCE!A:D,2,FALSE))</f>
        <v>2.5000000000000001E-2</v>
      </c>
      <c r="I57" s="77">
        <f>F57*H57</f>
        <v>0</v>
      </c>
    </row>
    <row r="58" spans="1:9" x14ac:dyDescent="0.25">
      <c r="A58" s="56" t="s">
        <v>254</v>
      </c>
      <c r="B58" s="1" t="s">
        <v>254</v>
      </c>
      <c r="C58" s="1">
        <f>IF(VLOOKUP(B58,PALLETS!A:C,2,FALSE)="",0,VLOOKUP(B58,PALLETS!A:C,2,FALSE))</f>
        <v>0</v>
      </c>
      <c r="D58" s="1">
        <f t="shared" si="2"/>
        <v>0</v>
      </c>
      <c r="E58" s="62">
        <f>IF(VLOOKUP(B58,PALLETS!A:C,3,FALSE)=0,0,(VLOOKUP(B58,PALLETS!A:C,3,FALSE))/D58)</f>
        <v>0</v>
      </c>
      <c r="F58" s="5">
        <f>D58*E58</f>
        <v>0</v>
      </c>
      <c r="G58" s="1" t="str">
        <f>IF(ISNA(VLOOKUP(B58,REFCE!A:D,3,FALSE)),"",(VLOOKUP(B58,REFCE!A:D,3,FALSE)))</f>
        <v>Aluminum</v>
      </c>
      <c r="H58" s="77">
        <f>IF(B58="",0,VLOOKUP(B58,REFCE!A:D,2,FALSE))</f>
        <v>2.5000000000000001E-2</v>
      </c>
      <c r="I58" s="77">
        <f>F58*H58</f>
        <v>0</v>
      </c>
    </row>
    <row r="59" spans="1:9" x14ac:dyDescent="0.25">
      <c r="A59" s="56" t="s">
        <v>255</v>
      </c>
      <c r="B59" s="1" t="s">
        <v>255</v>
      </c>
      <c r="C59" s="1">
        <f>IF(VLOOKUP(B59,PALLETS!A:C,2,FALSE)="",0,VLOOKUP(B59,PALLETS!A:C,2,FALSE))</f>
        <v>0</v>
      </c>
      <c r="D59" s="1">
        <f t="shared" si="2"/>
        <v>0</v>
      </c>
      <c r="E59" s="62">
        <f>IF(VLOOKUP(B59,PALLETS!A:C,3,FALSE)=0,0,(VLOOKUP(B59,PALLETS!A:C,3,FALSE))/D59)</f>
        <v>0</v>
      </c>
      <c r="F59" s="5">
        <f>D59*E59</f>
        <v>0</v>
      </c>
      <c r="G59" s="1" t="str">
        <f>IF(ISNA(VLOOKUP(B59,REFCE!A:D,3,FALSE)),"",(VLOOKUP(B59,REFCE!A:D,3,FALSE)))</f>
        <v>Aluminum</v>
      </c>
      <c r="H59" s="77">
        <f>IF(B59="",0,VLOOKUP(B59,REFCE!A:D,2,FALSE))</f>
        <v>2.5000000000000001E-2</v>
      </c>
      <c r="I59" s="77">
        <f>F59*H59</f>
        <v>0</v>
      </c>
    </row>
    <row r="60" spans="1:9" x14ac:dyDescent="0.25">
      <c r="A60" s="56" t="s">
        <v>226</v>
      </c>
      <c r="B60" s="1" t="s">
        <v>226</v>
      </c>
      <c r="C60" s="1">
        <f>IF(VLOOKUP(B60,PALLETS!A:C,2,FALSE)="",0,VLOOKUP(B60,PALLETS!A:C,2,FALSE))</f>
        <v>0</v>
      </c>
      <c r="D60" s="1">
        <f t="shared" si="2"/>
        <v>0</v>
      </c>
      <c r="E60" s="62">
        <f>IF(VLOOKUP(B60,PALLETS!A:C,3,FALSE)=0,0,(VLOOKUP(B60,PALLETS!A:C,3,FALSE))/D60)</f>
        <v>0</v>
      </c>
      <c r="F60" s="5">
        <f t="shared" ref="F60" si="56">D60*E60</f>
        <v>0</v>
      </c>
      <c r="G60" s="1" t="str">
        <f>IF(ISNA(VLOOKUP(B60,REFCE!A:D,3,FALSE)),"",(VLOOKUP(B60,REFCE!A:D,3,FALSE)))</f>
        <v>Steel</v>
      </c>
      <c r="H60" s="77">
        <f>IF(B60="",0,VLOOKUP(B60,REFCE!A:D,2,FALSE))</f>
        <v>2.5000000000000001E-2</v>
      </c>
      <c r="I60" s="77">
        <f t="shared" ref="I60" si="57">F60*H60</f>
        <v>0</v>
      </c>
    </row>
    <row r="61" spans="1:9" x14ac:dyDescent="0.25">
      <c r="A61" s="1" t="s">
        <v>227</v>
      </c>
      <c r="B61" s="1" t="s">
        <v>227</v>
      </c>
      <c r="C61" s="1">
        <f>IF(VLOOKUP(B61,PALLETS!A:C,2,FALSE)="",0,VLOOKUP(B61,PALLETS!A:C,2,FALSE))</f>
        <v>0</v>
      </c>
      <c r="D61" s="1">
        <f t="shared" ref="D61" si="58">IF(C61="",0,C61)</f>
        <v>0</v>
      </c>
      <c r="E61" s="62">
        <f>IF(VLOOKUP(B61,PALLETS!A:C,3,FALSE)=0,0,(VLOOKUP(B61,PALLETS!A:C,3,FALSE))/D61)</f>
        <v>0</v>
      </c>
      <c r="F61" s="5">
        <f t="shared" ref="F61" si="59">D61*E61</f>
        <v>0</v>
      </c>
      <c r="G61" s="1" t="str">
        <f>IF(ISNA(VLOOKUP(B61,REFCE!A:D,3,FALSE)),"",(VLOOKUP(B61,REFCE!A:D,3,FALSE)))</f>
        <v>Steel</v>
      </c>
      <c r="H61" s="77">
        <f>IF(B61="",0,VLOOKUP(B61,REFCE!A:D,2,FALSE))</f>
        <v>2.5000000000000001E-2</v>
      </c>
      <c r="I61" s="77">
        <f t="shared" ref="I61" si="60">F61*H61</f>
        <v>0</v>
      </c>
    </row>
    <row r="62" spans="1:9" x14ac:dyDescent="0.25">
      <c r="A62" s="56" t="s">
        <v>54</v>
      </c>
      <c r="B62" s="1" t="s">
        <v>54</v>
      </c>
      <c r="C62" s="1">
        <f>IF(VLOOKUP(B62,PALLETS!A:C,2,FALSE)="",0,VLOOKUP(B62,PALLETS!A:C,2,FALSE))</f>
        <v>0</v>
      </c>
      <c r="D62" s="1">
        <f t="shared" si="2"/>
        <v>0</v>
      </c>
      <c r="E62" s="62">
        <f>IF(VLOOKUP(B62,PALLETS!A:C,3,FALSE)=0,0,(VLOOKUP(B62,PALLETS!A:C,3,FALSE))/D62)</f>
        <v>0</v>
      </c>
      <c r="F62" s="5">
        <f>D62*E62</f>
        <v>0</v>
      </c>
      <c r="G62" s="1" t="str">
        <f>IF(ISNA(VLOOKUP(B62,REFCE!A:D,3,FALSE)),"",(VLOOKUP(B62,REFCE!A:D,3,FALSE)))</f>
        <v>Mixed Metals</v>
      </c>
      <c r="H62" s="77">
        <f>IF(B62="",0,VLOOKUP(B62,REFCE!A:D,2,FALSE))</f>
        <v>2.5000000000000001E-2</v>
      </c>
      <c r="I62" s="77">
        <f>F62*H62</f>
        <v>0</v>
      </c>
    </row>
    <row r="63" spans="1:9" x14ac:dyDescent="0.25">
      <c r="A63" s="56" t="s">
        <v>9</v>
      </c>
      <c r="B63" s="1" t="s">
        <v>9</v>
      </c>
      <c r="C63" s="1">
        <f>IF(VLOOKUP(B63,PALLETS!A:C,2,FALSE)="",0,VLOOKUP(B63,PALLETS!A:C,2,FALSE))</f>
        <v>0</v>
      </c>
      <c r="D63" s="1">
        <f t="shared" ref="D63" si="61">IF(C63="",0,C63)</f>
        <v>0</v>
      </c>
      <c r="E63" s="62">
        <f>IF(VLOOKUP(B63,PALLETS!A:C,3,FALSE)=0,0,(VLOOKUP(B63,PALLETS!A:C,3,FALSE))/D63)</f>
        <v>0</v>
      </c>
      <c r="F63" s="5">
        <f>D63*E63</f>
        <v>0</v>
      </c>
      <c r="G63" s="1" t="str">
        <f>IF(ISNA(VLOOKUP(B63,REFCE!A:D,3,FALSE)),"",(VLOOKUP(B63,REFCE!A:D,3,FALSE)))</f>
        <v>Paper</v>
      </c>
      <c r="H63" s="77">
        <f>IF(B63="",0,VLOOKUP(B63,REFCE!A:D,2,FALSE))</f>
        <v>2.5000000000000001E-2</v>
      </c>
      <c r="I63" s="77">
        <f>F63*H63</f>
        <v>0</v>
      </c>
    </row>
    <row r="64" spans="1:9" x14ac:dyDescent="0.25">
      <c r="A64" s="56" t="s">
        <v>275</v>
      </c>
      <c r="B64" s="1" t="s">
        <v>275</v>
      </c>
      <c r="C64" s="1">
        <f>IF(VLOOKUP(B64,PALLETS!A:C,2,FALSE)="",0,VLOOKUP(B64,PALLETS!A:C,2,FALSE))</f>
        <v>0</v>
      </c>
      <c r="D64" s="1">
        <f t="shared" ref="D64" si="62">IF(C64="",0,C64)</f>
        <v>0</v>
      </c>
      <c r="E64" s="62">
        <f>IF(VLOOKUP(B64,PALLETS!A:C,3,FALSE)=0,0,(VLOOKUP(B64,PALLETS!A:C,3,FALSE))/D64)</f>
        <v>0</v>
      </c>
      <c r="F64" s="5">
        <f>D64*E64</f>
        <v>0</v>
      </c>
      <c r="G64" s="1" t="str">
        <f>IF(ISNA(VLOOKUP(B64,REFCE!A:D,3,FALSE)),"",(VLOOKUP(B64,REFCE!A:D,3,FALSE)))</f>
        <v>Baled Cardboard</v>
      </c>
      <c r="H64" s="77">
        <f>IF(B64="",0,VLOOKUP(B64,REFCE!A:D,2,FALSE))</f>
        <v>2.5000000000000001E-2</v>
      </c>
      <c r="I64" s="77">
        <f>F64*H64</f>
        <v>0</v>
      </c>
    </row>
    <row r="65" spans="1:9" x14ac:dyDescent="0.25">
      <c r="A65" s="57" t="s">
        <v>277</v>
      </c>
      <c r="B65" s="1" t="s">
        <v>277</v>
      </c>
      <c r="C65" s="1">
        <f>IF(VLOOKUP(B65,PALLETS!A:C,2,FALSE)="",0,VLOOKUP(B65,PALLETS!A:C,2,FALSE))</f>
        <v>0</v>
      </c>
      <c r="D65" s="1">
        <f t="shared" ref="D65" si="63">IF(C65="",0,C65)</f>
        <v>0</v>
      </c>
      <c r="E65" s="62">
        <f>IF(VLOOKUP(B65,PALLETS!A:C,3,FALSE)=0,0,(VLOOKUP(B65,PALLETS!A:C,3,FALSE))/D65)</f>
        <v>0</v>
      </c>
      <c r="F65" s="5">
        <f>D65*E65</f>
        <v>0</v>
      </c>
      <c r="G65" s="1" t="str">
        <f>IF(ISNA(VLOOKUP(B65,REFCE!A:D,3,FALSE)),"",(VLOOKUP(B65,REFCE!A:D,3,FALSE)))</f>
        <v>Misc</v>
      </c>
      <c r="H65" s="77">
        <f>IF(B65="",0,VLOOKUP(B65,REFCE!A:D,2,FALSE))</f>
        <v>0</v>
      </c>
      <c r="I65" s="77">
        <f>F65*H65</f>
        <v>0</v>
      </c>
    </row>
    <row r="66" spans="1:9" x14ac:dyDescent="0.25">
      <c r="A66" s="57"/>
      <c r="B66" s="21"/>
      <c r="C66" s="21"/>
      <c r="D66" s="21"/>
      <c r="E66" s="68"/>
      <c r="F66" s="22"/>
      <c r="G66" s="21"/>
      <c r="H66" s="78"/>
      <c r="I66" s="78"/>
    </row>
    <row r="67" spans="1:9" x14ac:dyDescent="0.25">
      <c r="A67" s="48" t="s">
        <v>62</v>
      </c>
      <c r="B67" s="49" t="s">
        <v>8</v>
      </c>
      <c r="C67" s="49">
        <f>SUM(C4:C64)</f>
        <v>0</v>
      </c>
      <c r="D67" s="49">
        <f>SUM(D4:D64)</f>
        <v>0</v>
      </c>
      <c r="E67" s="49"/>
      <c r="F67" s="50">
        <f>SUM(F4:F64)</f>
        <v>0</v>
      </c>
      <c r="G67" s="49"/>
      <c r="H67" s="79"/>
      <c r="I67" s="79">
        <f>SUM(I4:I64)</f>
        <v>0</v>
      </c>
    </row>
    <row r="68" spans="1:9" ht="15.75" thickBot="1" x14ac:dyDescent="0.3">
      <c r="A68" s="51"/>
      <c r="B68" s="52"/>
      <c r="C68" s="52"/>
      <c r="D68" s="52"/>
      <c r="E68" s="52"/>
      <c r="F68" s="53"/>
      <c r="G68" s="52"/>
      <c r="H68" s="80"/>
      <c r="I68" s="80"/>
    </row>
    <row r="69" spans="1:9" x14ac:dyDescent="0.25">
      <c r="A69" s="267" t="str">
        <f>IF(DATA!B16="","",(IF(DATA!B16=0,"","FREIGHT")))</f>
        <v/>
      </c>
      <c r="B69" s="269" t="str">
        <f>IF(DATA!B16="","",(IF(DATA!B16=0,"",DATA!B15)))</f>
        <v/>
      </c>
      <c r="C69" s="18"/>
      <c r="D69" s="18" t="s">
        <v>12</v>
      </c>
      <c r="E69" s="18"/>
      <c r="F69" s="63">
        <f>IF(VLOOKUP(D69,PALLETS!A:C,3,FALSE)=0,0,VLOOKUP(D69,PALLETS!A:C,3,FALSE))</f>
        <v>0</v>
      </c>
      <c r="G69" s="64" t="str">
        <f>IF(ISERROR(VLOOKUP(B1,REFCE!P:P,1,FALSE)),"Pallets sent to Classic for recycling","")</f>
        <v>Pallets sent to Classic for recycling</v>
      </c>
      <c r="H69" s="81"/>
      <c r="I69" s="84"/>
    </row>
    <row r="70" spans="1:9" x14ac:dyDescent="0.25">
      <c r="A70" s="268" t="str">
        <f>IF(DATA!B16="","",(IF(DATA!B16=0,"",DATA!A16)))</f>
        <v/>
      </c>
      <c r="B70" s="266" t="str">
        <f>IF(DATA!B16="","",(IF(DATA!B16=0,"",DATA!B16)))</f>
        <v/>
      </c>
      <c r="C70" s="1"/>
      <c r="D70" s="1" t="s">
        <v>13</v>
      </c>
      <c r="E70" s="1"/>
      <c r="F70" s="5">
        <f>F67+F76+F69</f>
        <v>0</v>
      </c>
      <c r="G70" s="1"/>
      <c r="H70" s="77"/>
      <c r="I70" s="85"/>
    </row>
    <row r="71" spans="1:9" x14ac:dyDescent="0.25">
      <c r="A71" s="97" t="str">
        <f>IF(A70="",VLOOKUP($B$1,REFCE!$I:$M,5,FALSE),"TOTAL FREIGHT")</f>
        <v>FREIGHT</v>
      </c>
      <c r="B71" s="87" t="str">
        <f>IF((VLOOKUP(TOTALS!B1,REFCE!I:N,6,FALSE))="","",(VLOOKUP(TOTALS!B1,REFCE!I:N,6,FALSE)))</f>
        <v>CHARGES</v>
      </c>
      <c r="C71" s="1"/>
      <c r="D71" s="1" t="s">
        <v>14</v>
      </c>
      <c r="E71" s="1"/>
      <c r="F71" s="62">
        <f>IF(VLOOKUP("TOYOTA LBS",PALLETS!A:C,3,FALSE)=0,0,VLOOKUP("TOYOTA LBS",PALLETS!A:C,3,FALSE))</f>
        <v>0</v>
      </c>
      <c r="G71" s="1"/>
      <c r="H71" s="77"/>
      <c r="I71" s="85"/>
    </row>
    <row r="72" spans="1:9" x14ac:dyDescent="0.25">
      <c r="A72" s="88"/>
      <c r="B72" s="4"/>
      <c r="C72" s="1"/>
      <c r="D72" s="1" t="s">
        <v>30</v>
      </c>
      <c r="E72" s="1"/>
      <c r="F72" s="5">
        <f>ROUND((F70-F71),2)</f>
        <v>0</v>
      </c>
      <c r="G72" s="1"/>
      <c r="H72" s="77"/>
      <c r="I72" s="85"/>
    </row>
    <row r="73" spans="1:9" x14ac:dyDescent="0.25">
      <c r="A73" s="88" t="s">
        <v>260</v>
      </c>
      <c r="B73" s="89">
        <f>(ROUND((I67+I76),2))*-1</f>
        <v>0</v>
      </c>
      <c r="C73" s="1"/>
      <c r="D73" s="1" t="s">
        <v>15</v>
      </c>
      <c r="E73" s="1"/>
      <c r="F73" s="70" t="e">
        <f>F72/F71</f>
        <v>#DIV/0!</v>
      </c>
      <c r="G73" s="7" t="e">
        <f>IF(F73&gt;0.025,"Over Limit",IF(F73&lt;-0.025,"Over Limit",""))</f>
        <v>#DIV/0!</v>
      </c>
      <c r="H73" s="77"/>
      <c r="I73" s="85"/>
    </row>
    <row r="74" spans="1:9" ht="15.75" thickBot="1" x14ac:dyDescent="0.3">
      <c r="A74" s="19"/>
      <c r="B74" s="16"/>
      <c r="C74" s="16"/>
      <c r="D74" s="16" t="s">
        <v>16</v>
      </c>
      <c r="E74" s="16"/>
      <c r="F74" s="17">
        <v>0</v>
      </c>
      <c r="G74" s="16"/>
      <c r="H74" s="82"/>
      <c r="I74" s="86"/>
    </row>
    <row r="75" spans="1:9" x14ac:dyDescent="0.25">
      <c r="A75" s="45"/>
      <c r="B75" s="46"/>
      <c r="C75" s="46"/>
      <c r="D75" s="46"/>
      <c r="E75" s="46"/>
      <c r="F75" s="47"/>
      <c r="G75" s="46"/>
      <c r="H75" s="83"/>
      <c r="I75" s="83"/>
    </row>
    <row r="76" spans="1:9" x14ac:dyDescent="0.25">
      <c r="A76" s="15" t="s">
        <v>80</v>
      </c>
      <c r="B76" s="4" t="s">
        <v>8</v>
      </c>
      <c r="C76" s="4">
        <f>SUM(C77:C1527)</f>
        <v>0</v>
      </c>
      <c r="D76" s="4">
        <f>SUM(D77:D1527)</f>
        <v>0</v>
      </c>
      <c r="E76" s="73"/>
      <c r="F76" s="9">
        <f>SUM(F77:F1527)</f>
        <v>0</v>
      </c>
      <c r="G76" s="4"/>
      <c r="H76" s="74"/>
      <c r="I76" s="74">
        <f>SUM(I77:I1527)</f>
        <v>0</v>
      </c>
    </row>
    <row r="77" spans="1:9" x14ac:dyDescent="0.25">
      <c r="A77" s="203" t="str">
        <f>IF(DATA!M7="","",DATA!M7)</f>
        <v/>
      </c>
      <c r="B77" s="203" t="str">
        <f>IF(DATA!N7="","",DATA!N7)</f>
        <v/>
      </c>
      <c r="C77" s="203" t="str">
        <f>IF(DATA!O7="","",DATA!O7)</f>
        <v/>
      </c>
      <c r="D77" s="203" t="str">
        <f>IF(DATA!P7="","",DATA!P7)</f>
        <v/>
      </c>
      <c r="E77" s="13"/>
      <c r="F77" s="5" t="str">
        <f>IF(D77="","",D77*E77)</f>
        <v/>
      </c>
      <c r="G77" s="1"/>
      <c r="H77" s="77">
        <f>IF(G77="",0,VLOOKUP(G77,REFCE!A:D,2,FALSE))</f>
        <v>0</v>
      </c>
      <c r="I77" s="77" t="str">
        <f>IF(F77="","",F77*H77)</f>
        <v/>
      </c>
    </row>
    <row r="78" spans="1:9" x14ac:dyDescent="0.25">
      <c r="A78" s="203" t="str">
        <f>IF(DATA!M8="","",DATA!M8)</f>
        <v/>
      </c>
      <c r="B78" s="203" t="str">
        <f>IF(DATA!N8="","",DATA!N8)</f>
        <v/>
      </c>
      <c r="C78" s="203" t="str">
        <f>IF(DATA!O8="","",DATA!O8)</f>
        <v/>
      </c>
      <c r="D78" s="203" t="str">
        <f>IF(DATA!P8="","",DATA!P8)</f>
        <v/>
      </c>
      <c r="E78" s="13"/>
      <c r="F78" s="5" t="str">
        <f t="shared" ref="F78:F141" si="64">IF(D78="","",D78*E78)</f>
        <v/>
      </c>
      <c r="G78" s="1"/>
      <c r="H78" s="77">
        <f>IF(G78="",0,VLOOKUP(G78,REFCE!A:D,2,FALSE))</f>
        <v>0</v>
      </c>
      <c r="I78" s="77" t="str">
        <f t="shared" ref="I78:I141" si="65">IF(F78="","",F78*H78)</f>
        <v/>
      </c>
    </row>
    <row r="79" spans="1:9" x14ac:dyDescent="0.25">
      <c r="A79" s="203" t="str">
        <f>IF(DATA!M9="","",DATA!M9)</f>
        <v/>
      </c>
      <c r="B79" s="203" t="str">
        <f>IF(DATA!N9="","",DATA!N9)</f>
        <v/>
      </c>
      <c r="C79" s="203" t="str">
        <f>IF(DATA!O9="","",DATA!O9)</f>
        <v/>
      </c>
      <c r="D79" s="203" t="str">
        <f>IF(DATA!P9="","",DATA!P9)</f>
        <v/>
      </c>
      <c r="E79" s="13"/>
      <c r="F79" s="5" t="str">
        <f t="shared" si="64"/>
        <v/>
      </c>
      <c r="G79" s="1"/>
      <c r="H79" s="77">
        <f>IF(G79="",0,VLOOKUP(G79,REFCE!A:D,2,FALSE))</f>
        <v>0</v>
      </c>
      <c r="I79" s="77" t="str">
        <f t="shared" si="65"/>
        <v/>
      </c>
    </row>
    <row r="80" spans="1:9" x14ac:dyDescent="0.25">
      <c r="A80" s="203" t="str">
        <f>IF(DATA!M10="","",DATA!M10)</f>
        <v/>
      </c>
      <c r="B80" s="203" t="str">
        <f>IF(DATA!N10="","",DATA!N10)</f>
        <v/>
      </c>
      <c r="C80" s="203" t="str">
        <f>IF(DATA!O10="","",DATA!O10)</f>
        <v/>
      </c>
      <c r="D80" s="203" t="str">
        <f>IF(DATA!P10="","",DATA!P10)</f>
        <v/>
      </c>
      <c r="E80" s="13"/>
      <c r="F80" s="5" t="str">
        <f t="shared" si="64"/>
        <v/>
      </c>
      <c r="G80" s="1"/>
      <c r="H80" s="77">
        <f>IF(G80="",0,VLOOKUP(G80,REFCE!A:D,2,FALSE))</f>
        <v>0</v>
      </c>
      <c r="I80" s="77" t="str">
        <f t="shared" si="65"/>
        <v/>
      </c>
    </row>
    <row r="81" spans="1:9" x14ac:dyDescent="0.25">
      <c r="A81" s="203" t="str">
        <f>IF(DATA!M11="","",DATA!M11)</f>
        <v/>
      </c>
      <c r="B81" s="203" t="str">
        <f>IF(DATA!N11="","",DATA!N11)</f>
        <v/>
      </c>
      <c r="C81" s="203" t="str">
        <f>IF(DATA!O11="","",DATA!O11)</f>
        <v/>
      </c>
      <c r="D81" s="203" t="str">
        <f>IF(DATA!P11="","",DATA!P11)</f>
        <v/>
      </c>
      <c r="E81" s="13"/>
      <c r="F81" s="5" t="str">
        <f t="shared" si="64"/>
        <v/>
      </c>
      <c r="G81" s="1"/>
      <c r="H81" s="77">
        <f>IF(G81="",0,VLOOKUP(G81,REFCE!A:D,2,FALSE))</f>
        <v>0</v>
      </c>
      <c r="I81" s="77" t="str">
        <f t="shared" si="65"/>
        <v/>
      </c>
    </row>
    <row r="82" spans="1:9" x14ac:dyDescent="0.25">
      <c r="A82" s="203" t="str">
        <f>IF(DATA!M12="","",DATA!M12)</f>
        <v/>
      </c>
      <c r="B82" s="203" t="str">
        <f>IF(DATA!N12="","",DATA!N12)</f>
        <v/>
      </c>
      <c r="C82" s="203" t="str">
        <f>IF(DATA!O12="","",DATA!O12)</f>
        <v/>
      </c>
      <c r="D82" s="203" t="str">
        <f>IF(DATA!P12="","",DATA!P12)</f>
        <v/>
      </c>
      <c r="E82" s="13"/>
      <c r="F82" s="5" t="str">
        <f t="shared" si="64"/>
        <v/>
      </c>
      <c r="G82" s="1"/>
      <c r="H82" s="77">
        <f>IF(G82="",0,VLOOKUP(G82,REFCE!A:D,2,FALSE))</f>
        <v>0</v>
      </c>
      <c r="I82" s="77" t="str">
        <f t="shared" si="65"/>
        <v/>
      </c>
    </row>
    <row r="83" spans="1:9" x14ac:dyDescent="0.25">
      <c r="A83" s="203" t="str">
        <f>IF(DATA!M13="","",DATA!M13)</f>
        <v/>
      </c>
      <c r="B83" s="203" t="str">
        <f>IF(DATA!N13="","",DATA!N13)</f>
        <v/>
      </c>
      <c r="C83" s="203" t="str">
        <f>IF(DATA!O13="","",DATA!O13)</f>
        <v/>
      </c>
      <c r="D83" s="203" t="str">
        <f>IF(DATA!P13="","",DATA!P13)</f>
        <v/>
      </c>
      <c r="E83" s="13"/>
      <c r="F83" s="5" t="str">
        <f t="shared" si="64"/>
        <v/>
      </c>
      <c r="G83" s="1"/>
      <c r="H83" s="77">
        <f>IF(G83="",0,VLOOKUP(G83,REFCE!A:D,2,FALSE))</f>
        <v>0</v>
      </c>
      <c r="I83" s="77" t="str">
        <f t="shared" si="65"/>
        <v/>
      </c>
    </row>
    <row r="84" spans="1:9" x14ac:dyDescent="0.25">
      <c r="A84" s="203" t="str">
        <f>IF(DATA!M14="","",DATA!M14)</f>
        <v/>
      </c>
      <c r="B84" s="203" t="str">
        <f>IF(DATA!N14="","",DATA!N14)</f>
        <v/>
      </c>
      <c r="C84" s="203" t="str">
        <f>IF(DATA!O14="","",DATA!O14)</f>
        <v/>
      </c>
      <c r="D84" s="203" t="str">
        <f>IF(DATA!P14="","",DATA!P14)</f>
        <v/>
      </c>
      <c r="E84" s="13"/>
      <c r="F84" s="5" t="str">
        <f t="shared" si="64"/>
        <v/>
      </c>
      <c r="G84" s="1"/>
      <c r="H84" s="77">
        <f>IF(G84="",0,VLOOKUP(G84,REFCE!A:D,2,FALSE))</f>
        <v>0</v>
      </c>
      <c r="I84" s="77" t="str">
        <f t="shared" si="65"/>
        <v/>
      </c>
    </row>
    <row r="85" spans="1:9" x14ac:dyDescent="0.25">
      <c r="A85" s="203" t="str">
        <f>IF(DATA!M15="","",DATA!M15)</f>
        <v/>
      </c>
      <c r="B85" s="203" t="str">
        <f>IF(DATA!N15="","",DATA!N15)</f>
        <v/>
      </c>
      <c r="C85" s="203" t="str">
        <f>IF(DATA!O15="","",DATA!O15)</f>
        <v/>
      </c>
      <c r="D85" s="203" t="str">
        <f>IF(DATA!P15="","",DATA!P15)</f>
        <v/>
      </c>
      <c r="E85" s="13"/>
      <c r="F85" s="5" t="str">
        <f t="shared" si="64"/>
        <v/>
      </c>
      <c r="G85" s="1"/>
      <c r="H85" s="77">
        <f>IF(G85="",0,VLOOKUP(G85,REFCE!A:D,2,FALSE))</f>
        <v>0</v>
      </c>
      <c r="I85" s="77" t="str">
        <f t="shared" si="65"/>
        <v/>
      </c>
    </row>
    <row r="86" spans="1:9" x14ac:dyDescent="0.25">
      <c r="A86" s="203" t="str">
        <f>IF(DATA!M16="","",DATA!M16)</f>
        <v/>
      </c>
      <c r="B86" s="203" t="str">
        <f>IF(DATA!N16="","",DATA!N16)</f>
        <v/>
      </c>
      <c r="C86" s="203" t="str">
        <f>IF(DATA!O16="","",DATA!O16)</f>
        <v/>
      </c>
      <c r="D86" s="203" t="str">
        <f>IF(DATA!P16="","",DATA!P16)</f>
        <v/>
      </c>
      <c r="E86" s="13"/>
      <c r="F86" s="5" t="str">
        <f t="shared" si="64"/>
        <v/>
      </c>
      <c r="G86" s="1"/>
      <c r="H86" s="77">
        <f>IF(G86="",0,VLOOKUP(G86,REFCE!A:D,2,FALSE))</f>
        <v>0</v>
      </c>
      <c r="I86" s="77" t="str">
        <f t="shared" si="65"/>
        <v/>
      </c>
    </row>
    <row r="87" spans="1:9" x14ac:dyDescent="0.25">
      <c r="A87" s="203" t="str">
        <f>IF(DATA!M17="","",DATA!M17)</f>
        <v/>
      </c>
      <c r="B87" s="203" t="str">
        <f>IF(DATA!N17="","",DATA!N17)</f>
        <v/>
      </c>
      <c r="C87" s="203" t="str">
        <f>IF(DATA!O17="","",DATA!O17)</f>
        <v/>
      </c>
      <c r="D87" s="203" t="str">
        <f>IF(DATA!P17="","",DATA!P17)</f>
        <v/>
      </c>
      <c r="E87" s="13"/>
      <c r="F87" s="5" t="str">
        <f t="shared" si="64"/>
        <v/>
      </c>
      <c r="G87" s="1"/>
      <c r="H87" s="77">
        <f>IF(G87="",0,VLOOKUP(G87,REFCE!A:D,2,FALSE))</f>
        <v>0</v>
      </c>
      <c r="I87" s="77" t="str">
        <f t="shared" si="65"/>
        <v/>
      </c>
    </row>
    <row r="88" spans="1:9" x14ac:dyDescent="0.25">
      <c r="A88" s="203" t="str">
        <f>IF(DATA!M18="","",DATA!M18)</f>
        <v/>
      </c>
      <c r="B88" s="203" t="str">
        <f>IF(DATA!N18="","",DATA!N18)</f>
        <v/>
      </c>
      <c r="C88" s="203" t="str">
        <f>IF(DATA!O18="","",DATA!O18)</f>
        <v/>
      </c>
      <c r="D88" s="203" t="str">
        <f>IF(DATA!P18="","",DATA!P18)</f>
        <v/>
      </c>
      <c r="E88" s="13"/>
      <c r="F88" s="5" t="str">
        <f t="shared" si="64"/>
        <v/>
      </c>
      <c r="G88" s="1"/>
      <c r="H88" s="77">
        <f>IF(G88="",0,VLOOKUP(G88,REFCE!A:D,2,FALSE))</f>
        <v>0</v>
      </c>
      <c r="I88" s="77" t="str">
        <f t="shared" si="65"/>
        <v/>
      </c>
    </row>
    <row r="89" spans="1:9" x14ac:dyDescent="0.25">
      <c r="A89" s="203" t="str">
        <f>IF(DATA!M19="","",DATA!M19)</f>
        <v/>
      </c>
      <c r="B89" s="203" t="str">
        <f>IF(DATA!N19="","",DATA!N19)</f>
        <v/>
      </c>
      <c r="C89" s="203" t="str">
        <f>IF(DATA!O19="","",DATA!O19)</f>
        <v/>
      </c>
      <c r="D89" s="203" t="str">
        <f>IF(DATA!P19="","",DATA!P19)</f>
        <v/>
      </c>
      <c r="E89" s="13"/>
      <c r="F89" s="5" t="str">
        <f t="shared" si="64"/>
        <v/>
      </c>
      <c r="G89" s="1"/>
      <c r="H89" s="77">
        <f>IF(G89="",0,VLOOKUP(G89,REFCE!A:D,2,FALSE))</f>
        <v>0</v>
      </c>
      <c r="I89" s="77" t="str">
        <f t="shared" si="65"/>
        <v/>
      </c>
    </row>
    <row r="90" spans="1:9" x14ac:dyDescent="0.25">
      <c r="A90" s="203" t="str">
        <f>IF(DATA!M20="","",DATA!M20)</f>
        <v/>
      </c>
      <c r="B90" s="203" t="str">
        <f>IF(DATA!N20="","",DATA!N20)</f>
        <v/>
      </c>
      <c r="C90" s="203" t="str">
        <f>IF(DATA!O20="","",DATA!O20)</f>
        <v/>
      </c>
      <c r="D90" s="203" t="str">
        <f>IF(DATA!P20="","",DATA!P20)</f>
        <v/>
      </c>
      <c r="E90" s="13"/>
      <c r="F90" s="5" t="str">
        <f t="shared" si="64"/>
        <v/>
      </c>
      <c r="G90" s="1"/>
      <c r="H90" s="77">
        <f>IF(G90="",0,VLOOKUP(G90,REFCE!A:D,2,FALSE))</f>
        <v>0</v>
      </c>
      <c r="I90" s="77" t="str">
        <f t="shared" si="65"/>
        <v/>
      </c>
    </row>
    <row r="91" spans="1:9" x14ac:dyDescent="0.25">
      <c r="A91" s="203" t="str">
        <f>IF(DATA!M21="","",DATA!M21)</f>
        <v/>
      </c>
      <c r="B91" s="203" t="str">
        <f>IF(DATA!N21="","",DATA!N21)</f>
        <v/>
      </c>
      <c r="C91" s="203" t="str">
        <f>IF(DATA!O21="","",DATA!O21)</f>
        <v/>
      </c>
      <c r="D91" s="203" t="str">
        <f>IF(DATA!P21="","",DATA!P21)</f>
        <v/>
      </c>
      <c r="E91" s="13"/>
      <c r="F91" s="5" t="str">
        <f t="shared" si="64"/>
        <v/>
      </c>
      <c r="G91" s="1"/>
      <c r="H91" s="77">
        <f>IF(G91="",0,VLOOKUP(G91,REFCE!A:D,2,FALSE))</f>
        <v>0</v>
      </c>
      <c r="I91" s="77" t="str">
        <f t="shared" si="65"/>
        <v/>
      </c>
    </row>
    <row r="92" spans="1:9" x14ac:dyDescent="0.25">
      <c r="A92" s="203" t="str">
        <f>IF(DATA!M22="","",DATA!M22)</f>
        <v/>
      </c>
      <c r="B92" s="203" t="str">
        <f>IF(DATA!N22="","",DATA!N22)</f>
        <v/>
      </c>
      <c r="C92" s="203" t="str">
        <f>IF(DATA!O22="","",DATA!O22)</f>
        <v/>
      </c>
      <c r="D92" s="203" t="str">
        <f>IF(DATA!P22="","",DATA!P22)</f>
        <v/>
      </c>
      <c r="E92" s="13"/>
      <c r="F92" s="5" t="str">
        <f t="shared" si="64"/>
        <v/>
      </c>
      <c r="G92" s="1"/>
      <c r="H92" s="77">
        <f>IF(G92="",0,VLOOKUP(G92,REFCE!A:D,2,FALSE))</f>
        <v>0</v>
      </c>
      <c r="I92" s="77" t="str">
        <f t="shared" si="65"/>
        <v/>
      </c>
    </row>
    <row r="93" spans="1:9" x14ac:dyDescent="0.25">
      <c r="A93" s="203" t="str">
        <f>IF(DATA!M23="","",DATA!M23)</f>
        <v/>
      </c>
      <c r="B93" s="203" t="str">
        <f>IF(DATA!N23="","",DATA!N23)</f>
        <v/>
      </c>
      <c r="C93" s="203" t="str">
        <f>IF(DATA!O23="","",DATA!O23)</f>
        <v/>
      </c>
      <c r="D93" s="203" t="str">
        <f>IF(DATA!P23="","",DATA!P23)</f>
        <v/>
      </c>
      <c r="E93" s="13"/>
      <c r="F93" s="5" t="str">
        <f t="shared" si="64"/>
        <v/>
      </c>
      <c r="G93" s="1"/>
      <c r="H93" s="77">
        <f>IF(G93="",0,VLOOKUP(G93,REFCE!A:D,2,FALSE))</f>
        <v>0</v>
      </c>
      <c r="I93" s="77" t="str">
        <f t="shared" si="65"/>
        <v/>
      </c>
    </row>
    <row r="94" spans="1:9" x14ac:dyDescent="0.25">
      <c r="A94" s="203" t="str">
        <f>IF(DATA!M24="","",DATA!M24)</f>
        <v/>
      </c>
      <c r="B94" s="203" t="str">
        <f>IF(DATA!N24="","",DATA!N24)</f>
        <v/>
      </c>
      <c r="C94" s="203" t="str">
        <f>IF(DATA!O24="","",DATA!O24)</f>
        <v/>
      </c>
      <c r="D94" s="203" t="str">
        <f>IF(DATA!P24="","",DATA!P24)</f>
        <v/>
      </c>
      <c r="E94" s="13"/>
      <c r="F94" s="5" t="str">
        <f t="shared" si="64"/>
        <v/>
      </c>
      <c r="G94" s="1"/>
      <c r="H94" s="77">
        <f>IF(G94="",0,VLOOKUP(G94,REFCE!A:D,2,FALSE))</f>
        <v>0</v>
      </c>
      <c r="I94" s="77" t="str">
        <f t="shared" si="65"/>
        <v/>
      </c>
    </row>
    <row r="95" spans="1:9" x14ac:dyDescent="0.25">
      <c r="A95" s="203" t="str">
        <f>IF(DATA!M25="","",DATA!M25)</f>
        <v/>
      </c>
      <c r="B95" s="203" t="str">
        <f>IF(DATA!N25="","",DATA!N25)</f>
        <v/>
      </c>
      <c r="C95" s="203" t="str">
        <f>IF(DATA!O25="","",DATA!O25)</f>
        <v/>
      </c>
      <c r="D95" s="203" t="str">
        <f>IF(DATA!P25="","",DATA!P25)</f>
        <v/>
      </c>
      <c r="E95" s="13"/>
      <c r="F95" s="5" t="str">
        <f t="shared" si="64"/>
        <v/>
      </c>
      <c r="G95" s="1"/>
      <c r="H95" s="77">
        <f>IF(G95="",0,VLOOKUP(G95,REFCE!A:D,2,FALSE))</f>
        <v>0</v>
      </c>
      <c r="I95" s="77" t="str">
        <f t="shared" si="65"/>
        <v/>
      </c>
    </row>
    <row r="96" spans="1:9" x14ac:dyDescent="0.25">
      <c r="A96" s="203" t="str">
        <f>IF(DATA!M26="","",DATA!M26)</f>
        <v/>
      </c>
      <c r="B96" s="203" t="str">
        <f>IF(DATA!N26="","",DATA!N26)</f>
        <v/>
      </c>
      <c r="C96" s="203" t="str">
        <f>IF(DATA!O26="","",DATA!O26)</f>
        <v/>
      </c>
      <c r="D96" s="203" t="str">
        <f>IF(DATA!P26="","",DATA!P26)</f>
        <v/>
      </c>
      <c r="E96" s="13"/>
      <c r="F96" s="5" t="str">
        <f t="shared" si="64"/>
        <v/>
      </c>
      <c r="G96" s="1"/>
      <c r="H96" s="77">
        <f>IF(G96="",0,VLOOKUP(G96,REFCE!A:D,2,FALSE))</f>
        <v>0</v>
      </c>
      <c r="I96" s="77" t="str">
        <f t="shared" si="65"/>
        <v/>
      </c>
    </row>
    <row r="97" spans="1:9" x14ac:dyDescent="0.25">
      <c r="A97" s="203" t="str">
        <f>IF(DATA!M27="","",DATA!M27)</f>
        <v/>
      </c>
      <c r="B97" s="203" t="str">
        <f>IF(DATA!N27="","",DATA!N27)</f>
        <v/>
      </c>
      <c r="C97" s="203" t="str">
        <f>IF(DATA!O27="","",DATA!O27)</f>
        <v/>
      </c>
      <c r="D97" s="203" t="str">
        <f>IF(DATA!P27="","",DATA!P27)</f>
        <v/>
      </c>
      <c r="E97" s="13"/>
      <c r="F97" s="5" t="str">
        <f t="shared" si="64"/>
        <v/>
      </c>
      <c r="G97" s="1"/>
      <c r="H97" s="77">
        <f>IF(G97="",0,VLOOKUP(G97,REFCE!A:D,2,FALSE))</f>
        <v>0</v>
      </c>
      <c r="I97" s="77" t="str">
        <f t="shared" si="65"/>
        <v/>
      </c>
    </row>
    <row r="98" spans="1:9" x14ac:dyDescent="0.25">
      <c r="A98" s="203" t="str">
        <f>IF(DATA!M28="","",DATA!M28)</f>
        <v/>
      </c>
      <c r="B98" s="203" t="str">
        <f>IF(DATA!N28="","",DATA!N28)</f>
        <v/>
      </c>
      <c r="C98" s="203" t="str">
        <f>IF(DATA!O28="","",DATA!O28)</f>
        <v/>
      </c>
      <c r="D98" s="203" t="str">
        <f>IF(DATA!P28="","",DATA!P28)</f>
        <v/>
      </c>
      <c r="E98" s="13"/>
      <c r="F98" s="5" t="str">
        <f t="shared" si="64"/>
        <v/>
      </c>
      <c r="G98" s="1"/>
      <c r="H98" s="77">
        <f>IF(G98="",0,VLOOKUP(G98,REFCE!A:D,2,FALSE))</f>
        <v>0</v>
      </c>
      <c r="I98" s="77" t="str">
        <f t="shared" si="65"/>
        <v/>
      </c>
    </row>
    <row r="99" spans="1:9" x14ac:dyDescent="0.25">
      <c r="A99" s="203" t="str">
        <f>IF(DATA!M29="","",DATA!M29)</f>
        <v/>
      </c>
      <c r="B99" s="203" t="str">
        <f>IF(DATA!N29="","",DATA!N29)</f>
        <v/>
      </c>
      <c r="C99" s="203" t="str">
        <f>IF(DATA!O29="","",DATA!O29)</f>
        <v/>
      </c>
      <c r="D99" s="203" t="str">
        <f>IF(DATA!P29="","",DATA!P29)</f>
        <v/>
      </c>
      <c r="E99" s="13"/>
      <c r="F99" s="5" t="str">
        <f t="shared" si="64"/>
        <v/>
      </c>
      <c r="G99" s="1"/>
      <c r="H99" s="77">
        <f>IF(G99="",0,VLOOKUP(G99,REFCE!A:D,2,FALSE))</f>
        <v>0</v>
      </c>
      <c r="I99" s="77" t="str">
        <f t="shared" si="65"/>
        <v/>
      </c>
    </row>
    <row r="100" spans="1:9" x14ac:dyDescent="0.25">
      <c r="A100" s="203" t="str">
        <f>IF(DATA!M30="","",DATA!M30)</f>
        <v/>
      </c>
      <c r="B100" s="203" t="str">
        <f>IF(DATA!N30="","",DATA!N30)</f>
        <v/>
      </c>
      <c r="C100" s="203" t="str">
        <f>IF(DATA!O30="","",DATA!O30)</f>
        <v/>
      </c>
      <c r="D100" s="203" t="str">
        <f>IF(DATA!P30="","",DATA!P30)</f>
        <v/>
      </c>
      <c r="E100" s="13"/>
      <c r="F100" s="5" t="str">
        <f t="shared" si="64"/>
        <v/>
      </c>
      <c r="G100" s="1"/>
      <c r="H100" s="77">
        <f>IF(G100="",0,VLOOKUP(G100,REFCE!A:D,2,FALSE))</f>
        <v>0</v>
      </c>
      <c r="I100" s="77" t="str">
        <f t="shared" si="65"/>
        <v/>
      </c>
    </row>
    <row r="101" spans="1:9" x14ac:dyDescent="0.25">
      <c r="A101" s="203" t="str">
        <f>IF(DATA!M31="","",DATA!M31)</f>
        <v/>
      </c>
      <c r="B101" s="203" t="str">
        <f>IF(DATA!N31="","",DATA!N31)</f>
        <v/>
      </c>
      <c r="C101" s="203" t="str">
        <f>IF(DATA!O31="","",DATA!O31)</f>
        <v/>
      </c>
      <c r="D101" s="203" t="str">
        <f>IF(DATA!P31="","",DATA!P31)</f>
        <v/>
      </c>
      <c r="E101" s="13"/>
      <c r="F101" s="5" t="str">
        <f t="shared" si="64"/>
        <v/>
      </c>
      <c r="G101" s="1"/>
      <c r="H101" s="77">
        <f>IF(G101="",0,VLOOKUP(G101,REFCE!A:D,2,FALSE))</f>
        <v>0</v>
      </c>
      <c r="I101" s="77" t="str">
        <f t="shared" si="65"/>
        <v/>
      </c>
    </row>
    <row r="102" spans="1:9" x14ac:dyDescent="0.25">
      <c r="A102" s="203" t="str">
        <f>IF(DATA!M32="","",DATA!M32)</f>
        <v/>
      </c>
      <c r="B102" s="203" t="str">
        <f>IF(DATA!N32="","",DATA!N32)</f>
        <v/>
      </c>
      <c r="C102" s="203" t="str">
        <f>IF(DATA!O32="","",DATA!O32)</f>
        <v/>
      </c>
      <c r="D102" s="203" t="str">
        <f>IF(DATA!P32="","",DATA!P32)</f>
        <v/>
      </c>
      <c r="E102" s="13"/>
      <c r="F102" s="5" t="str">
        <f t="shared" si="64"/>
        <v/>
      </c>
      <c r="G102" s="1"/>
      <c r="H102" s="77">
        <f>IF(G102="",0,VLOOKUP(G102,REFCE!A:D,2,FALSE))</f>
        <v>0</v>
      </c>
      <c r="I102" s="77" t="str">
        <f t="shared" si="65"/>
        <v/>
      </c>
    </row>
    <row r="103" spans="1:9" x14ac:dyDescent="0.25">
      <c r="A103" s="203" t="str">
        <f>IF(DATA!M33="","",DATA!M33)</f>
        <v/>
      </c>
      <c r="B103" s="203" t="str">
        <f>IF(DATA!N33="","",DATA!N33)</f>
        <v/>
      </c>
      <c r="C103" s="203" t="str">
        <f>IF(DATA!O33="","",DATA!O33)</f>
        <v/>
      </c>
      <c r="D103" s="203" t="str">
        <f>IF(DATA!P33="","",DATA!P33)</f>
        <v/>
      </c>
      <c r="E103" s="13"/>
      <c r="F103" s="5" t="str">
        <f t="shared" si="64"/>
        <v/>
      </c>
      <c r="G103" s="1"/>
      <c r="H103" s="77">
        <f>IF(G103="",0,VLOOKUP(G103,REFCE!A:D,2,FALSE))</f>
        <v>0</v>
      </c>
      <c r="I103" s="77" t="str">
        <f t="shared" si="65"/>
        <v/>
      </c>
    </row>
    <row r="104" spans="1:9" x14ac:dyDescent="0.25">
      <c r="A104" s="203" t="str">
        <f>IF(DATA!M34="","",DATA!M34)</f>
        <v/>
      </c>
      <c r="B104" s="203" t="str">
        <f>IF(DATA!N34="","",DATA!N34)</f>
        <v/>
      </c>
      <c r="C104" s="203" t="str">
        <f>IF(DATA!O34="","",DATA!O34)</f>
        <v/>
      </c>
      <c r="D104" s="203" t="str">
        <f>IF(DATA!P34="","",DATA!P34)</f>
        <v/>
      </c>
      <c r="E104" s="13"/>
      <c r="F104" s="5" t="str">
        <f t="shared" si="64"/>
        <v/>
      </c>
      <c r="G104" s="1"/>
      <c r="H104" s="77">
        <f>IF(G104="",0,VLOOKUP(G104,REFCE!A:D,2,FALSE))</f>
        <v>0</v>
      </c>
      <c r="I104" s="77" t="str">
        <f t="shared" si="65"/>
        <v/>
      </c>
    </row>
    <row r="105" spans="1:9" x14ac:dyDescent="0.25">
      <c r="A105" s="203" t="str">
        <f>IF(DATA!M35="","",DATA!M35)</f>
        <v/>
      </c>
      <c r="B105" s="203" t="str">
        <f>IF(DATA!N35="","",DATA!N35)</f>
        <v/>
      </c>
      <c r="C105" s="203" t="str">
        <f>IF(DATA!O35="","",DATA!O35)</f>
        <v/>
      </c>
      <c r="D105" s="203" t="str">
        <f>IF(DATA!P35="","",DATA!P35)</f>
        <v/>
      </c>
      <c r="E105" s="13"/>
      <c r="F105" s="5" t="str">
        <f t="shared" si="64"/>
        <v/>
      </c>
      <c r="G105" s="1"/>
      <c r="H105" s="77">
        <f>IF(G105="",0,VLOOKUP(G105,REFCE!A:D,2,FALSE))</f>
        <v>0</v>
      </c>
      <c r="I105" s="77" t="str">
        <f t="shared" si="65"/>
        <v/>
      </c>
    </row>
    <row r="106" spans="1:9" x14ac:dyDescent="0.25">
      <c r="A106" s="203" t="str">
        <f>IF(DATA!M36="","",DATA!M36)</f>
        <v/>
      </c>
      <c r="B106" s="203" t="str">
        <f>IF(DATA!N36="","",DATA!N36)</f>
        <v/>
      </c>
      <c r="C106" s="203" t="str">
        <f>IF(DATA!O36="","",DATA!O36)</f>
        <v/>
      </c>
      <c r="D106" s="203" t="str">
        <f>IF(DATA!P36="","",DATA!P36)</f>
        <v/>
      </c>
      <c r="E106" s="13"/>
      <c r="F106" s="5" t="str">
        <f t="shared" si="64"/>
        <v/>
      </c>
      <c r="G106" s="1"/>
      <c r="H106" s="77">
        <f>IF(G106="",0,VLOOKUP(G106,REFCE!A:D,2,FALSE))</f>
        <v>0</v>
      </c>
      <c r="I106" s="77" t="str">
        <f t="shared" si="65"/>
        <v/>
      </c>
    </row>
    <row r="107" spans="1:9" x14ac:dyDescent="0.25">
      <c r="A107" s="203" t="str">
        <f>IF(DATA!M37="","",DATA!M37)</f>
        <v/>
      </c>
      <c r="B107" s="203" t="str">
        <f>IF(DATA!N37="","",DATA!N37)</f>
        <v/>
      </c>
      <c r="C107" s="203" t="str">
        <f>IF(DATA!O37="","",DATA!O37)</f>
        <v/>
      </c>
      <c r="D107" s="203" t="str">
        <f>IF(DATA!P37="","",DATA!P37)</f>
        <v/>
      </c>
      <c r="E107" s="13"/>
      <c r="F107" s="5" t="str">
        <f t="shared" si="64"/>
        <v/>
      </c>
      <c r="G107" s="1"/>
      <c r="H107" s="77">
        <f>IF(G107="",0,VLOOKUP(G107,REFCE!A:D,2,FALSE))</f>
        <v>0</v>
      </c>
      <c r="I107" s="77" t="str">
        <f t="shared" si="65"/>
        <v/>
      </c>
    </row>
    <row r="108" spans="1:9" x14ac:dyDescent="0.25">
      <c r="A108" s="203" t="str">
        <f>IF(DATA!M38="","",DATA!M38)</f>
        <v/>
      </c>
      <c r="B108" s="203" t="str">
        <f>IF(DATA!N38="","",DATA!N38)</f>
        <v/>
      </c>
      <c r="C108" s="203" t="str">
        <f>IF(DATA!O38="","",DATA!O38)</f>
        <v/>
      </c>
      <c r="D108" s="203" t="str">
        <f>IF(DATA!P38="","",DATA!P38)</f>
        <v/>
      </c>
      <c r="E108" s="13"/>
      <c r="F108" s="5" t="str">
        <f t="shared" si="64"/>
        <v/>
      </c>
      <c r="G108" s="1"/>
      <c r="H108" s="77">
        <f>IF(G108="",0,VLOOKUP(G108,REFCE!A:D,2,FALSE))</f>
        <v>0</v>
      </c>
      <c r="I108" s="77" t="str">
        <f t="shared" si="65"/>
        <v/>
      </c>
    </row>
    <row r="109" spans="1:9" x14ac:dyDescent="0.25">
      <c r="A109" s="203" t="str">
        <f>IF(DATA!M39="","",DATA!M39)</f>
        <v/>
      </c>
      <c r="B109" s="203" t="str">
        <f>IF(DATA!N39="","",DATA!N39)</f>
        <v/>
      </c>
      <c r="C109" s="203" t="str">
        <f>IF(DATA!O39="","",DATA!O39)</f>
        <v/>
      </c>
      <c r="D109" s="203" t="str">
        <f>IF(DATA!P39="","",DATA!P39)</f>
        <v/>
      </c>
      <c r="E109" s="13"/>
      <c r="F109" s="5" t="str">
        <f t="shared" si="64"/>
        <v/>
      </c>
      <c r="G109" s="1"/>
      <c r="H109" s="77">
        <f>IF(G109="",0,VLOOKUP(G109,REFCE!A:D,2,FALSE))</f>
        <v>0</v>
      </c>
      <c r="I109" s="77" t="str">
        <f t="shared" si="65"/>
        <v/>
      </c>
    </row>
    <row r="110" spans="1:9" x14ac:dyDescent="0.25">
      <c r="A110" s="203" t="str">
        <f>IF(DATA!M40="","",DATA!M40)</f>
        <v/>
      </c>
      <c r="B110" s="203" t="str">
        <f>IF(DATA!N40="","",DATA!N40)</f>
        <v/>
      </c>
      <c r="C110" s="203" t="str">
        <f>IF(DATA!O40="","",DATA!O40)</f>
        <v/>
      </c>
      <c r="D110" s="203" t="str">
        <f>IF(DATA!P40="","",DATA!P40)</f>
        <v/>
      </c>
      <c r="E110" s="13"/>
      <c r="F110" s="5" t="str">
        <f t="shared" si="64"/>
        <v/>
      </c>
      <c r="G110" s="1"/>
      <c r="H110" s="77">
        <f>IF(G110="",0,VLOOKUP(G110,REFCE!A:D,2,FALSE))</f>
        <v>0</v>
      </c>
      <c r="I110" s="77" t="str">
        <f t="shared" si="65"/>
        <v/>
      </c>
    </row>
    <row r="111" spans="1:9" x14ac:dyDescent="0.25">
      <c r="A111" s="203" t="str">
        <f>IF(DATA!M41="","",DATA!M41)</f>
        <v/>
      </c>
      <c r="B111" s="203" t="str">
        <f>IF(DATA!N41="","",DATA!N41)</f>
        <v/>
      </c>
      <c r="C111" s="203" t="str">
        <f>IF(DATA!O41="","",DATA!O41)</f>
        <v/>
      </c>
      <c r="D111" s="203" t="str">
        <f>IF(DATA!P41="","",DATA!P41)</f>
        <v/>
      </c>
      <c r="E111" s="13"/>
      <c r="F111" s="5" t="str">
        <f t="shared" si="64"/>
        <v/>
      </c>
      <c r="G111" s="1"/>
      <c r="H111" s="77">
        <f>IF(G111="",0,VLOOKUP(G111,REFCE!A:D,2,FALSE))</f>
        <v>0</v>
      </c>
      <c r="I111" s="77" t="str">
        <f t="shared" si="65"/>
        <v/>
      </c>
    </row>
    <row r="112" spans="1:9" x14ac:dyDescent="0.25">
      <c r="A112" s="203" t="str">
        <f>IF(DATA!M42="","",DATA!M42)</f>
        <v/>
      </c>
      <c r="B112" s="203" t="str">
        <f>IF(DATA!N42="","",DATA!N42)</f>
        <v/>
      </c>
      <c r="C112" s="203" t="str">
        <f>IF(DATA!O42="","",DATA!O42)</f>
        <v/>
      </c>
      <c r="D112" s="203" t="str">
        <f>IF(DATA!P42="","",DATA!P42)</f>
        <v/>
      </c>
      <c r="E112" s="13"/>
      <c r="F112" s="5" t="str">
        <f t="shared" si="64"/>
        <v/>
      </c>
      <c r="G112" s="1"/>
      <c r="H112" s="77">
        <f>IF(G112="",0,VLOOKUP(G112,REFCE!A:D,2,FALSE))</f>
        <v>0</v>
      </c>
      <c r="I112" s="77" t="str">
        <f t="shared" si="65"/>
        <v/>
      </c>
    </row>
    <row r="113" spans="1:9" x14ac:dyDescent="0.25">
      <c r="A113" s="203" t="str">
        <f>IF(DATA!M43="","",DATA!M43)</f>
        <v/>
      </c>
      <c r="B113" s="203" t="str">
        <f>IF(DATA!N43="","",DATA!N43)</f>
        <v/>
      </c>
      <c r="C113" s="203" t="str">
        <f>IF(DATA!O43="","",DATA!O43)</f>
        <v/>
      </c>
      <c r="D113" s="203" t="str">
        <f>IF(DATA!P43="","",DATA!P43)</f>
        <v/>
      </c>
      <c r="E113" s="13"/>
      <c r="F113" s="5" t="str">
        <f t="shared" si="64"/>
        <v/>
      </c>
      <c r="G113" s="1"/>
      <c r="H113" s="77">
        <f>IF(G113="",0,VLOOKUP(G113,REFCE!A:D,2,FALSE))</f>
        <v>0</v>
      </c>
      <c r="I113" s="77" t="str">
        <f t="shared" si="65"/>
        <v/>
      </c>
    </row>
    <row r="114" spans="1:9" x14ac:dyDescent="0.25">
      <c r="A114" s="203" t="str">
        <f>IF(DATA!M44="","",DATA!M44)</f>
        <v/>
      </c>
      <c r="B114" s="203" t="str">
        <f>IF(DATA!N44="","",DATA!N44)</f>
        <v/>
      </c>
      <c r="C114" s="203" t="str">
        <f>IF(DATA!O44="","",DATA!O44)</f>
        <v/>
      </c>
      <c r="D114" s="203" t="str">
        <f>IF(DATA!P44="","",DATA!P44)</f>
        <v/>
      </c>
      <c r="E114" s="13"/>
      <c r="F114" s="5" t="str">
        <f t="shared" si="64"/>
        <v/>
      </c>
      <c r="G114" s="1"/>
      <c r="H114" s="77">
        <f>IF(G114="",0,VLOOKUP(G114,REFCE!A:D,2,FALSE))</f>
        <v>0</v>
      </c>
      <c r="I114" s="77" t="str">
        <f t="shared" si="65"/>
        <v/>
      </c>
    </row>
    <row r="115" spans="1:9" x14ac:dyDescent="0.25">
      <c r="A115" s="203" t="str">
        <f>IF(DATA!M45="","",DATA!M45)</f>
        <v/>
      </c>
      <c r="B115" s="203" t="str">
        <f>IF(DATA!N45="","",DATA!N45)</f>
        <v/>
      </c>
      <c r="C115" s="203" t="str">
        <f>IF(DATA!O45="","",DATA!O45)</f>
        <v/>
      </c>
      <c r="D115" s="203" t="str">
        <f>IF(DATA!P45="","",DATA!P45)</f>
        <v/>
      </c>
      <c r="E115" s="13"/>
      <c r="F115" s="5" t="str">
        <f t="shared" si="64"/>
        <v/>
      </c>
      <c r="G115" s="1"/>
      <c r="H115" s="77">
        <f>IF(G115="",0,VLOOKUP(G115,REFCE!A:D,2,FALSE))</f>
        <v>0</v>
      </c>
      <c r="I115" s="77" t="str">
        <f t="shared" si="65"/>
        <v/>
      </c>
    </row>
    <row r="116" spans="1:9" x14ac:dyDescent="0.25">
      <c r="A116" s="203" t="str">
        <f>IF(DATA!M46="","",DATA!M46)</f>
        <v/>
      </c>
      <c r="B116" s="203" t="str">
        <f>IF(DATA!N46="","",DATA!N46)</f>
        <v/>
      </c>
      <c r="C116" s="203" t="str">
        <f>IF(DATA!O46="","",DATA!O46)</f>
        <v/>
      </c>
      <c r="D116" s="203" t="str">
        <f>IF(DATA!P46="","",DATA!P46)</f>
        <v/>
      </c>
      <c r="E116" s="13"/>
      <c r="F116" s="5" t="str">
        <f t="shared" si="64"/>
        <v/>
      </c>
      <c r="G116" s="1"/>
      <c r="H116" s="77">
        <f>IF(G116="",0,VLOOKUP(G116,REFCE!A:D,2,FALSE))</f>
        <v>0</v>
      </c>
      <c r="I116" s="77" t="str">
        <f t="shared" si="65"/>
        <v/>
      </c>
    </row>
    <row r="117" spans="1:9" x14ac:dyDescent="0.25">
      <c r="A117" s="203" t="str">
        <f>IF(DATA!M47="","",DATA!M47)</f>
        <v/>
      </c>
      <c r="B117" s="203" t="str">
        <f>IF(DATA!N47="","",DATA!N47)</f>
        <v/>
      </c>
      <c r="C117" s="203" t="str">
        <f>IF(DATA!O47="","",DATA!O47)</f>
        <v/>
      </c>
      <c r="D117" s="203" t="str">
        <f>IF(DATA!P47="","",DATA!P47)</f>
        <v/>
      </c>
      <c r="E117" s="13"/>
      <c r="F117" s="5" t="str">
        <f t="shared" si="64"/>
        <v/>
      </c>
      <c r="G117" s="1"/>
      <c r="H117" s="77">
        <f>IF(G117="",0,VLOOKUP(G117,REFCE!A:D,2,FALSE))</f>
        <v>0</v>
      </c>
      <c r="I117" s="77" t="str">
        <f t="shared" si="65"/>
        <v/>
      </c>
    </row>
    <row r="118" spans="1:9" x14ac:dyDescent="0.25">
      <c r="A118" s="203" t="str">
        <f>IF(DATA!M48="","",DATA!M48)</f>
        <v/>
      </c>
      <c r="B118" s="203" t="str">
        <f>IF(DATA!N48="","",DATA!N48)</f>
        <v/>
      </c>
      <c r="C118" s="203" t="str">
        <f>IF(DATA!O48="","",DATA!O48)</f>
        <v/>
      </c>
      <c r="D118" s="203" t="str">
        <f>IF(DATA!P48="","",DATA!P48)</f>
        <v/>
      </c>
      <c r="E118" s="13"/>
      <c r="F118" s="5" t="str">
        <f t="shared" si="64"/>
        <v/>
      </c>
      <c r="G118" s="1"/>
      <c r="H118" s="77">
        <f>IF(G118="",0,VLOOKUP(G118,REFCE!A:D,2,FALSE))</f>
        <v>0</v>
      </c>
      <c r="I118" s="77" t="str">
        <f t="shared" si="65"/>
        <v/>
      </c>
    </row>
    <row r="119" spans="1:9" x14ac:dyDescent="0.25">
      <c r="A119" s="203" t="str">
        <f>IF(DATA!M49="","",DATA!M49)</f>
        <v/>
      </c>
      <c r="B119" s="203" t="str">
        <f>IF(DATA!N49="","",DATA!N49)</f>
        <v/>
      </c>
      <c r="C119" s="203" t="str">
        <f>IF(DATA!O49="","",DATA!O49)</f>
        <v/>
      </c>
      <c r="D119" s="203" t="str">
        <f>IF(DATA!P49="","",DATA!P49)</f>
        <v/>
      </c>
      <c r="E119" s="13"/>
      <c r="F119" s="5" t="str">
        <f t="shared" si="64"/>
        <v/>
      </c>
      <c r="G119" s="1"/>
      <c r="H119" s="77">
        <f>IF(G119="",0,VLOOKUP(G119,REFCE!A:D,2,FALSE))</f>
        <v>0</v>
      </c>
      <c r="I119" s="77" t="str">
        <f t="shared" si="65"/>
        <v/>
      </c>
    </row>
    <row r="120" spans="1:9" x14ac:dyDescent="0.25">
      <c r="A120" s="203" t="str">
        <f>IF(DATA!M50="","",DATA!M50)</f>
        <v/>
      </c>
      <c r="B120" s="203" t="str">
        <f>IF(DATA!N50="","",DATA!N50)</f>
        <v/>
      </c>
      <c r="C120" s="203" t="str">
        <f>IF(DATA!O50="","",DATA!O50)</f>
        <v/>
      </c>
      <c r="D120" s="203" t="str">
        <f>IF(DATA!P50="","",DATA!P50)</f>
        <v/>
      </c>
      <c r="E120" s="13"/>
      <c r="F120" s="5" t="str">
        <f t="shared" si="64"/>
        <v/>
      </c>
      <c r="G120" s="1"/>
      <c r="H120" s="77">
        <f>IF(G120="",0,VLOOKUP(G120,REFCE!A:D,2,FALSE))</f>
        <v>0</v>
      </c>
      <c r="I120" s="77" t="str">
        <f t="shared" si="65"/>
        <v/>
      </c>
    </row>
    <row r="121" spans="1:9" x14ac:dyDescent="0.25">
      <c r="A121" s="203" t="str">
        <f>IF(DATA!M51="","",DATA!M51)</f>
        <v/>
      </c>
      <c r="B121" s="203" t="str">
        <f>IF(DATA!N51="","",DATA!N51)</f>
        <v/>
      </c>
      <c r="C121" s="203" t="str">
        <f>IF(DATA!O51="","",DATA!O51)</f>
        <v/>
      </c>
      <c r="D121" s="203" t="str">
        <f>IF(DATA!P51="","",DATA!P51)</f>
        <v/>
      </c>
      <c r="E121" s="13"/>
      <c r="F121" s="5" t="str">
        <f t="shared" si="64"/>
        <v/>
      </c>
      <c r="G121" s="1"/>
      <c r="H121" s="77">
        <f>IF(G121="",0,VLOOKUP(G121,REFCE!A:D,2,FALSE))</f>
        <v>0</v>
      </c>
      <c r="I121" s="77" t="str">
        <f t="shared" si="65"/>
        <v/>
      </c>
    </row>
    <row r="122" spans="1:9" x14ac:dyDescent="0.25">
      <c r="A122" s="203" t="str">
        <f>IF(DATA!M52="","",DATA!M52)</f>
        <v/>
      </c>
      <c r="B122" s="203" t="str">
        <f>IF(DATA!N52="","",DATA!N52)</f>
        <v/>
      </c>
      <c r="C122" s="203" t="str">
        <f>IF(DATA!O52="","",DATA!O52)</f>
        <v/>
      </c>
      <c r="D122" s="203" t="str">
        <f>IF(DATA!P52="","",DATA!P52)</f>
        <v/>
      </c>
      <c r="E122" s="13"/>
      <c r="F122" s="5" t="str">
        <f t="shared" si="64"/>
        <v/>
      </c>
      <c r="G122" s="1"/>
      <c r="H122" s="77">
        <f>IF(G122="",0,VLOOKUP(G122,REFCE!A:D,2,FALSE))</f>
        <v>0</v>
      </c>
      <c r="I122" s="77" t="str">
        <f t="shared" si="65"/>
        <v/>
      </c>
    </row>
    <row r="123" spans="1:9" x14ac:dyDescent="0.25">
      <c r="A123" s="203" t="str">
        <f>IF(DATA!M53="","",DATA!M53)</f>
        <v/>
      </c>
      <c r="B123" s="203" t="str">
        <f>IF(DATA!N53="","",DATA!N53)</f>
        <v/>
      </c>
      <c r="C123" s="203" t="str">
        <f>IF(DATA!O53="","",DATA!O53)</f>
        <v/>
      </c>
      <c r="D123" s="203" t="str">
        <f>IF(DATA!P53="","",DATA!P53)</f>
        <v/>
      </c>
      <c r="E123" s="13"/>
      <c r="F123" s="5" t="str">
        <f t="shared" si="64"/>
        <v/>
      </c>
      <c r="G123" s="1"/>
      <c r="H123" s="77">
        <f>IF(G123="",0,VLOOKUP(G123,REFCE!A:D,2,FALSE))</f>
        <v>0</v>
      </c>
      <c r="I123" s="77" t="str">
        <f t="shared" si="65"/>
        <v/>
      </c>
    </row>
    <row r="124" spans="1:9" x14ac:dyDescent="0.25">
      <c r="A124" s="203" t="str">
        <f>IF(DATA!M54="","",DATA!M54)</f>
        <v/>
      </c>
      <c r="B124" s="203" t="str">
        <f>IF(DATA!N54="","",DATA!N54)</f>
        <v/>
      </c>
      <c r="C124" s="203" t="str">
        <f>IF(DATA!O54="","",DATA!O54)</f>
        <v/>
      </c>
      <c r="D124" s="203" t="str">
        <f>IF(DATA!P54="","",DATA!P54)</f>
        <v/>
      </c>
      <c r="E124" s="13"/>
      <c r="F124" s="5" t="str">
        <f t="shared" si="64"/>
        <v/>
      </c>
      <c r="G124" s="1"/>
      <c r="H124" s="77">
        <f>IF(G124="",0,VLOOKUP(G124,REFCE!A:D,2,FALSE))</f>
        <v>0</v>
      </c>
      <c r="I124" s="77" t="str">
        <f t="shared" si="65"/>
        <v/>
      </c>
    </row>
    <row r="125" spans="1:9" x14ac:dyDescent="0.25">
      <c r="A125" s="203" t="str">
        <f>IF(DATA!M55="","",DATA!M55)</f>
        <v/>
      </c>
      <c r="B125" s="203" t="str">
        <f>IF(DATA!N55="","",DATA!N55)</f>
        <v/>
      </c>
      <c r="C125" s="203" t="str">
        <f>IF(DATA!O55="","",DATA!O55)</f>
        <v/>
      </c>
      <c r="D125" s="203" t="str">
        <f>IF(DATA!P55="","",DATA!P55)</f>
        <v/>
      </c>
      <c r="E125" s="13"/>
      <c r="F125" s="5" t="str">
        <f t="shared" si="64"/>
        <v/>
      </c>
      <c r="G125" s="1"/>
      <c r="H125" s="77">
        <f>IF(G125="",0,VLOOKUP(G125,REFCE!A:D,2,FALSE))</f>
        <v>0</v>
      </c>
      <c r="I125" s="77" t="str">
        <f t="shared" si="65"/>
        <v/>
      </c>
    </row>
    <row r="126" spans="1:9" x14ac:dyDescent="0.25">
      <c r="A126" s="203" t="str">
        <f>IF(DATA!M56="","",DATA!M56)</f>
        <v/>
      </c>
      <c r="B126" s="203" t="str">
        <f>IF(DATA!N56="","",DATA!N56)</f>
        <v/>
      </c>
      <c r="C126" s="203" t="str">
        <f>IF(DATA!O56="","",DATA!O56)</f>
        <v/>
      </c>
      <c r="D126" s="203" t="str">
        <f>IF(DATA!P56="","",DATA!P56)</f>
        <v/>
      </c>
      <c r="E126" s="13"/>
      <c r="F126" s="5" t="str">
        <f t="shared" si="64"/>
        <v/>
      </c>
      <c r="G126" s="1"/>
      <c r="H126" s="77">
        <f>IF(G126="",0,VLOOKUP(G126,REFCE!A:D,2,FALSE))</f>
        <v>0</v>
      </c>
      <c r="I126" s="77" t="str">
        <f t="shared" si="65"/>
        <v/>
      </c>
    </row>
    <row r="127" spans="1:9" x14ac:dyDescent="0.25">
      <c r="A127" s="203" t="str">
        <f>IF(DATA!M57="","",DATA!M57)</f>
        <v/>
      </c>
      <c r="B127" s="203" t="str">
        <f>IF(DATA!N57="","",DATA!N57)</f>
        <v/>
      </c>
      <c r="C127" s="203" t="str">
        <f>IF(DATA!O57="","",DATA!O57)</f>
        <v/>
      </c>
      <c r="D127" s="203" t="str">
        <f>IF(DATA!P57="","",DATA!P57)</f>
        <v/>
      </c>
      <c r="E127" s="13"/>
      <c r="F127" s="5" t="str">
        <f t="shared" si="64"/>
        <v/>
      </c>
      <c r="G127" s="1"/>
      <c r="H127" s="77">
        <f>IF(G127="",0,VLOOKUP(G127,REFCE!A:D,2,FALSE))</f>
        <v>0</v>
      </c>
      <c r="I127" s="77" t="str">
        <f t="shared" si="65"/>
        <v/>
      </c>
    </row>
    <row r="128" spans="1:9" x14ac:dyDescent="0.25">
      <c r="A128" s="203" t="str">
        <f>IF(DATA!M58="","",DATA!M58)</f>
        <v/>
      </c>
      <c r="B128" s="203" t="str">
        <f>IF(DATA!N58="","",DATA!N58)</f>
        <v/>
      </c>
      <c r="C128" s="203" t="str">
        <f>IF(DATA!O58="","",DATA!O58)</f>
        <v/>
      </c>
      <c r="D128" s="203" t="str">
        <f>IF(DATA!P58="","",DATA!P58)</f>
        <v/>
      </c>
      <c r="E128" s="13"/>
      <c r="F128" s="5" t="str">
        <f t="shared" si="64"/>
        <v/>
      </c>
      <c r="G128" s="1"/>
      <c r="H128" s="77">
        <f>IF(G128="",0,VLOOKUP(G128,REFCE!A:D,2,FALSE))</f>
        <v>0</v>
      </c>
      <c r="I128" s="77" t="str">
        <f t="shared" si="65"/>
        <v/>
      </c>
    </row>
    <row r="129" spans="1:9" x14ac:dyDescent="0.25">
      <c r="A129" s="203" t="str">
        <f>IF(DATA!M59="","",DATA!M59)</f>
        <v/>
      </c>
      <c r="B129" s="203" t="str">
        <f>IF(DATA!N59="","",DATA!N59)</f>
        <v/>
      </c>
      <c r="C129" s="203" t="str">
        <f>IF(DATA!O59="","",DATA!O59)</f>
        <v/>
      </c>
      <c r="D129" s="203" t="str">
        <f>IF(DATA!P59="","",DATA!P59)</f>
        <v/>
      </c>
      <c r="E129" s="13"/>
      <c r="F129" s="5" t="str">
        <f t="shared" si="64"/>
        <v/>
      </c>
      <c r="G129" s="1"/>
      <c r="H129" s="77">
        <f>IF(G129="",0,VLOOKUP(G129,REFCE!A:D,2,FALSE))</f>
        <v>0</v>
      </c>
      <c r="I129" s="77" t="str">
        <f t="shared" si="65"/>
        <v/>
      </c>
    </row>
    <row r="130" spans="1:9" x14ac:dyDescent="0.25">
      <c r="A130" s="203" t="str">
        <f>IF(DATA!M60="","",DATA!M60)</f>
        <v/>
      </c>
      <c r="B130" s="203" t="str">
        <f>IF(DATA!N60="","",DATA!N60)</f>
        <v/>
      </c>
      <c r="C130" s="203" t="str">
        <f>IF(DATA!O60="","",DATA!O60)</f>
        <v/>
      </c>
      <c r="D130" s="203" t="str">
        <f>IF(DATA!P60="","",DATA!P60)</f>
        <v/>
      </c>
      <c r="E130" s="13"/>
      <c r="F130" s="5" t="str">
        <f t="shared" si="64"/>
        <v/>
      </c>
      <c r="G130" s="1"/>
      <c r="H130" s="77">
        <f>IF(G130="",0,VLOOKUP(G130,REFCE!A:D,2,FALSE))</f>
        <v>0</v>
      </c>
      <c r="I130" s="77" t="str">
        <f t="shared" si="65"/>
        <v/>
      </c>
    </row>
    <row r="131" spans="1:9" x14ac:dyDescent="0.25">
      <c r="A131" s="203" t="str">
        <f>IF(DATA!M61="","",DATA!M61)</f>
        <v/>
      </c>
      <c r="B131" s="203" t="str">
        <f>IF(DATA!N61="","",DATA!N61)</f>
        <v/>
      </c>
      <c r="C131" s="203" t="str">
        <f>IF(DATA!O61="","",DATA!O61)</f>
        <v/>
      </c>
      <c r="D131" s="203" t="str">
        <f>IF(DATA!P61="","",DATA!P61)</f>
        <v/>
      </c>
      <c r="E131" s="13"/>
      <c r="F131" s="5" t="str">
        <f t="shared" si="64"/>
        <v/>
      </c>
      <c r="G131" s="1"/>
      <c r="H131" s="77">
        <f>IF(G131="",0,VLOOKUP(G131,REFCE!A:D,2,FALSE))</f>
        <v>0</v>
      </c>
      <c r="I131" s="77" t="str">
        <f t="shared" si="65"/>
        <v/>
      </c>
    </row>
    <row r="132" spans="1:9" x14ac:dyDescent="0.25">
      <c r="A132" s="203" t="str">
        <f>IF(DATA!M62="","",DATA!M62)</f>
        <v/>
      </c>
      <c r="B132" s="203" t="str">
        <f>IF(DATA!N62="","",DATA!N62)</f>
        <v/>
      </c>
      <c r="C132" s="203" t="str">
        <f>IF(DATA!O62="","",DATA!O62)</f>
        <v/>
      </c>
      <c r="D132" s="203" t="str">
        <f>IF(DATA!P62="","",DATA!P62)</f>
        <v/>
      </c>
      <c r="E132" s="13"/>
      <c r="F132" s="5" t="str">
        <f t="shared" si="64"/>
        <v/>
      </c>
      <c r="G132" s="1"/>
      <c r="H132" s="77">
        <f>IF(G132="",0,VLOOKUP(G132,REFCE!A:D,2,FALSE))</f>
        <v>0</v>
      </c>
      <c r="I132" s="77" t="str">
        <f t="shared" si="65"/>
        <v/>
      </c>
    </row>
    <row r="133" spans="1:9" x14ac:dyDescent="0.25">
      <c r="A133" s="203" t="str">
        <f>IF(DATA!M63="","",DATA!M63)</f>
        <v/>
      </c>
      <c r="B133" s="203" t="str">
        <f>IF(DATA!N63="","",DATA!N63)</f>
        <v/>
      </c>
      <c r="C133" s="203" t="str">
        <f>IF(DATA!O63="","",DATA!O63)</f>
        <v/>
      </c>
      <c r="D133" s="203" t="str">
        <f>IF(DATA!P63="","",DATA!P63)</f>
        <v/>
      </c>
      <c r="E133" s="13"/>
      <c r="F133" s="5" t="str">
        <f t="shared" si="64"/>
        <v/>
      </c>
      <c r="G133" s="1"/>
      <c r="H133" s="77">
        <f>IF(G133="",0,VLOOKUP(G133,REFCE!A:D,2,FALSE))</f>
        <v>0</v>
      </c>
      <c r="I133" s="77" t="str">
        <f t="shared" si="65"/>
        <v/>
      </c>
    </row>
    <row r="134" spans="1:9" x14ac:dyDescent="0.25">
      <c r="A134" s="203" t="str">
        <f>IF(DATA!M64="","",DATA!M64)</f>
        <v/>
      </c>
      <c r="B134" s="203" t="str">
        <f>IF(DATA!N64="","",DATA!N64)</f>
        <v/>
      </c>
      <c r="C134" s="203" t="str">
        <f>IF(DATA!O64="","",DATA!O64)</f>
        <v/>
      </c>
      <c r="D134" s="203" t="str">
        <f>IF(DATA!P64="","",DATA!P64)</f>
        <v/>
      </c>
      <c r="E134" s="13"/>
      <c r="F134" s="5" t="str">
        <f t="shared" si="64"/>
        <v/>
      </c>
      <c r="G134" s="1"/>
      <c r="H134" s="77">
        <f>IF(G134="",0,VLOOKUP(G134,REFCE!A:D,2,FALSE))</f>
        <v>0</v>
      </c>
      <c r="I134" s="77" t="str">
        <f t="shared" si="65"/>
        <v/>
      </c>
    </row>
    <row r="135" spans="1:9" x14ac:dyDescent="0.25">
      <c r="A135" s="203" t="str">
        <f>IF(DATA!M65="","",DATA!M65)</f>
        <v/>
      </c>
      <c r="B135" s="203" t="str">
        <f>IF(DATA!N65="","",DATA!N65)</f>
        <v/>
      </c>
      <c r="C135" s="203" t="str">
        <f>IF(DATA!O65="","",DATA!O65)</f>
        <v/>
      </c>
      <c r="D135" s="203" t="str">
        <f>IF(DATA!P65="","",DATA!P65)</f>
        <v/>
      </c>
      <c r="E135" s="13"/>
      <c r="F135" s="5" t="str">
        <f t="shared" si="64"/>
        <v/>
      </c>
      <c r="G135" s="1"/>
      <c r="H135" s="77">
        <f>IF(G135="",0,VLOOKUP(G135,REFCE!A:D,2,FALSE))</f>
        <v>0</v>
      </c>
      <c r="I135" s="77" t="str">
        <f t="shared" si="65"/>
        <v/>
      </c>
    </row>
    <row r="136" spans="1:9" x14ac:dyDescent="0.25">
      <c r="A136" s="203" t="str">
        <f>IF(DATA!M66="","",DATA!M66)</f>
        <v/>
      </c>
      <c r="B136" s="203" t="str">
        <f>IF(DATA!N66="","",DATA!N66)</f>
        <v/>
      </c>
      <c r="C136" s="203" t="str">
        <f>IF(DATA!O66="","",DATA!O66)</f>
        <v/>
      </c>
      <c r="D136" s="203" t="str">
        <f>IF(DATA!P66="","",DATA!P66)</f>
        <v/>
      </c>
      <c r="E136" s="13"/>
      <c r="F136" s="5" t="str">
        <f t="shared" si="64"/>
        <v/>
      </c>
      <c r="G136" s="1"/>
      <c r="H136" s="77">
        <f>IF(G136="",0,VLOOKUP(G136,REFCE!A:D,2,FALSE))</f>
        <v>0</v>
      </c>
      <c r="I136" s="77" t="str">
        <f t="shared" si="65"/>
        <v/>
      </c>
    </row>
    <row r="137" spans="1:9" x14ac:dyDescent="0.25">
      <c r="A137" s="203" t="str">
        <f>IF(DATA!M67="","",DATA!M67)</f>
        <v/>
      </c>
      <c r="B137" s="203" t="str">
        <f>IF(DATA!N67="","",DATA!N67)</f>
        <v/>
      </c>
      <c r="C137" s="203" t="str">
        <f>IF(DATA!O67="","",DATA!O67)</f>
        <v/>
      </c>
      <c r="D137" s="203" t="str">
        <f>IF(DATA!P67="","",DATA!P67)</f>
        <v/>
      </c>
      <c r="E137" s="13"/>
      <c r="F137" s="5" t="str">
        <f t="shared" si="64"/>
        <v/>
      </c>
      <c r="G137" s="1"/>
      <c r="H137" s="77">
        <f>IF(G137="",0,VLOOKUP(G137,REFCE!A:D,2,FALSE))</f>
        <v>0</v>
      </c>
      <c r="I137" s="77" t="str">
        <f t="shared" si="65"/>
        <v/>
      </c>
    </row>
    <row r="138" spans="1:9" x14ac:dyDescent="0.25">
      <c r="A138" s="203" t="str">
        <f>IF(DATA!M68="","",DATA!M68)</f>
        <v/>
      </c>
      <c r="B138" s="203" t="str">
        <f>IF(DATA!N68="","",DATA!N68)</f>
        <v/>
      </c>
      <c r="C138" s="203" t="str">
        <f>IF(DATA!O68="","",DATA!O68)</f>
        <v/>
      </c>
      <c r="D138" s="203" t="str">
        <f>IF(DATA!P68="","",DATA!P68)</f>
        <v/>
      </c>
      <c r="E138" s="13"/>
      <c r="F138" s="5" t="str">
        <f t="shared" si="64"/>
        <v/>
      </c>
      <c r="G138" s="1"/>
      <c r="H138" s="77">
        <f>IF(G138="",0,VLOOKUP(G138,REFCE!A:D,2,FALSE))</f>
        <v>0</v>
      </c>
      <c r="I138" s="77" t="str">
        <f t="shared" si="65"/>
        <v/>
      </c>
    </row>
    <row r="139" spans="1:9" x14ac:dyDescent="0.25">
      <c r="A139" s="203" t="str">
        <f>IF(DATA!M69="","",DATA!M69)</f>
        <v/>
      </c>
      <c r="B139" s="203" t="str">
        <f>IF(DATA!N69="","",DATA!N69)</f>
        <v/>
      </c>
      <c r="C139" s="203" t="str">
        <f>IF(DATA!O69="","",DATA!O69)</f>
        <v/>
      </c>
      <c r="D139" s="203" t="str">
        <f>IF(DATA!P69="","",DATA!P69)</f>
        <v/>
      </c>
      <c r="E139" s="13"/>
      <c r="F139" s="5" t="str">
        <f t="shared" si="64"/>
        <v/>
      </c>
      <c r="G139" s="1"/>
      <c r="H139" s="77">
        <f>IF(G139="",0,VLOOKUP(G139,REFCE!A:D,2,FALSE))</f>
        <v>0</v>
      </c>
      <c r="I139" s="77" t="str">
        <f t="shared" si="65"/>
        <v/>
      </c>
    </row>
    <row r="140" spans="1:9" x14ac:dyDescent="0.25">
      <c r="A140" s="203" t="str">
        <f>IF(DATA!M70="","",DATA!M70)</f>
        <v/>
      </c>
      <c r="B140" s="203" t="str">
        <f>IF(DATA!N70="","",DATA!N70)</f>
        <v/>
      </c>
      <c r="C140" s="203" t="str">
        <f>IF(DATA!O70="","",DATA!O70)</f>
        <v/>
      </c>
      <c r="D140" s="203" t="str">
        <f>IF(DATA!P70="","",DATA!P70)</f>
        <v/>
      </c>
      <c r="E140" s="13"/>
      <c r="F140" s="5" t="str">
        <f t="shared" si="64"/>
        <v/>
      </c>
      <c r="G140" s="1"/>
      <c r="H140" s="77">
        <f>IF(G140="",0,VLOOKUP(G140,REFCE!A:D,2,FALSE))</f>
        <v>0</v>
      </c>
      <c r="I140" s="77" t="str">
        <f t="shared" si="65"/>
        <v/>
      </c>
    </row>
    <row r="141" spans="1:9" x14ac:dyDescent="0.25">
      <c r="A141" s="203" t="str">
        <f>IF(DATA!M71="","",DATA!M71)</f>
        <v/>
      </c>
      <c r="B141" s="203" t="str">
        <f>IF(DATA!N71="","",DATA!N71)</f>
        <v/>
      </c>
      <c r="C141" s="203" t="str">
        <f>IF(DATA!O71="","",DATA!O71)</f>
        <v/>
      </c>
      <c r="D141" s="203" t="str">
        <f>IF(DATA!P71="","",DATA!P71)</f>
        <v/>
      </c>
      <c r="E141" s="13"/>
      <c r="F141" s="5" t="str">
        <f t="shared" si="64"/>
        <v/>
      </c>
      <c r="G141" s="1"/>
      <c r="H141" s="77">
        <f>IF(G141="",0,VLOOKUP(G141,REFCE!A:D,2,FALSE))</f>
        <v>0</v>
      </c>
      <c r="I141" s="77" t="str">
        <f t="shared" si="65"/>
        <v/>
      </c>
    </row>
    <row r="142" spans="1:9" x14ac:dyDescent="0.25">
      <c r="A142" s="203" t="str">
        <f>IF(DATA!M72="","",DATA!M72)</f>
        <v/>
      </c>
      <c r="B142" s="203" t="str">
        <f>IF(DATA!N72="","",DATA!N72)</f>
        <v/>
      </c>
      <c r="C142" s="203" t="str">
        <f>IF(DATA!O72="","",DATA!O72)</f>
        <v/>
      </c>
      <c r="D142" s="203" t="str">
        <f>IF(DATA!P72="","",DATA!P72)</f>
        <v/>
      </c>
      <c r="E142" s="13"/>
      <c r="F142" s="5" t="str">
        <f t="shared" ref="F142:F205" si="66">IF(D142="","",D142*E142)</f>
        <v/>
      </c>
      <c r="G142" s="1"/>
      <c r="H142" s="77">
        <f>IF(G142="",0,VLOOKUP(G142,REFCE!A:D,2,FALSE))</f>
        <v>0</v>
      </c>
      <c r="I142" s="77" t="str">
        <f t="shared" ref="I142:I205" si="67">IF(F142="","",F142*H142)</f>
        <v/>
      </c>
    </row>
    <row r="143" spans="1:9" x14ac:dyDescent="0.25">
      <c r="A143" s="203" t="str">
        <f>IF(DATA!M73="","",DATA!M73)</f>
        <v/>
      </c>
      <c r="B143" s="203" t="str">
        <f>IF(DATA!N73="","",DATA!N73)</f>
        <v/>
      </c>
      <c r="C143" s="203" t="str">
        <f>IF(DATA!O73="","",DATA!O73)</f>
        <v/>
      </c>
      <c r="D143" s="203" t="str">
        <f>IF(DATA!P73="","",DATA!P73)</f>
        <v/>
      </c>
      <c r="E143" s="13"/>
      <c r="F143" s="5" t="str">
        <f t="shared" si="66"/>
        <v/>
      </c>
      <c r="G143" s="1"/>
      <c r="H143" s="77">
        <f>IF(G143="",0,VLOOKUP(G143,REFCE!A:D,2,FALSE))</f>
        <v>0</v>
      </c>
      <c r="I143" s="77" t="str">
        <f t="shared" si="67"/>
        <v/>
      </c>
    </row>
    <row r="144" spans="1:9" x14ac:dyDescent="0.25">
      <c r="A144" s="203" t="str">
        <f>IF(DATA!M74="","",DATA!M74)</f>
        <v/>
      </c>
      <c r="B144" s="203" t="str">
        <f>IF(DATA!N74="","",DATA!N74)</f>
        <v/>
      </c>
      <c r="C144" s="203" t="str">
        <f>IF(DATA!O74="","",DATA!O74)</f>
        <v/>
      </c>
      <c r="D144" s="203" t="str">
        <f>IF(DATA!P74="","",DATA!P74)</f>
        <v/>
      </c>
      <c r="E144" s="13"/>
      <c r="F144" s="5" t="str">
        <f t="shared" si="66"/>
        <v/>
      </c>
      <c r="G144" s="1"/>
      <c r="H144" s="77">
        <f>IF(G144="",0,VLOOKUP(G144,REFCE!A:D,2,FALSE))</f>
        <v>0</v>
      </c>
      <c r="I144" s="77" t="str">
        <f t="shared" si="67"/>
        <v/>
      </c>
    </row>
    <row r="145" spans="1:9" x14ac:dyDescent="0.25">
      <c r="A145" s="203" t="str">
        <f>IF(DATA!M75="","",DATA!M75)</f>
        <v/>
      </c>
      <c r="B145" s="203" t="str">
        <f>IF(DATA!N75="","",DATA!N75)</f>
        <v/>
      </c>
      <c r="C145" s="203" t="str">
        <f>IF(DATA!O75="","",DATA!O75)</f>
        <v/>
      </c>
      <c r="D145" s="203" t="str">
        <f>IF(DATA!P75="","",DATA!P75)</f>
        <v/>
      </c>
      <c r="E145" s="13"/>
      <c r="F145" s="5" t="str">
        <f t="shared" si="66"/>
        <v/>
      </c>
      <c r="G145" s="1"/>
      <c r="H145" s="77">
        <f>IF(G145="",0,VLOOKUP(G145,REFCE!A:D,2,FALSE))</f>
        <v>0</v>
      </c>
      <c r="I145" s="77" t="str">
        <f t="shared" si="67"/>
        <v/>
      </c>
    </row>
    <row r="146" spans="1:9" x14ac:dyDescent="0.25">
      <c r="A146" s="203" t="str">
        <f>IF(DATA!M76="","",DATA!M76)</f>
        <v/>
      </c>
      <c r="B146" s="203" t="str">
        <f>IF(DATA!N76="","",DATA!N76)</f>
        <v/>
      </c>
      <c r="C146" s="203" t="str">
        <f>IF(DATA!O76="","",DATA!O76)</f>
        <v/>
      </c>
      <c r="D146" s="203" t="str">
        <f>IF(DATA!P76="","",DATA!P76)</f>
        <v/>
      </c>
      <c r="E146" s="13"/>
      <c r="F146" s="5" t="str">
        <f t="shared" si="66"/>
        <v/>
      </c>
      <c r="G146" s="1"/>
      <c r="H146" s="77">
        <f>IF(G146="",0,VLOOKUP(G146,REFCE!A:D,2,FALSE))</f>
        <v>0</v>
      </c>
      <c r="I146" s="77" t="str">
        <f t="shared" si="67"/>
        <v/>
      </c>
    </row>
    <row r="147" spans="1:9" x14ac:dyDescent="0.25">
      <c r="A147" s="203" t="str">
        <f>IF(DATA!M77="","",DATA!M77)</f>
        <v/>
      </c>
      <c r="B147" s="203" t="str">
        <f>IF(DATA!N77="","",DATA!N77)</f>
        <v/>
      </c>
      <c r="C147" s="203" t="str">
        <f>IF(DATA!O77="","",DATA!O77)</f>
        <v/>
      </c>
      <c r="D147" s="203" t="str">
        <f>IF(DATA!P77="","",DATA!P77)</f>
        <v/>
      </c>
      <c r="E147" s="13"/>
      <c r="F147" s="5" t="str">
        <f t="shared" si="66"/>
        <v/>
      </c>
      <c r="G147" s="1"/>
      <c r="H147" s="77">
        <f>IF(G147="",0,VLOOKUP(G147,REFCE!A:D,2,FALSE))</f>
        <v>0</v>
      </c>
      <c r="I147" s="77" t="str">
        <f t="shared" si="67"/>
        <v/>
      </c>
    </row>
    <row r="148" spans="1:9" x14ac:dyDescent="0.25">
      <c r="A148" s="203" t="str">
        <f>IF(DATA!M78="","",DATA!M78)</f>
        <v/>
      </c>
      <c r="B148" s="203" t="str">
        <f>IF(DATA!N78="","",DATA!N78)</f>
        <v/>
      </c>
      <c r="C148" s="203" t="str">
        <f>IF(DATA!O78="","",DATA!O78)</f>
        <v/>
      </c>
      <c r="D148" s="203" t="str">
        <f>IF(DATA!P78="","",DATA!P78)</f>
        <v/>
      </c>
      <c r="E148" s="13"/>
      <c r="F148" s="5" t="str">
        <f t="shared" si="66"/>
        <v/>
      </c>
      <c r="G148" s="1"/>
      <c r="H148" s="77">
        <f>IF(G148="",0,VLOOKUP(G148,REFCE!A:D,2,FALSE))</f>
        <v>0</v>
      </c>
      <c r="I148" s="77" t="str">
        <f t="shared" si="67"/>
        <v/>
      </c>
    </row>
    <row r="149" spans="1:9" x14ac:dyDescent="0.25">
      <c r="A149" s="203" t="str">
        <f>IF(DATA!M79="","",DATA!M79)</f>
        <v/>
      </c>
      <c r="B149" s="203" t="str">
        <f>IF(DATA!N79="","",DATA!N79)</f>
        <v/>
      </c>
      <c r="C149" s="203" t="str">
        <f>IF(DATA!O79="","",DATA!O79)</f>
        <v/>
      </c>
      <c r="D149" s="203" t="str">
        <f>IF(DATA!P79="","",DATA!P79)</f>
        <v/>
      </c>
      <c r="E149" s="13"/>
      <c r="F149" s="5" t="str">
        <f t="shared" si="66"/>
        <v/>
      </c>
      <c r="G149" s="1"/>
      <c r="H149" s="77">
        <f>IF(G149="",0,VLOOKUP(G149,REFCE!A:D,2,FALSE))</f>
        <v>0</v>
      </c>
      <c r="I149" s="77" t="str">
        <f t="shared" si="67"/>
        <v/>
      </c>
    </row>
    <row r="150" spans="1:9" x14ac:dyDescent="0.25">
      <c r="A150" s="203" t="str">
        <f>IF(DATA!M80="","",DATA!M80)</f>
        <v/>
      </c>
      <c r="B150" s="203" t="str">
        <f>IF(DATA!N80="","",DATA!N80)</f>
        <v/>
      </c>
      <c r="C150" s="203" t="str">
        <f>IF(DATA!O80="","",DATA!O80)</f>
        <v/>
      </c>
      <c r="D150" s="203" t="str">
        <f>IF(DATA!P80="","",DATA!P80)</f>
        <v/>
      </c>
      <c r="E150" s="13"/>
      <c r="F150" s="5" t="str">
        <f t="shared" si="66"/>
        <v/>
      </c>
      <c r="G150" s="1"/>
      <c r="H150" s="77">
        <f>IF(G150="",0,VLOOKUP(G150,REFCE!A:D,2,FALSE))</f>
        <v>0</v>
      </c>
      <c r="I150" s="77" t="str">
        <f t="shared" si="67"/>
        <v/>
      </c>
    </row>
    <row r="151" spans="1:9" x14ac:dyDescent="0.25">
      <c r="A151" s="203" t="str">
        <f>IF(DATA!M81="","",DATA!M81)</f>
        <v/>
      </c>
      <c r="B151" s="203" t="str">
        <f>IF(DATA!N81="","",DATA!N81)</f>
        <v/>
      </c>
      <c r="C151" s="203" t="str">
        <f>IF(DATA!O81="","",DATA!O81)</f>
        <v/>
      </c>
      <c r="D151" s="203" t="str">
        <f>IF(DATA!P81="","",DATA!P81)</f>
        <v/>
      </c>
      <c r="E151" s="13"/>
      <c r="F151" s="5" t="str">
        <f t="shared" si="66"/>
        <v/>
      </c>
      <c r="G151" s="1"/>
      <c r="H151" s="77">
        <f>IF(G151="",0,VLOOKUP(G151,REFCE!A:D,2,FALSE))</f>
        <v>0</v>
      </c>
      <c r="I151" s="77" t="str">
        <f t="shared" si="67"/>
        <v/>
      </c>
    </row>
    <row r="152" spans="1:9" x14ac:dyDescent="0.25">
      <c r="A152" s="203" t="str">
        <f>IF(DATA!M82="","",DATA!M82)</f>
        <v/>
      </c>
      <c r="B152" s="203" t="str">
        <f>IF(DATA!N82="","",DATA!N82)</f>
        <v/>
      </c>
      <c r="C152" s="203" t="str">
        <f>IF(DATA!O82="","",DATA!O82)</f>
        <v/>
      </c>
      <c r="D152" s="203" t="str">
        <f>IF(DATA!P82="","",DATA!P82)</f>
        <v/>
      </c>
      <c r="E152" s="13"/>
      <c r="F152" s="5" t="str">
        <f t="shared" si="66"/>
        <v/>
      </c>
      <c r="G152" s="1"/>
      <c r="H152" s="77">
        <f>IF(G152="",0,VLOOKUP(G152,REFCE!A:D,2,FALSE))</f>
        <v>0</v>
      </c>
      <c r="I152" s="77" t="str">
        <f t="shared" si="67"/>
        <v/>
      </c>
    </row>
    <row r="153" spans="1:9" x14ac:dyDescent="0.25">
      <c r="A153" s="203" t="str">
        <f>IF(DATA!M83="","",DATA!M83)</f>
        <v/>
      </c>
      <c r="B153" s="203" t="str">
        <f>IF(DATA!N83="","",DATA!N83)</f>
        <v/>
      </c>
      <c r="C153" s="203" t="str">
        <f>IF(DATA!O83="","",DATA!O83)</f>
        <v/>
      </c>
      <c r="D153" s="203" t="str">
        <f>IF(DATA!P83="","",DATA!P83)</f>
        <v/>
      </c>
      <c r="E153" s="13"/>
      <c r="F153" s="5" t="str">
        <f t="shared" si="66"/>
        <v/>
      </c>
      <c r="G153" s="1"/>
      <c r="H153" s="77">
        <f>IF(G153="",0,VLOOKUP(G153,REFCE!A:D,2,FALSE))</f>
        <v>0</v>
      </c>
      <c r="I153" s="77" t="str">
        <f t="shared" si="67"/>
        <v/>
      </c>
    </row>
    <row r="154" spans="1:9" x14ac:dyDescent="0.25">
      <c r="A154" s="203" t="str">
        <f>IF(DATA!M84="","",DATA!M84)</f>
        <v/>
      </c>
      <c r="B154" s="203" t="str">
        <f>IF(DATA!N84="","",DATA!N84)</f>
        <v/>
      </c>
      <c r="C154" s="203" t="str">
        <f>IF(DATA!O84="","",DATA!O84)</f>
        <v/>
      </c>
      <c r="D154" s="203" t="str">
        <f>IF(DATA!P84="","",DATA!P84)</f>
        <v/>
      </c>
      <c r="E154" s="13"/>
      <c r="F154" s="5" t="str">
        <f t="shared" si="66"/>
        <v/>
      </c>
      <c r="G154" s="1"/>
      <c r="H154" s="77">
        <f>IF(G154="",0,VLOOKUP(G154,REFCE!A:D,2,FALSE))</f>
        <v>0</v>
      </c>
      <c r="I154" s="77" t="str">
        <f t="shared" si="67"/>
        <v/>
      </c>
    </row>
    <row r="155" spans="1:9" x14ac:dyDescent="0.25">
      <c r="A155" s="203" t="str">
        <f>IF(DATA!M85="","",DATA!M85)</f>
        <v/>
      </c>
      <c r="B155" s="203" t="str">
        <f>IF(DATA!N85="","",DATA!N85)</f>
        <v/>
      </c>
      <c r="C155" s="203" t="str">
        <f>IF(DATA!O85="","",DATA!O85)</f>
        <v/>
      </c>
      <c r="D155" s="203" t="str">
        <f>IF(DATA!P85="","",DATA!P85)</f>
        <v/>
      </c>
      <c r="E155" s="13"/>
      <c r="F155" s="5" t="str">
        <f t="shared" si="66"/>
        <v/>
      </c>
      <c r="G155" s="1"/>
      <c r="H155" s="77">
        <f>IF(G155="",0,VLOOKUP(G155,REFCE!A:D,2,FALSE))</f>
        <v>0</v>
      </c>
      <c r="I155" s="77" t="str">
        <f t="shared" si="67"/>
        <v/>
      </c>
    </row>
    <row r="156" spans="1:9" x14ac:dyDescent="0.25">
      <c r="A156" s="203" t="str">
        <f>IF(DATA!M86="","",DATA!M86)</f>
        <v/>
      </c>
      <c r="B156" s="203" t="str">
        <f>IF(DATA!N86="","",DATA!N86)</f>
        <v/>
      </c>
      <c r="C156" s="203" t="str">
        <f>IF(DATA!O86="","",DATA!O86)</f>
        <v/>
      </c>
      <c r="D156" s="203" t="str">
        <f>IF(DATA!P86="","",DATA!P86)</f>
        <v/>
      </c>
      <c r="E156" s="13"/>
      <c r="F156" s="5" t="str">
        <f t="shared" si="66"/>
        <v/>
      </c>
      <c r="G156" s="1"/>
      <c r="H156" s="77">
        <f>IF(G156="",0,VLOOKUP(G156,REFCE!A:D,2,FALSE))</f>
        <v>0</v>
      </c>
      <c r="I156" s="77" t="str">
        <f t="shared" si="67"/>
        <v/>
      </c>
    </row>
    <row r="157" spans="1:9" x14ac:dyDescent="0.25">
      <c r="A157" s="203" t="str">
        <f>IF(DATA!M87="","",DATA!M87)</f>
        <v/>
      </c>
      <c r="B157" s="203" t="str">
        <f>IF(DATA!N87="","",DATA!N87)</f>
        <v/>
      </c>
      <c r="C157" s="203" t="str">
        <f>IF(DATA!O87="","",DATA!O87)</f>
        <v/>
      </c>
      <c r="D157" s="203" t="str">
        <f>IF(DATA!P87="","",DATA!P87)</f>
        <v/>
      </c>
      <c r="E157" s="13"/>
      <c r="F157" s="5" t="str">
        <f t="shared" si="66"/>
        <v/>
      </c>
      <c r="G157" s="1"/>
      <c r="H157" s="77">
        <f>IF(G157="",0,VLOOKUP(G157,REFCE!A:D,2,FALSE))</f>
        <v>0</v>
      </c>
      <c r="I157" s="77" t="str">
        <f t="shared" si="67"/>
        <v/>
      </c>
    </row>
    <row r="158" spans="1:9" x14ac:dyDescent="0.25">
      <c r="A158" s="203" t="str">
        <f>IF(DATA!M88="","",DATA!M88)</f>
        <v/>
      </c>
      <c r="B158" s="203" t="str">
        <f>IF(DATA!N88="","",DATA!N88)</f>
        <v/>
      </c>
      <c r="C158" s="203" t="str">
        <f>IF(DATA!O88="","",DATA!O88)</f>
        <v/>
      </c>
      <c r="D158" s="203" t="str">
        <f>IF(DATA!P88="","",DATA!P88)</f>
        <v/>
      </c>
      <c r="E158" s="13"/>
      <c r="F158" s="5" t="str">
        <f t="shared" si="66"/>
        <v/>
      </c>
      <c r="G158" s="1"/>
      <c r="H158" s="77">
        <f>IF(G158="",0,VLOOKUP(G158,REFCE!A:D,2,FALSE))</f>
        <v>0</v>
      </c>
      <c r="I158" s="77" t="str">
        <f t="shared" si="67"/>
        <v/>
      </c>
    </row>
    <row r="159" spans="1:9" x14ac:dyDescent="0.25">
      <c r="A159" s="203" t="str">
        <f>IF(DATA!M89="","",DATA!M89)</f>
        <v/>
      </c>
      <c r="B159" s="203" t="str">
        <f>IF(DATA!N89="","",DATA!N89)</f>
        <v/>
      </c>
      <c r="C159" s="203" t="str">
        <f>IF(DATA!O89="","",DATA!O89)</f>
        <v/>
      </c>
      <c r="D159" s="203" t="str">
        <f>IF(DATA!P89="","",DATA!P89)</f>
        <v/>
      </c>
      <c r="E159" s="13"/>
      <c r="F159" s="5" t="str">
        <f t="shared" si="66"/>
        <v/>
      </c>
      <c r="G159" s="1"/>
      <c r="H159" s="77">
        <f>IF(G159="",0,VLOOKUP(G159,REFCE!A:D,2,FALSE))</f>
        <v>0</v>
      </c>
      <c r="I159" s="77" t="str">
        <f t="shared" si="67"/>
        <v/>
      </c>
    </row>
    <row r="160" spans="1:9" x14ac:dyDescent="0.25">
      <c r="A160" s="203" t="str">
        <f>IF(DATA!M90="","",DATA!M90)</f>
        <v/>
      </c>
      <c r="B160" s="203" t="str">
        <f>IF(DATA!N90="","",DATA!N90)</f>
        <v/>
      </c>
      <c r="C160" s="203" t="str">
        <f>IF(DATA!O90="","",DATA!O90)</f>
        <v/>
      </c>
      <c r="D160" s="203" t="str">
        <f>IF(DATA!P90="","",DATA!P90)</f>
        <v/>
      </c>
      <c r="E160" s="13"/>
      <c r="F160" s="5" t="str">
        <f t="shared" si="66"/>
        <v/>
      </c>
      <c r="G160" s="1"/>
      <c r="H160" s="77">
        <f>IF(G160="",0,VLOOKUP(G160,REFCE!A:D,2,FALSE))</f>
        <v>0</v>
      </c>
      <c r="I160" s="77" t="str">
        <f t="shared" si="67"/>
        <v/>
      </c>
    </row>
    <row r="161" spans="1:9" x14ac:dyDescent="0.25">
      <c r="A161" s="203" t="str">
        <f>IF(DATA!M91="","",DATA!M91)</f>
        <v/>
      </c>
      <c r="B161" s="203" t="str">
        <f>IF(DATA!N91="","",DATA!N91)</f>
        <v/>
      </c>
      <c r="C161" s="203" t="str">
        <f>IF(DATA!O91="","",DATA!O91)</f>
        <v/>
      </c>
      <c r="D161" s="203" t="str">
        <f>IF(DATA!P91="","",DATA!P91)</f>
        <v/>
      </c>
      <c r="E161" s="13"/>
      <c r="F161" s="5" t="str">
        <f t="shared" si="66"/>
        <v/>
      </c>
      <c r="G161" s="1"/>
      <c r="H161" s="77">
        <f>IF(G161="",0,VLOOKUP(G161,REFCE!A:D,2,FALSE))</f>
        <v>0</v>
      </c>
      <c r="I161" s="77" t="str">
        <f t="shared" si="67"/>
        <v/>
      </c>
    </row>
    <row r="162" spans="1:9" x14ac:dyDescent="0.25">
      <c r="A162" s="203" t="str">
        <f>IF(DATA!M92="","",DATA!M92)</f>
        <v/>
      </c>
      <c r="B162" s="203" t="str">
        <f>IF(DATA!N92="","",DATA!N92)</f>
        <v/>
      </c>
      <c r="C162" s="203" t="str">
        <f>IF(DATA!O92="","",DATA!O92)</f>
        <v/>
      </c>
      <c r="D162" s="203" t="str">
        <f>IF(DATA!P92="","",DATA!P92)</f>
        <v/>
      </c>
      <c r="E162" s="13"/>
      <c r="F162" s="5" t="str">
        <f t="shared" si="66"/>
        <v/>
      </c>
      <c r="G162" s="1"/>
      <c r="H162" s="77">
        <f>IF(G162="",0,VLOOKUP(G162,REFCE!A:D,2,FALSE))</f>
        <v>0</v>
      </c>
      <c r="I162" s="77" t="str">
        <f t="shared" si="67"/>
        <v/>
      </c>
    </row>
    <row r="163" spans="1:9" x14ac:dyDescent="0.25">
      <c r="A163" s="203" t="str">
        <f>IF(DATA!M93="","",DATA!M93)</f>
        <v/>
      </c>
      <c r="B163" s="203" t="str">
        <f>IF(DATA!N93="","",DATA!N93)</f>
        <v/>
      </c>
      <c r="C163" s="203" t="str">
        <f>IF(DATA!O93="","",DATA!O93)</f>
        <v/>
      </c>
      <c r="D163" s="203" t="str">
        <f>IF(DATA!P93="","",DATA!P93)</f>
        <v/>
      </c>
      <c r="E163" s="13"/>
      <c r="F163" s="5" t="str">
        <f t="shared" si="66"/>
        <v/>
      </c>
      <c r="G163" s="1"/>
      <c r="H163" s="77">
        <f>IF(G163="",0,VLOOKUP(G163,REFCE!A:D,2,FALSE))</f>
        <v>0</v>
      </c>
      <c r="I163" s="77" t="str">
        <f t="shared" si="67"/>
        <v/>
      </c>
    </row>
    <row r="164" spans="1:9" x14ac:dyDescent="0.25">
      <c r="A164" s="203" t="str">
        <f>IF(DATA!M94="","",DATA!M94)</f>
        <v/>
      </c>
      <c r="B164" s="203" t="str">
        <f>IF(DATA!N94="","",DATA!N94)</f>
        <v/>
      </c>
      <c r="C164" s="203" t="str">
        <f>IF(DATA!O94="","",DATA!O94)</f>
        <v/>
      </c>
      <c r="D164" s="203" t="str">
        <f>IF(DATA!P94="","",DATA!P94)</f>
        <v/>
      </c>
      <c r="E164" s="13"/>
      <c r="F164" s="5" t="str">
        <f t="shared" si="66"/>
        <v/>
      </c>
      <c r="G164" s="1"/>
      <c r="H164" s="77">
        <f>IF(G164="",0,VLOOKUP(G164,REFCE!A:D,2,FALSE))</f>
        <v>0</v>
      </c>
      <c r="I164" s="77" t="str">
        <f t="shared" si="67"/>
        <v/>
      </c>
    </row>
    <row r="165" spans="1:9" x14ac:dyDescent="0.25">
      <c r="A165" s="203" t="str">
        <f>IF(DATA!M95="","",DATA!M95)</f>
        <v/>
      </c>
      <c r="B165" s="203" t="str">
        <f>IF(DATA!N95="","",DATA!N95)</f>
        <v/>
      </c>
      <c r="C165" s="203" t="str">
        <f>IF(DATA!O95="","",DATA!O95)</f>
        <v/>
      </c>
      <c r="D165" s="203" t="str">
        <f>IF(DATA!P95="","",DATA!P95)</f>
        <v/>
      </c>
      <c r="E165" s="13"/>
      <c r="F165" s="5" t="str">
        <f t="shared" si="66"/>
        <v/>
      </c>
      <c r="G165" s="1"/>
      <c r="H165" s="77">
        <f>IF(G165="",0,VLOOKUP(G165,REFCE!A:D,2,FALSE))</f>
        <v>0</v>
      </c>
      <c r="I165" s="77" t="str">
        <f t="shared" si="67"/>
        <v/>
      </c>
    </row>
    <row r="166" spans="1:9" x14ac:dyDescent="0.25">
      <c r="A166" s="203" t="str">
        <f>IF(DATA!M96="","",DATA!M96)</f>
        <v/>
      </c>
      <c r="B166" s="203" t="str">
        <f>IF(DATA!N96="","",DATA!N96)</f>
        <v/>
      </c>
      <c r="C166" s="203" t="str">
        <f>IF(DATA!O96="","",DATA!O96)</f>
        <v/>
      </c>
      <c r="D166" s="203" t="str">
        <f>IF(DATA!P96="","",DATA!P96)</f>
        <v/>
      </c>
      <c r="E166" s="13"/>
      <c r="F166" s="5" t="str">
        <f t="shared" si="66"/>
        <v/>
      </c>
      <c r="G166" s="1"/>
      <c r="H166" s="77">
        <f>IF(G166="",0,VLOOKUP(G166,REFCE!A:D,2,FALSE))</f>
        <v>0</v>
      </c>
      <c r="I166" s="77" t="str">
        <f t="shared" si="67"/>
        <v/>
      </c>
    </row>
    <row r="167" spans="1:9" x14ac:dyDescent="0.25">
      <c r="A167" s="203" t="str">
        <f>IF(DATA!M97="","",DATA!M97)</f>
        <v/>
      </c>
      <c r="B167" s="203" t="str">
        <f>IF(DATA!N97="","",DATA!N97)</f>
        <v/>
      </c>
      <c r="C167" s="203" t="str">
        <f>IF(DATA!O97="","",DATA!O97)</f>
        <v/>
      </c>
      <c r="D167" s="203" t="str">
        <f>IF(DATA!P97="","",DATA!P97)</f>
        <v/>
      </c>
      <c r="E167" s="13"/>
      <c r="F167" s="5" t="str">
        <f t="shared" si="66"/>
        <v/>
      </c>
      <c r="G167" s="1"/>
      <c r="H167" s="77">
        <f>IF(G167="",0,VLOOKUP(G167,REFCE!A:D,2,FALSE))</f>
        <v>0</v>
      </c>
      <c r="I167" s="77" t="str">
        <f t="shared" si="67"/>
        <v/>
      </c>
    </row>
    <row r="168" spans="1:9" x14ac:dyDescent="0.25">
      <c r="A168" s="203" t="str">
        <f>IF(DATA!M98="","",DATA!M98)</f>
        <v/>
      </c>
      <c r="B168" s="203" t="str">
        <f>IF(DATA!N98="","",DATA!N98)</f>
        <v/>
      </c>
      <c r="C168" s="203" t="str">
        <f>IF(DATA!O98="","",DATA!O98)</f>
        <v/>
      </c>
      <c r="D168" s="203" t="str">
        <f>IF(DATA!P98="","",DATA!P98)</f>
        <v/>
      </c>
      <c r="E168" s="13"/>
      <c r="F168" s="5" t="str">
        <f t="shared" si="66"/>
        <v/>
      </c>
      <c r="G168" s="1"/>
      <c r="H168" s="77">
        <f>IF(G168="",0,VLOOKUP(G168,REFCE!A:D,2,FALSE))</f>
        <v>0</v>
      </c>
      <c r="I168" s="77" t="str">
        <f t="shared" si="67"/>
        <v/>
      </c>
    </row>
    <row r="169" spans="1:9" x14ac:dyDescent="0.25">
      <c r="A169" s="203" t="str">
        <f>IF(DATA!M99="","",DATA!M99)</f>
        <v/>
      </c>
      <c r="B169" s="203" t="str">
        <f>IF(DATA!N99="","",DATA!N99)</f>
        <v/>
      </c>
      <c r="C169" s="203" t="str">
        <f>IF(DATA!O99="","",DATA!O99)</f>
        <v/>
      </c>
      <c r="D169" s="203" t="str">
        <f>IF(DATA!P99="","",DATA!P99)</f>
        <v/>
      </c>
      <c r="E169" s="13"/>
      <c r="F169" s="5" t="str">
        <f t="shared" si="66"/>
        <v/>
      </c>
      <c r="G169" s="1"/>
      <c r="H169" s="77">
        <f>IF(G169="",0,VLOOKUP(G169,REFCE!A:D,2,FALSE))</f>
        <v>0</v>
      </c>
      <c r="I169" s="77" t="str">
        <f t="shared" si="67"/>
        <v/>
      </c>
    </row>
    <row r="170" spans="1:9" x14ac:dyDescent="0.25">
      <c r="A170" s="203" t="str">
        <f>IF(DATA!M100="","",DATA!M100)</f>
        <v/>
      </c>
      <c r="B170" s="203" t="str">
        <f>IF(DATA!N100="","",DATA!N100)</f>
        <v/>
      </c>
      <c r="C170" s="203" t="str">
        <f>IF(DATA!O100="","",DATA!O100)</f>
        <v/>
      </c>
      <c r="D170" s="203" t="str">
        <f>IF(DATA!P100="","",DATA!P100)</f>
        <v/>
      </c>
      <c r="E170" s="13"/>
      <c r="F170" s="5" t="str">
        <f t="shared" si="66"/>
        <v/>
      </c>
      <c r="G170" s="1"/>
      <c r="H170" s="77">
        <f>IF(G170="",0,VLOOKUP(G170,REFCE!A:D,2,FALSE))</f>
        <v>0</v>
      </c>
      <c r="I170" s="77" t="str">
        <f t="shared" si="67"/>
        <v/>
      </c>
    </row>
    <row r="171" spans="1:9" x14ac:dyDescent="0.25">
      <c r="A171" s="203" t="str">
        <f>IF(DATA!M101="","",DATA!M101)</f>
        <v/>
      </c>
      <c r="B171" s="203" t="str">
        <f>IF(DATA!N101="","",DATA!N101)</f>
        <v/>
      </c>
      <c r="C171" s="203" t="str">
        <f>IF(DATA!O101="","",DATA!O101)</f>
        <v/>
      </c>
      <c r="D171" s="203" t="str">
        <f>IF(DATA!P101="","",DATA!P101)</f>
        <v/>
      </c>
      <c r="E171" s="13"/>
      <c r="F171" s="5" t="str">
        <f t="shared" si="66"/>
        <v/>
      </c>
      <c r="G171" s="1"/>
      <c r="H171" s="77">
        <f>IF(G171="",0,VLOOKUP(G171,REFCE!A:D,2,FALSE))</f>
        <v>0</v>
      </c>
      <c r="I171" s="77" t="str">
        <f t="shared" si="67"/>
        <v/>
      </c>
    </row>
    <row r="172" spans="1:9" x14ac:dyDescent="0.25">
      <c r="A172" s="203" t="str">
        <f>IF(DATA!M102="","",DATA!M102)</f>
        <v/>
      </c>
      <c r="B172" s="203" t="str">
        <f>IF(DATA!N102="","",DATA!N102)</f>
        <v/>
      </c>
      <c r="C172" s="203" t="str">
        <f>IF(DATA!O102="","",DATA!O102)</f>
        <v/>
      </c>
      <c r="D172" s="203" t="str">
        <f>IF(DATA!P102="","",DATA!P102)</f>
        <v/>
      </c>
      <c r="E172" s="13"/>
      <c r="F172" s="5" t="str">
        <f t="shared" si="66"/>
        <v/>
      </c>
      <c r="G172" s="1"/>
      <c r="H172" s="77">
        <f>IF(G172="",0,VLOOKUP(G172,REFCE!A:D,2,FALSE))</f>
        <v>0</v>
      </c>
      <c r="I172" s="77" t="str">
        <f t="shared" si="67"/>
        <v/>
      </c>
    </row>
    <row r="173" spans="1:9" x14ac:dyDescent="0.25">
      <c r="A173" s="203" t="str">
        <f>IF(DATA!M103="","",DATA!M103)</f>
        <v/>
      </c>
      <c r="B173" s="203" t="str">
        <f>IF(DATA!N103="","",DATA!N103)</f>
        <v/>
      </c>
      <c r="C173" s="203" t="str">
        <f>IF(DATA!O103="","",DATA!O103)</f>
        <v/>
      </c>
      <c r="D173" s="203" t="str">
        <f>IF(DATA!P103="","",DATA!P103)</f>
        <v/>
      </c>
      <c r="E173" s="13"/>
      <c r="F173" s="5" t="str">
        <f t="shared" si="66"/>
        <v/>
      </c>
      <c r="G173" s="1"/>
      <c r="H173" s="77">
        <f>IF(G173="",0,VLOOKUP(G173,REFCE!A:D,2,FALSE))</f>
        <v>0</v>
      </c>
      <c r="I173" s="77" t="str">
        <f t="shared" si="67"/>
        <v/>
      </c>
    </row>
    <row r="174" spans="1:9" x14ac:dyDescent="0.25">
      <c r="A174" s="203" t="str">
        <f>IF(DATA!M104="","",DATA!M104)</f>
        <v/>
      </c>
      <c r="B174" s="203" t="str">
        <f>IF(DATA!N104="","",DATA!N104)</f>
        <v/>
      </c>
      <c r="C174" s="203" t="str">
        <f>IF(DATA!O104="","",DATA!O104)</f>
        <v/>
      </c>
      <c r="D174" s="203" t="str">
        <f>IF(DATA!P104="","",DATA!P104)</f>
        <v/>
      </c>
      <c r="E174" s="13"/>
      <c r="F174" s="5" t="str">
        <f t="shared" si="66"/>
        <v/>
      </c>
      <c r="G174" s="1"/>
      <c r="H174" s="77">
        <f>IF(G174="",0,VLOOKUP(G174,REFCE!A:D,2,FALSE))</f>
        <v>0</v>
      </c>
      <c r="I174" s="77" t="str">
        <f t="shared" si="67"/>
        <v/>
      </c>
    </row>
    <row r="175" spans="1:9" x14ac:dyDescent="0.25">
      <c r="A175" s="203" t="str">
        <f>IF(DATA!M105="","",DATA!M105)</f>
        <v/>
      </c>
      <c r="B175" s="203" t="str">
        <f>IF(DATA!N105="","",DATA!N105)</f>
        <v/>
      </c>
      <c r="C175" s="203" t="str">
        <f>IF(DATA!O105="","",DATA!O105)</f>
        <v/>
      </c>
      <c r="D175" s="203" t="str">
        <f>IF(DATA!P105="","",DATA!P105)</f>
        <v/>
      </c>
      <c r="E175" s="13"/>
      <c r="F175" s="5" t="str">
        <f t="shared" si="66"/>
        <v/>
      </c>
      <c r="G175" s="1"/>
      <c r="H175" s="77">
        <f>IF(G175="",0,VLOOKUP(G175,REFCE!A:D,2,FALSE))</f>
        <v>0</v>
      </c>
      <c r="I175" s="77" t="str">
        <f t="shared" si="67"/>
        <v/>
      </c>
    </row>
    <row r="176" spans="1:9" x14ac:dyDescent="0.25">
      <c r="A176" s="203" t="str">
        <f>IF(DATA!M106="","",DATA!M106)</f>
        <v/>
      </c>
      <c r="B176" s="203" t="str">
        <f>IF(DATA!N106="","",DATA!N106)</f>
        <v/>
      </c>
      <c r="C176" s="203" t="str">
        <f>IF(DATA!O106="","",DATA!O106)</f>
        <v/>
      </c>
      <c r="D176" s="203" t="str">
        <f>IF(DATA!P106="","",DATA!P106)</f>
        <v/>
      </c>
      <c r="E176" s="13"/>
      <c r="F176" s="5" t="str">
        <f t="shared" si="66"/>
        <v/>
      </c>
      <c r="G176" s="1"/>
      <c r="H176" s="77">
        <f>IF(G176="",0,VLOOKUP(G176,REFCE!A:D,2,FALSE))</f>
        <v>0</v>
      </c>
      <c r="I176" s="77" t="str">
        <f t="shared" si="67"/>
        <v/>
      </c>
    </row>
    <row r="177" spans="1:9" x14ac:dyDescent="0.25">
      <c r="A177" s="203" t="str">
        <f>IF(DATA!M107="","",DATA!M107)</f>
        <v/>
      </c>
      <c r="B177" s="203" t="str">
        <f>IF(DATA!N107="","",DATA!N107)</f>
        <v/>
      </c>
      <c r="C177" s="203" t="str">
        <f>IF(DATA!O107="","",DATA!O107)</f>
        <v/>
      </c>
      <c r="D177" s="203" t="str">
        <f>IF(DATA!P107="","",DATA!P107)</f>
        <v/>
      </c>
      <c r="E177" s="13"/>
      <c r="F177" s="5" t="str">
        <f t="shared" si="66"/>
        <v/>
      </c>
      <c r="G177" s="1"/>
      <c r="H177" s="77">
        <f>IF(G177="",0,VLOOKUP(G177,REFCE!A:D,2,FALSE))</f>
        <v>0</v>
      </c>
      <c r="I177" s="77" t="str">
        <f t="shared" si="67"/>
        <v/>
      </c>
    </row>
    <row r="178" spans="1:9" x14ac:dyDescent="0.25">
      <c r="A178" s="203" t="str">
        <f>IF(DATA!M108="","",DATA!M108)</f>
        <v/>
      </c>
      <c r="B178" s="203" t="str">
        <f>IF(DATA!N108="","",DATA!N108)</f>
        <v/>
      </c>
      <c r="C178" s="203" t="str">
        <f>IF(DATA!O108="","",DATA!O108)</f>
        <v/>
      </c>
      <c r="D178" s="203" t="str">
        <f>IF(DATA!P108="","",DATA!P108)</f>
        <v/>
      </c>
      <c r="E178" s="13"/>
      <c r="F178" s="5" t="str">
        <f t="shared" si="66"/>
        <v/>
      </c>
      <c r="G178" s="1"/>
      <c r="H178" s="77">
        <f>IF(G178="",0,VLOOKUP(G178,REFCE!A:D,2,FALSE))</f>
        <v>0</v>
      </c>
      <c r="I178" s="77" t="str">
        <f t="shared" si="67"/>
        <v/>
      </c>
    </row>
    <row r="179" spans="1:9" x14ac:dyDescent="0.25">
      <c r="A179" s="203" t="str">
        <f>IF(DATA!M109="","",DATA!M109)</f>
        <v/>
      </c>
      <c r="B179" s="203" t="str">
        <f>IF(DATA!N109="","",DATA!N109)</f>
        <v/>
      </c>
      <c r="C179" s="203" t="str">
        <f>IF(DATA!O109="","",DATA!O109)</f>
        <v/>
      </c>
      <c r="D179" s="203" t="str">
        <f>IF(DATA!P109="","",DATA!P109)</f>
        <v/>
      </c>
      <c r="E179" s="13"/>
      <c r="F179" s="5" t="str">
        <f t="shared" si="66"/>
        <v/>
      </c>
      <c r="G179" s="1"/>
      <c r="H179" s="77">
        <f>IF(G179="",0,VLOOKUP(G179,REFCE!A:D,2,FALSE))</f>
        <v>0</v>
      </c>
      <c r="I179" s="77" t="str">
        <f t="shared" si="67"/>
        <v/>
      </c>
    </row>
    <row r="180" spans="1:9" x14ac:dyDescent="0.25">
      <c r="A180" s="203" t="str">
        <f>IF(DATA!M110="","",DATA!M110)</f>
        <v/>
      </c>
      <c r="B180" s="203" t="str">
        <f>IF(DATA!N110="","",DATA!N110)</f>
        <v/>
      </c>
      <c r="C180" s="203" t="str">
        <f>IF(DATA!O110="","",DATA!O110)</f>
        <v/>
      </c>
      <c r="D180" s="203" t="str">
        <f>IF(DATA!P110="","",DATA!P110)</f>
        <v/>
      </c>
      <c r="E180" s="13"/>
      <c r="F180" s="5" t="str">
        <f t="shared" si="66"/>
        <v/>
      </c>
      <c r="G180" s="1"/>
      <c r="H180" s="77">
        <f>IF(G180="",0,VLOOKUP(G180,REFCE!A:D,2,FALSE))</f>
        <v>0</v>
      </c>
      <c r="I180" s="77" t="str">
        <f t="shared" si="67"/>
        <v/>
      </c>
    </row>
    <row r="181" spans="1:9" x14ac:dyDescent="0.25">
      <c r="A181" s="203" t="str">
        <f>IF(DATA!M111="","",DATA!M111)</f>
        <v/>
      </c>
      <c r="B181" s="203" t="str">
        <f>IF(DATA!N111="","",DATA!N111)</f>
        <v/>
      </c>
      <c r="C181" s="203" t="str">
        <f>IF(DATA!O111="","",DATA!O111)</f>
        <v/>
      </c>
      <c r="D181" s="203" t="str">
        <f>IF(DATA!P111="","",DATA!P111)</f>
        <v/>
      </c>
      <c r="E181" s="13"/>
      <c r="F181" s="5" t="str">
        <f t="shared" si="66"/>
        <v/>
      </c>
      <c r="G181" s="1"/>
      <c r="H181" s="77">
        <f>IF(G181="",0,VLOOKUP(G181,REFCE!A:D,2,FALSE))</f>
        <v>0</v>
      </c>
      <c r="I181" s="77" t="str">
        <f t="shared" si="67"/>
        <v/>
      </c>
    </row>
    <row r="182" spans="1:9" x14ac:dyDescent="0.25">
      <c r="A182" s="203" t="str">
        <f>IF(DATA!M112="","",DATA!M112)</f>
        <v/>
      </c>
      <c r="B182" s="203" t="str">
        <f>IF(DATA!N112="","",DATA!N112)</f>
        <v/>
      </c>
      <c r="C182" s="203" t="str">
        <f>IF(DATA!O112="","",DATA!O112)</f>
        <v/>
      </c>
      <c r="D182" s="203" t="str">
        <f>IF(DATA!P112="","",DATA!P112)</f>
        <v/>
      </c>
      <c r="E182" s="13"/>
      <c r="F182" s="5" t="str">
        <f t="shared" si="66"/>
        <v/>
      </c>
      <c r="G182" s="1"/>
      <c r="H182" s="77">
        <f>IF(G182="",0,VLOOKUP(G182,REFCE!A:D,2,FALSE))</f>
        <v>0</v>
      </c>
      <c r="I182" s="77" t="str">
        <f t="shared" si="67"/>
        <v/>
      </c>
    </row>
    <row r="183" spans="1:9" x14ac:dyDescent="0.25">
      <c r="A183" s="203" t="str">
        <f>IF(DATA!M113="","",DATA!M113)</f>
        <v/>
      </c>
      <c r="B183" s="203" t="str">
        <f>IF(DATA!N113="","",DATA!N113)</f>
        <v/>
      </c>
      <c r="C183" s="203" t="str">
        <f>IF(DATA!O113="","",DATA!O113)</f>
        <v/>
      </c>
      <c r="D183" s="203" t="str">
        <f>IF(DATA!P113="","",DATA!P113)</f>
        <v/>
      </c>
      <c r="E183" s="13"/>
      <c r="F183" s="5" t="str">
        <f t="shared" si="66"/>
        <v/>
      </c>
      <c r="G183" s="1"/>
      <c r="H183" s="77">
        <f>IF(G183="",0,VLOOKUP(G183,REFCE!A:D,2,FALSE))</f>
        <v>0</v>
      </c>
      <c r="I183" s="77" t="str">
        <f t="shared" si="67"/>
        <v/>
      </c>
    </row>
    <row r="184" spans="1:9" x14ac:dyDescent="0.25">
      <c r="A184" s="203" t="str">
        <f>IF(DATA!M114="","",DATA!M114)</f>
        <v/>
      </c>
      <c r="B184" s="203" t="str">
        <f>IF(DATA!N114="","",DATA!N114)</f>
        <v/>
      </c>
      <c r="C184" s="203" t="str">
        <f>IF(DATA!O114="","",DATA!O114)</f>
        <v/>
      </c>
      <c r="D184" s="203" t="str">
        <f>IF(DATA!P114="","",DATA!P114)</f>
        <v/>
      </c>
      <c r="E184" s="13"/>
      <c r="F184" s="5" t="str">
        <f t="shared" si="66"/>
        <v/>
      </c>
      <c r="G184" s="1"/>
      <c r="H184" s="77">
        <f>IF(G184="",0,VLOOKUP(G184,REFCE!A:D,2,FALSE))</f>
        <v>0</v>
      </c>
      <c r="I184" s="77" t="str">
        <f t="shared" si="67"/>
        <v/>
      </c>
    </row>
    <row r="185" spans="1:9" x14ac:dyDescent="0.25">
      <c r="A185" s="203" t="str">
        <f>IF(DATA!M115="","",DATA!M115)</f>
        <v/>
      </c>
      <c r="B185" s="203" t="str">
        <f>IF(DATA!N115="","",DATA!N115)</f>
        <v/>
      </c>
      <c r="C185" s="203" t="str">
        <f>IF(DATA!O115="","",DATA!O115)</f>
        <v/>
      </c>
      <c r="D185" s="203" t="str">
        <f>IF(DATA!P115="","",DATA!P115)</f>
        <v/>
      </c>
      <c r="E185" s="13"/>
      <c r="F185" s="5" t="str">
        <f t="shared" si="66"/>
        <v/>
      </c>
      <c r="G185" s="1"/>
      <c r="H185" s="77">
        <f>IF(G185="",0,VLOOKUP(G185,REFCE!A:D,2,FALSE))</f>
        <v>0</v>
      </c>
      <c r="I185" s="77" t="str">
        <f t="shared" si="67"/>
        <v/>
      </c>
    </row>
    <row r="186" spans="1:9" x14ac:dyDescent="0.25">
      <c r="A186" s="203" t="str">
        <f>IF(DATA!M116="","",DATA!M116)</f>
        <v/>
      </c>
      <c r="B186" s="203" t="str">
        <f>IF(DATA!N116="","",DATA!N116)</f>
        <v/>
      </c>
      <c r="C186" s="203" t="str">
        <f>IF(DATA!O116="","",DATA!O116)</f>
        <v/>
      </c>
      <c r="D186" s="203" t="str">
        <f>IF(DATA!P116="","",DATA!P116)</f>
        <v/>
      </c>
      <c r="E186" s="13"/>
      <c r="F186" s="5" t="str">
        <f t="shared" si="66"/>
        <v/>
      </c>
      <c r="G186" s="1"/>
      <c r="H186" s="77">
        <f>IF(G186="",0,VLOOKUP(G186,REFCE!A:D,2,FALSE))</f>
        <v>0</v>
      </c>
      <c r="I186" s="77" t="str">
        <f t="shared" si="67"/>
        <v/>
      </c>
    </row>
    <row r="187" spans="1:9" x14ac:dyDescent="0.25">
      <c r="A187" s="203" t="str">
        <f>IF(DATA!M117="","",DATA!M117)</f>
        <v/>
      </c>
      <c r="B187" s="203" t="str">
        <f>IF(DATA!N117="","",DATA!N117)</f>
        <v/>
      </c>
      <c r="C187" s="203" t="str">
        <f>IF(DATA!O117="","",DATA!O117)</f>
        <v/>
      </c>
      <c r="D187" s="203" t="str">
        <f>IF(DATA!P117="","",DATA!P117)</f>
        <v/>
      </c>
      <c r="E187" s="13"/>
      <c r="F187" s="5" t="str">
        <f t="shared" si="66"/>
        <v/>
      </c>
      <c r="G187" s="1"/>
      <c r="H187" s="77">
        <f>IF(G187="",0,VLOOKUP(G187,REFCE!A:D,2,FALSE))</f>
        <v>0</v>
      </c>
      <c r="I187" s="77" t="str">
        <f t="shared" si="67"/>
        <v/>
      </c>
    </row>
    <row r="188" spans="1:9" x14ac:dyDescent="0.25">
      <c r="A188" s="203" t="str">
        <f>IF(DATA!M118="","",DATA!M118)</f>
        <v/>
      </c>
      <c r="B188" s="203" t="str">
        <f>IF(DATA!N118="","",DATA!N118)</f>
        <v/>
      </c>
      <c r="C188" s="203" t="str">
        <f>IF(DATA!O118="","",DATA!O118)</f>
        <v/>
      </c>
      <c r="D188" s="203" t="str">
        <f>IF(DATA!P118="","",DATA!P118)</f>
        <v/>
      </c>
      <c r="E188" s="13"/>
      <c r="F188" s="5" t="str">
        <f t="shared" si="66"/>
        <v/>
      </c>
      <c r="G188" s="1"/>
      <c r="H188" s="77">
        <f>IF(G188="",0,VLOOKUP(G188,REFCE!A:D,2,FALSE))</f>
        <v>0</v>
      </c>
      <c r="I188" s="77" t="str">
        <f t="shared" si="67"/>
        <v/>
      </c>
    </row>
    <row r="189" spans="1:9" x14ac:dyDescent="0.25">
      <c r="A189" s="203" t="str">
        <f>IF(DATA!M119="","",DATA!M119)</f>
        <v/>
      </c>
      <c r="B189" s="203" t="str">
        <f>IF(DATA!N119="","",DATA!N119)</f>
        <v/>
      </c>
      <c r="C189" s="203" t="str">
        <f>IF(DATA!O119="","",DATA!O119)</f>
        <v/>
      </c>
      <c r="D189" s="203" t="str">
        <f>IF(DATA!P119="","",DATA!P119)</f>
        <v/>
      </c>
      <c r="E189" s="13"/>
      <c r="F189" s="5" t="str">
        <f t="shared" si="66"/>
        <v/>
      </c>
      <c r="G189" s="1"/>
      <c r="H189" s="77">
        <f>IF(G189="",0,VLOOKUP(G189,REFCE!A:D,2,FALSE))</f>
        <v>0</v>
      </c>
      <c r="I189" s="77" t="str">
        <f t="shared" si="67"/>
        <v/>
      </c>
    </row>
    <row r="190" spans="1:9" x14ac:dyDescent="0.25">
      <c r="A190" s="203" t="str">
        <f>IF(DATA!M120="","",DATA!M120)</f>
        <v/>
      </c>
      <c r="B190" s="203" t="str">
        <f>IF(DATA!N120="","",DATA!N120)</f>
        <v/>
      </c>
      <c r="C190" s="203" t="str">
        <f>IF(DATA!O120="","",DATA!O120)</f>
        <v/>
      </c>
      <c r="D190" s="203" t="str">
        <f>IF(DATA!P120="","",DATA!P120)</f>
        <v/>
      </c>
      <c r="E190" s="13"/>
      <c r="F190" s="5" t="str">
        <f t="shared" si="66"/>
        <v/>
      </c>
      <c r="G190" s="1"/>
      <c r="H190" s="77">
        <f>IF(G190="",0,VLOOKUP(G190,REFCE!A:D,2,FALSE))</f>
        <v>0</v>
      </c>
      <c r="I190" s="77" t="str">
        <f t="shared" si="67"/>
        <v/>
      </c>
    </row>
    <row r="191" spans="1:9" x14ac:dyDescent="0.25">
      <c r="A191" s="203" t="str">
        <f>IF(DATA!M121="","",DATA!M121)</f>
        <v/>
      </c>
      <c r="B191" s="203" t="str">
        <f>IF(DATA!N121="","",DATA!N121)</f>
        <v/>
      </c>
      <c r="C191" s="203" t="str">
        <f>IF(DATA!O121="","",DATA!O121)</f>
        <v/>
      </c>
      <c r="D191" s="203" t="str">
        <f>IF(DATA!P121="","",DATA!P121)</f>
        <v/>
      </c>
      <c r="E191" s="13"/>
      <c r="F191" s="5" t="str">
        <f t="shared" si="66"/>
        <v/>
      </c>
      <c r="G191" s="1"/>
      <c r="H191" s="77">
        <f>IF(G191="",0,VLOOKUP(G191,REFCE!A:D,2,FALSE))</f>
        <v>0</v>
      </c>
      <c r="I191" s="77" t="str">
        <f t="shared" si="67"/>
        <v/>
      </c>
    </row>
    <row r="192" spans="1:9" x14ac:dyDescent="0.25">
      <c r="A192" s="203" t="str">
        <f>IF(DATA!M122="","",DATA!M122)</f>
        <v/>
      </c>
      <c r="B192" s="203" t="str">
        <f>IF(DATA!N122="","",DATA!N122)</f>
        <v/>
      </c>
      <c r="C192" s="203" t="str">
        <f>IF(DATA!O122="","",DATA!O122)</f>
        <v/>
      </c>
      <c r="D192" s="203" t="str">
        <f>IF(DATA!P122="","",DATA!P122)</f>
        <v/>
      </c>
      <c r="E192" s="13"/>
      <c r="F192" s="5" t="str">
        <f t="shared" si="66"/>
        <v/>
      </c>
      <c r="G192" s="1"/>
      <c r="H192" s="77">
        <f>IF(G192="",0,VLOOKUP(G192,REFCE!A:D,2,FALSE))</f>
        <v>0</v>
      </c>
      <c r="I192" s="77" t="str">
        <f t="shared" si="67"/>
        <v/>
      </c>
    </row>
    <row r="193" spans="1:9" x14ac:dyDescent="0.25">
      <c r="A193" s="203" t="str">
        <f>IF(DATA!M123="","",DATA!M123)</f>
        <v/>
      </c>
      <c r="B193" s="203" t="str">
        <f>IF(DATA!N123="","",DATA!N123)</f>
        <v/>
      </c>
      <c r="C193" s="203" t="str">
        <f>IF(DATA!O123="","",DATA!O123)</f>
        <v/>
      </c>
      <c r="D193" s="203" t="str">
        <f>IF(DATA!P123="","",DATA!P123)</f>
        <v/>
      </c>
      <c r="E193" s="13"/>
      <c r="F193" s="5" t="str">
        <f t="shared" si="66"/>
        <v/>
      </c>
      <c r="G193" s="1"/>
      <c r="H193" s="77">
        <f>IF(G193="",0,VLOOKUP(G193,REFCE!A:D,2,FALSE))</f>
        <v>0</v>
      </c>
      <c r="I193" s="77" t="str">
        <f t="shared" si="67"/>
        <v/>
      </c>
    </row>
    <row r="194" spans="1:9" x14ac:dyDescent="0.25">
      <c r="A194" s="203" t="str">
        <f>IF(DATA!M124="","",DATA!M124)</f>
        <v/>
      </c>
      <c r="B194" s="203" t="str">
        <f>IF(DATA!N124="","",DATA!N124)</f>
        <v/>
      </c>
      <c r="C194" s="203" t="str">
        <f>IF(DATA!O124="","",DATA!O124)</f>
        <v/>
      </c>
      <c r="D194" s="203" t="str">
        <f>IF(DATA!P124="","",DATA!P124)</f>
        <v/>
      </c>
      <c r="E194" s="13"/>
      <c r="F194" s="5" t="str">
        <f t="shared" si="66"/>
        <v/>
      </c>
      <c r="G194" s="1"/>
      <c r="H194" s="77">
        <f>IF(G194="",0,VLOOKUP(G194,REFCE!A:D,2,FALSE))</f>
        <v>0</v>
      </c>
      <c r="I194" s="77" t="str">
        <f t="shared" si="67"/>
        <v/>
      </c>
    </row>
    <row r="195" spans="1:9" x14ac:dyDescent="0.25">
      <c r="A195" s="203" t="str">
        <f>IF(DATA!M125="","",DATA!M125)</f>
        <v/>
      </c>
      <c r="B195" s="203" t="str">
        <f>IF(DATA!N125="","",DATA!N125)</f>
        <v/>
      </c>
      <c r="C195" s="203" t="str">
        <f>IF(DATA!O125="","",DATA!O125)</f>
        <v/>
      </c>
      <c r="D195" s="203" t="str">
        <f>IF(DATA!P125="","",DATA!P125)</f>
        <v/>
      </c>
      <c r="E195" s="13"/>
      <c r="F195" s="5" t="str">
        <f t="shared" si="66"/>
        <v/>
      </c>
      <c r="G195" s="1"/>
      <c r="H195" s="77">
        <f>IF(G195="",0,VLOOKUP(G195,REFCE!A:D,2,FALSE))</f>
        <v>0</v>
      </c>
      <c r="I195" s="77" t="str">
        <f t="shared" si="67"/>
        <v/>
      </c>
    </row>
    <row r="196" spans="1:9" x14ac:dyDescent="0.25">
      <c r="A196" s="203" t="str">
        <f>IF(DATA!M126="","",DATA!M126)</f>
        <v/>
      </c>
      <c r="B196" s="203" t="str">
        <f>IF(DATA!N126="","",DATA!N126)</f>
        <v/>
      </c>
      <c r="C196" s="203" t="str">
        <f>IF(DATA!O126="","",DATA!O126)</f>
        <v/>
      </c>
      <c r="D196" s="203" t="str">
        <f>IF(DATA!P126="","",DATA!P126)</f>
        <v/>
      </c>
      <c r="E196" s="13"/>
      <c r="F196" s="5" t="str">
        <f t="shared" si="66"/>
        <v/>
      </c>
      <c r="G196" s="1"/>
      <c r="H196" s="77">
        <f>IF(G196="",0,VLOOKUP(G196,REFCE!A:D,2,FALSE))</f>
        <v>0</v>
      </c>
      <c r="I196" s="77" t="str">
        <f t="shared" si="67"/>
        <v/>
      </c>
    </row>
    <row r="197" spans="1:9" x14ac:dyDescent="0.25">
      <c r="A197" s="203" t="str">
        <f>IF(DATA!M127="","",DATA!M127)</f>
        <v/>
      </c>
      <c r="B197" s="203" t="str">
        <f>IF(DATA!N127="","",DATA!N127)</f>
        <v/>
      </c>
      <c r="C197" s="203" t="str">
        <f>IF(DATA!O127="","",DATA!O127)</f>
        <v/>
      </c>
      <c r="D197" s="203" t="str">
        <f>IF(DATA!P127="","",DATA!P127)</f>
        <v/>
      </c>
      <c r="E197" s="13"/>
      <c r="F197" s="5" t="str">
        <f t="shared" si="66"/>
        <v/>
      </c>
      <c r="G197" s="1"/>
      <c r="H197" s="77">
        <f>IF(G197="",0,VLOOKUP(G197,REFCE!A:D,2,FALSE))</f>
        <v>0</v>
      </c>
      <c r="I197" s="77" t="str">
        <f t="shared" si="67"/>
        <v/>
      </c>
    </row>
    <row r="198" spans="1:9" x14ac:dyDescent="0.25">
      <c r="A198" s="203" t="str">
        <f>IF(DATA!M128="","",DATA!M128)</f>
        <v/>
      </c>
      <c r="B198" s="203" t="str">
        <f>IF(DATA!N128="","",DATA!N128)</f>
        <v/>
      </c>
      <c r="C198" s="203" t="str">
        <f>IF(DATA!O128="","",DATA!O128)</f>
        <v/>
      </c>
      <c r="D198" s="203" t="str">
        <f>IF(DATA!P128="","",DATA!P128)</f>
        <v/>
      </c>
      <c r="E198" s="13"/>
      <c r="F198" s="5" t="str">
        <f t="shared" si="66"/>
        <v/>
      </c>
      <c r="G198" s="1"/>
      <c r="H198" s="77">
        <f>IF(G198="",0,VLOOKUP(G198,REFCE!A:D,2,FALSE))</f>
        <v>0</v>
      </c>
      <c r="I198" s="77" t="str">
        <f t="shared" si="67"/>
        <v/>
      </c>
    </row>
    <row r="199" spans="1:9" x14ac:dyDescent="0.25">
      <c r="A199" s="203" t="str">
        <f>IF(DATA!M129="","",DATA!M129)</f>
        <v/>
      </c>
      <c r="B199" s="203" t="str">
        <f>IF(DATA!N129="","",DATA!N129)</f>
        <v/>
      </c>
      <c r="C199" s="203" t="str">
        <f>IF(DATA!O129="","",DATA!O129)</f>
        <v/>
      </c>
      <c r="D199" s="203" t="str">
        <f>IF(DATA!P129="","",DATA!P129)</f>
        <v/>
      </c>
      <c r="E199" s="13"/>
      <c r="F199" s="5" t="str">
        <f t="shared" si="66"/>
        <v/>
      </c>
      <c r="G199" s="1"/>
      <c r="H199" s="77">
        <f>IF(G199="",0,VLOOKUP(G199,REFCE!A:D,2,FALSE))</f>
        <v>0</v>
      </c>
      <c r="I199" s="77" t="str">
        <f t="shared" si="67"/>
        <v/>
      </c>
    </row>
    <row r="200" spans="1:9" x14ac:dyDescent="0.25">
      <c r="A200" s="203" t="str">
        <f>IF(DATA!M130="","",DATA!M130)</f>
        <v/>
      </c>
      <c r="B200" s="203" t="str">
        <f>IF(DATA!N130="","",DATA!N130)</f>
        <v/>
      </c>
      <c r="C200" s="203" t="str">
        <f>IF(DATA!O130="","",DATA!O130)</f>
        <v/>
      </c>
      <c r="D200" s="203" t="str">
        <f>IF(DATA!P130="","",DATA!P130)</f>
        <v/>
      </c>
      <c r="E200" s="13"/>
      <c r="F200" s="5" t="str">
        <f t="shared" si="66"/>
        <v/>
      </c>
      <c r="G200" s="1"/>
      <c r="H200" s="77">
        <f>IF(G200="",0,VLOOKUP(G200,REFCE!A:D,2,FALSE))</f>
        <v>0</v>
      </c>
      <c r="I200" s="77" t="str">
        <f t="shared" si="67"/>
        <v/>
      </c>
    </row>
    <row r="201" spans="1:9" x14ac:dyDescent="0.25">
      <c r="A201" s="203" t="str">
        <f>IF(DATA!M131="","",DATA!M131)</f>
        <v/>
      </c>
      <c r="B201" s="203" t="str">
        <f>IF(DATA!N131="","",DATA!N131)</f>
        <v/>
      </c>
      <c r="C201" s="203" t="str">
        <f>IF(DATA!O131="","",DATA!O131)</f>
        <v/>
      </c>
      <c r="D201" s="203" t="str">
        <f>IF(DATA!P131="","",DATA!P131)</f>
        <v/>
      </c>
      <c r="E201" s="13"/>
      <c r="F201" s="5" t="str">
        <f t="shared" si="66"/>
        <v/>
      </c>
      <c r="G201" s="1"/>
      <c r="H201" s="77">
        <f>IF(G201="",0,VLOOKUP(G201,REFCE!A:D,2,FALSE))</f>
        <v>0</v>
      </c>
      <c r="I201" s="77" t="str">
        <f t="shared" si="67"/>
        <v/>
      </c>
    </row>
    <row r="202" spans="1:9" x14ac:dyDescent="0.25">
      <c r="A202" s="203" t="str">
        <f>IF(DATA!M132="","",DATA!M132)</f>
        <v/>
      </c>
      <c r="B202" s="203" t="str">
        <f>IF(DATA!N132="","",DATA!N132)</f>
        <v/>
      </c>
      <c r="C202" s="203" t="str">
        <f>IF(DATA!O132="","",DATA!O132)</f>
        <v/>
      </c>
      <c r="D202" s="203" t="str">
        <f>IF(DATA!P132="","",DATA!P132)</f>
        <v/>
      </c>
      <c r="E202" s="13"/>
      <c r="F202" s="5" t="str">
        <f t="shared" si="66"/>
        <v/>
      </c>
      <c r="G202" s="1"/>
      <c r="H202" s="77">
        <f>IF(G202="",0,VLOOKUP(G202,REFCE!A:D,2,FALSE))</f>
        <v>0</v>
      </c>
      <c r="I202" s="77" t="str">
        <f t="shared" si="67"/>
        <v/>
      </c>
    </row>
    <row r="203" spans="1:9" x14ac:dyDescent="0.25">
      <c r="A203" s="203" t="str">
        <f>IF(DATA!M133="","",DATA!M133)</f>
        <v/>
      </c>
      <c r="B203" s="203" t="str">
        <f>IF(DATA!N133="","",DATA!N133)</f>
        <v/>
      </c>
      <c r="C203" s="203" t="str">
        <f>IF(DATA!O133="","",DATA!O133)</f>
        <v/>
      </c>
      <c r="D203" s="203" t="str">
        <f>IF(DATA!P133="","",DATA!P133)</f>
        <v/>
      </c>
      <c r="E203" s="13"/>
      <c r="F203" s="5" t="str">
        <f t="shared" si="66"/>
        <v/>
      </c>
      <c r="G203" s="1"/>
      <c r="H203" s="77">
        <f>IF(G203="",0,VLOOKUP(G203,REFCE!A:D,2,FALSE))</f>
        <v>0</v>
      </c>
      <c r="I203" s="77" t="str">
        <f t="shared" si="67"/>
        <v/>
      </c>
    </row>
    <row r="204" spans="1:9" x14ac:dyDescent="0.25">
      <c r="A204" s="203" t="str">
        <f>IF(DATA!M134="","",DATA!M134)</f>
        <v/>
      </c>
      <c r="B204" s="203" t="str">
        <f>IF(DATA!N134="","",DATA!N134)</f>
        <v/>
      </c>
      <c r="C204" s="203" t="str">
        <f>IF(DATA!O134="","",DATA!O134)</f>
        <v/>
      </c>
      <c r="D204" s="203" t="str">
        <f>IF(DATA!P134="","",DATA!P134)</f>
        <v/>
      </c>
      <c r="E204" s="13"/>
      <c r="F204" s="5" t="str">
        <f t="shared" si="66"/>
        <v/>
      </c>
      <c r="G204" s="1"/>
      <c r="H204" s="77">
        <f>IF(G204="",0,VLOOKUP(G204,REFCE!A:D,2,FALSE))</f>
        <v>0</v>
      </c>
      <c r="I204" s="77" t="str">
        <f t="shared" si="67"/>
        <v/>
      </c>
    </row>
    <row r="205" spans="1:9" x14ac:dyDescent="0.25">
      <c r="A205" s="203" t="str">
        <f>IF(DATA!M135="","",DATA!M135)</f>
        <v/>
      </c>
      <c r="B205" s="203" t="str">
        <f>IF(DATA!N135="","",DATA!N135)</f>
        <v/>
      </c>
      <c r="C205" s="203" t="str">
        <f>IF(DATA!O135="","",DATA!O135)</f>
        <v/>
      </c>
      <c r="D205" s="203" t="str">
        <f>IF(DATA!P135="","",DATA!P135)</f>
        <v/>
      </c>
      <c r="E205" s="13"/>
      <c r="F205" s="5" t="str">
        <f t="shared" si="66"/>
        <v/>
      </c>
      <c r="G205" s="1"/>
      <c r="H205" s="77">
        <f>IF(G205="",0,VLOOKUP(G205,REFCE!A:D,2,FALSE))</f>
        <v>0</v>
      </c>
      <c r="I205" s="77" t="str">
        <f t="shared" si="67"/>
        <v/>
      </c>
    </row>
    <row r="206" spans="1:9" x14ac:dyDescent="0.25">
      <c r="A206" s="203" t="str">
        <f>IF(DATA!M136="","",DATA!M136)</f>
        <v/>
      </c>
      <c r="B206" s="203" t="str">
        <f>IF(DATA!N136="","",DATA!N136)</f>
        <v/>
      </c>
      <c r="C206" s="203" t="str">
        <f>IF(DATA!O136="","",DATA!O136)</f>
        <v/>
      </c>
      <c r="D206" s="203" t="str">
        <f>IF(DATA!P136="","",DATA!P136)</f>
        <v/>
      </c>
      <c r="E206" s="13"/>
      <c r="F206" s="5" t="str">
        <f t="shared" ref="F206:F269" si="68">IF(D206="","",D206*E206)</f>
        <v/>
      </c>
      <c r="G206" s="1"/>
      <c r="H206" s="77">
        <f>IF(G206="",0,VLOOKUP(G206,REFCE!A:D,2,FALSE))</f>
        <v>0</v>
      </c>
      <c r="I206" s="77" t="str">
        <f t="shared" ref="I206:I269" si="69">IF(F206="","",F206*H206)</f>
        <v/>
      </c>
    </row>
    <row r="207" spans="1:9" x14ac:dyDescent="0.25">
      <c r="A207" s="203" t="str">
        <f>IF(DATA!M137="","",DATA!M137)</f>
        <v/>
      </c>
      <c r="B207" s="203" t="str">
        <f>IF(DATA!N137="","",DATA!N137)</f>
        <v/>
      </c>
      <c r="C207" s="203" t="str">
        <f>IF(DATA!O137="","",DATA!O137)</f>
        <v/>
      </c>
      <c r="D207" s="203" t="str">
        <f>IF(DATA!P137="","",DATA!P137)</f>
        <v/>
      </c>
      <c r="E207" s="13"/>
      <c r="F207" s="5" t="str">
        <f t="shared" si="68"/>
        <v/>
      </c>
      <c r="G207" s="1"/>
      <c r="H207" s="77">
        <f>IF(G207="",0,VLOOKUP(G207,REFCE!A:D,2,FALSE))</f>
        <v>0</v>
      </c>
      <c r="I207" s="77" t="str">
        <f t="shared" si="69"/>
        <v/>
      </c>
    </row>
    <row r="208" spans="1:9" x14ac:dyDescent="0.25">
      <c r="A208" s="203" t="str">
        <f>IF(DATA!M138="","",DATA!M138)</f>
        <v/>
      </c>
      <c r="B208" s="203" t="str">
        <f>IF(DATA!N138="","",DATA!N138)</f>
        <v/>
      </c>
      <c r="C208" s="203" t="str">
        <f>IF(DATA!O138="","",DATA!O138)</f>
        <v/>
      </c>
      <c r="D208" s="203" t="str">
        <f>IF(DATA!P138="","",DATA!P138)</f>
        <v/>
      </c>
      <c r="E208" s="13"/>
      <c r="F208" s="5" t="str">
        <f t="shared" si="68"/>
        <v/>
      </c>
      <c r="G208" s="1"/>
      <c r="H208" s="77">
        <f>IF(G208="",0,VLOOKUP(G208,REFCE!A:D,2,FALSE))</f>
        <v>0</v>
      </c>
      <c r="I208" s="77" t="str">
        <f t="shared" si="69"/>
        <v/>
      </c>
    </row>
    <row r="209" spans="1:9" x14ac:dyDescent="0.25">
      <c r="A209" s="203" t="str">
        <f>IF(DATA!M139="","",DATA!M139)</f>
        <v/>
      </c>
      <c r="B209" s="203" t="str">
        <f>IF(DATA!N139="","",DATA!N139)</f>
        <v/>
      </c>
      <c r="C209" s="203" t="str">
        <f>IF(DATA!O139="","",DATA!O139)</f>
        <v/>
      </c>
      <c r="D209" s="203" t="str">
        <f>IF(DATA!P139="","",DATA!P139)</f>
        <v/>
      </c>
      <c r="E209" s="13"/>
      <c r="F209" s="5" t="str">
        <f t="shared" si="68"/>
        <v/>
      </c>
      <c r="G209" s="1"/>
      <c r="H209" s="77">
        <f>IF(G209="",0,VLOOKUP(G209,REFCE!A:D,2,FALSE))</f>
        <v>0</v>
      </c>
      <c r="I209" s="77" t="str">
        <f t="shared" si="69"/>
        <v/>
      </c>
    </row>
    <row r="210" spans="1:9" x14ac:dyDescent="0.25">
      <c r="A210" s="203" t="str">
        <f>IF(DATA!M140="","",DATA!M140)</f>
        <v/>
      </c>
      <c r="B210" s="203" t="str">
        <f>IF(DATA!N140="","",DATA!N140)</f>
        <v/>
      </c>
      <c r="C210" s="203" t="str">
        <f>IF(DATA!O140="","",DATA!O140)</f>
        <v/>
      </c>
      <c r="D210" s="203" t="str">
        <f>IF(DATA!P140="","",DATA!P140)</f>
        <v/>
      </c>
      <c r="E210" s="13"/>
      <c r="F210" s="5" t="str">
        <f t="shared" si="68"/>
        <v/>
      </c>
      <c r="G210" s="1"/>
      <c r="H210" s="77">
        <f>IF(G210="",0,VLOOKUP(G210,REFCE!A:D,2,FALSE))</f>
        <v>0</v>
      </c>
      <c r="I210" s="77" t="str">
        <f t="shared" si="69"/>
        <v/>
      </c>
    </row>
    <row r="211" spans="1:9" x14ac:dyDescent="0.25">
      <c r="A211" s="203" t="str">
        <f>IF(DATA!M141="","",DATA!M141)</f>
        <v/>
      </c>
      <c r="B211" s="203" t="str">
        <f>IF(DATA!N141="","",DATA!N141)</f>
        <v/>
      </c>
      <c r="C211" s="203" t="str">
        <f>IF(DATA!O141="","",DATA!O141)</f>
        <v/>
      </c>
      <c r="D211" s="203" t="str">
        <f>IF(DATA!P141="","",DATA!P141)</f>
        <v/>
      </c>
      <c r="E211" s="13"/>
      <c r="F211" s="5" t="str">
        <f t="shared" si="68"/>
        <v/>
      </c>
      <c r="G211" s="1"/>
      <c r="H211" s="77">
        <f>IF(G211="",0,VLOOKUP(G211,REFCE!A:D,2,FALSE))</f>
        <v>0</v>
      </c>
      <c r="I211" s="77" t="str">
        <f t="shared" si="69"/>
        <v/>
      </c>
    </row>
    <row r="212" spans="1:9" x14ac:dyDescent="0.25">
      <c r="A212" s="203" t="str">
        <f>IF(DATA!M142="","",DATA!M142)</f>
        <v/>
      </c>
      <c r="B212" s="203" t="str">
        <f>IF(DATA!N142="","",DATA!N142)</f>
        <v/>
      </c>
      <c r="C212" s="203" t="str">
        <f>IF(DATA!O142="","",DATA!O142)</f>
        <v/>
      </c>
      <c r="D212" s="203" t="str">
        <f>IF(DATA!P142="","",DATA!P142)</f>
        <v/>
      </c>
      <c r="E212" s="13"/>
      <c r="F212" s="5" t="str">
        <f t="shared" si="68"/>
        <v/>
      </c>
      <c r="G212" s="1"/>
      <c r="H212" s="77">
        <f>IF(G212="",0,VLOOKUP(G212,REFCE!A:D,2,FALSE))</f>
        <v>0</v>
      </c>
      <c r="I212" s="77" t="str">
        <f t="shared" si="69"/>
        <v/>
      </c>
    </row>
    <row r="213" spans="1:9" x14ac:dyDescent="0.25">
      <c r="A213" s="203" t="str">
        <f>IF(DATA!M143="","",DATA!M143)</f>
        <v/>
      </c>
      <c r="B213" s="203" t="str">
        <f>IF(DATA!N143="","",DATA!N143)</f>
        <v/>
      </c>
      <c r="C213" s="203" t="str">
        <f>IF(DATA!O143="","",DATA!O143)</f>
        <v/>
      </c>
      <c r="D213" s="203" t="str">
        <f>IF(DATA!P143="","",DATA!P143)</f>
        <v/>
      </c>
      <c r="E213" s="13"/>
      <c r="F213" s="5" t="str">
        <f t="shared" si="68"/>
        <v/>
      </c>
      <c r="G213" s="1"/>
      <c r="H213" s="77">
        <f>IF(G213="",0,VLOOKUP(G213,REFCE!A:D,2,FALSE))</f>
        <v>0</v>
      </c>
      <c r="I213" s="77" t="str">
        <f t="shared" si="69"/>
        <v/>
      </c>
    </row>
    <row r="214" spans="1:9" x14ac:dyDescent="0.25">
      <c r="A214" s="203" t="str">
        <f>IF(DATA!M144="","",DATA!M144)</f>
        <v/>
      </c>
      <c r="B214" s="203" t="str">
        <f>IF(DATA!N144="","",DATA!N144)</f>
        <v/>
      </c>
      <c r="C214" s="203" t="str">
        <f>IF(DATA!O144="","",DATA!O144)</f>
        <v/>
      </c>
      <c r="D214" s="203" t="str">
        <f>IF(DATA!P144="","",DATA!P144)</f>
        <v/>
      </c>
      <c r="E214" s="13"/>
      <c r="F214" s="5" t="str">
        <f t="shared" si="68"/>
        <v/>
      </c>
      <c r="G214" s="1"/>
      <c r="H214" s="77">
        <f>IF(G214="",0,VLOOKUP(G214,REFCE!A:D,2,FALSE))</f>
        <v>0</v>
      </c>
      <c r="I214" s="77" t="str">
        <f t="shared" si="69"/>
        <v/>
      </c>
    </row>
    <row r="215" spans="1:9" x14ac:dyDescent="0.25">
      <c r="A215" s="203" t="str">
        <f>IF(DATA!M145="","",DATA!M145)</f>
        <v/>
      </c>
      <c r="B215" s="203" t="str">
        <f>IF(DATA!N145="","",DATA!N145)</f>
        <v/>
      </c>
      <c r="C215" s="203" t="str">
        <f>IF(DATA!O145="","",DATA!O145)</f>
        <v/>
      </c>
      <c r="D215" s="203" t="str">
        <f>IF(DATA!P145="","",DATA!P145)</f>
        <v/>
      </c>
      <c r="E215" s="13"/>
      <c r="F215" s="5" t="str">
        <f t="shared" si="68"/>
        <v/>
      </c>
      <c r="G215" s="1"/>
      <c r="H215" s="77">
        <f>IF(G215="",0,VLOOKUP(G215,REFCE!A:D,2,FALSE))</f>
        <v>0</v>
      </c>
      <c r="I215" s="77" t="str">
        <f t="shared" si="69"/>
        <v/>
      </c>
    </row>
    <row r="216" spans="1:9" x14ac:dyDescent="0.25">
      <c r="A216" s="203" t="str">
        <f>IF(DATA!M146="","",DATA!M146)</f>
        <v/>
      </c>
      <c r="B216" s="203" t="str">
        <f>IF(DATA!N146="","",DATA!N146)</f>
        <v/>
      </c>
      <c r="C216" s="203" t="str">
        <f>IF(DATA!O146="","",DATA!O146)</f>
        <v/>
      </c>
      <c r="D216" s="203" t="str">
        <f>IF(DATA!P146="","",DATA!P146)</f>
        <v/>
      </c>
      <c r="E216" s="13"/>
      <c r="F216" s="5" t="str">
        <f t="shared" si="68"/>
        <v/>
      </c>
      <c r="G216" s="1"/>
      <c r="H216" s="77">
        <f>IF(G216="",0,VLOOKUP(G216,REFCE!A:D,2,FALSE))</f>
        <v>0</v>
      </c>
      <c r="I216" s="77" t="str">
        <f t="shared" si="69"/>
        <v/>
      </c>
    </row>
    <row r="217" spans="1:9" x14ac:dyDescent="0.25">
      <c r="A217" s="203" t="str">
        <f>IF(DATA!M147="","",DATA!M147)</f>
        <v/>
      </c>
      <c r="B217" s="203" t="str">
        <f>IF(DATA!N147="","",DATA!N147)</f>
        <v/>
      </c>
      <c r="C217" s="203" t="str">
        <f>IF(DATA!O147="","",DATA!O147)</f>
        <v/>
      </c>
      <c r="D217" s="203" t="str">
        <f>IF(DATA!P147="","",DATA!P147)</f>
        <v/>
      </c>
      <c r="E217" s="13"/>
      <c r="F217" s="5" t="str">
        <f t="shared" si="68"/>
        <v/>
      </c>
      <c r="G217" s="1"/>
      <c r="H217" s="77">
        <f>IF(G217="",0,VLOOKUP(G217,REFCE!A:D,2,FALSE))</f>
        <v>0</v>
      </c>
      <c r="I217" s="77" t="str">
        <f t="shared" si="69"/>
        <v/>
      </c>
    </row>
    <row r="218" spans="1:9" x14ac:dyDescent="0.25">
      <c r="A218" s="203" t="str">
        <f>IF(DATA!M148="","",DATA!M148)</f>
        <v/>
      </c>
      <c r="B218" s="203" t="str">
        <f>IF(DATA!N148="","",DATA!N148)</f>
        <v/>
      </c>
      <c r="C218" s="203" t="str">
        <f>IF(DATA!O148="","",DATA!O148)</f>
        <v/>
      </c>
      <c r="D218" s="203" t="str">
        <f>IF(DATA!P148="","",DATA!P148)</f>
        <v/>
      </c>
      <c r="E218" s="13"/>
      <c r="F218" s="5" t="str">
        <f t="shared" si="68"/>
        <v/>
      </c>
      <c r="G218" s="1"/>
      <c r="H218" s="77">
        <f>IF(G218="",0,VLOOKUP(G218,REFCE!A:D,2,FALSE))</f>
        <v>0</v>
      </c>
      <c r="I218" s="77" t="str">
        <f t="shared" si="69"/>
        <v/>
      </c>
    </row>
    <row r="219" spans="1:9" x14ac:dyDescent="0.25">
      <c r="A219" s="203" t="str">
        <f>IF(DATA!M149="","",DATA!M149)</f>
        <v/>
      </c>
      <c r="B219" s="203" t="str">
        <f>IF(DATA!N149="","",DATA!N149)</f>
        <v/>
      </c>
      <c r="C219" s="203" t="str">
        <f>IF(DATA!O149="","",DATA!O149)</f>
        <v/>
      </c>
      <c r="D219" s="203" t="str">
        <f>IF(DATA!P149="","",DATA!P149)</f>
        <v/>
      </c>
      <c r="E219" s="13"/>
      <c r="F219" s="5" t="str">
        <f t="shared" si="68"/>
        <v/>
      </c>
      <c r="G219" s="1"/>
      <c r="H219" s="77">
        <f>IF(G219="",0,VLOOKUP(G219,REFCE!A:D,2,FALSE))</f>
        <v>0</v>
      </c>
      <c r="I219" s="77" t="str">
        <f t="shared" si="69"/>
        <v/>
      </c>
    </row>
    <row r="220" spans="1:9" x14ac:dyDescent="0.25">
      <c r="A220" s="203" t="str">
        <f>IF(DATA!M150="","",DATA!M150)</f>
        <v/>
      </c>
      <c r="B220" s="203" t="str">
        <f>IF(DATA!N150="","",DATA!N150)</f>
        <v/>
      </c>
      <c r="C220" s="203" t="str">
        <f>IF(DATA!O150="","",DATA!O150)</f>
        <v/>
      </c>
      <c r="D220" s="203" t="str">
        <f>IF(DATA!P150="","",DATA!P150)</f>
        <v/>
      </c>
      <c r="E220" s="13"/>
      <c r="F220" s="5" t="str">
        <f t="shared" si="68"/>
        <v/>
      </c>
      <c r="G220" s="1"/>
      <c r="H220" s="77">
        <f>IF(G220="",0,VLOOKUP(G220,REFCE!A:D,2,FALSE))</f>
        <v>0</v>
      </c>
      <c r="I220" s="77" t="str">
        <f t="shared" si="69"/>
        <v/>
      </c>
    </row>
    <row r="221" spans="1:9" x14ac:dyDescent="0.25">
      <c r="A221" s="203" t="str">
        <f>IF(DATA!M151="","",DATA!M151)</f>
        <v/>
      </c>
      <c r="B221" s="203" t="str">
        <f>IF(DATA!N151="","",DATA!N151)</f>
        <v/>
      </c>
      <c r="C221" s="203" t="str">
        <f>IF(DATA!O151="","",DATA!O151)</f>
        <v/>
      </c>
      <c r="D221" s="203" t="str">
        <f>IF(DATA!P151="","",DATA!P151)</f>
        <v/>
      </c>
      <c r="E221" s="13"/>
      <c r="F221" s="5" t="str">
        <f t="shared" si="68"/>
        <v/>
      </c>
      <c r="G221" s="1"/>
      <c r="H221" s="77">
        <f>IF(G221="",0,VLOOKUP(G221,REFCE!A:D,2,FALSE))</f>
        <v>0</v>
      </c>
      <c r="I221" s="77" t="str">
        <f t="shared" si="69"/>
        <v/>
      </c>
    </row>
    <row r="222" spans="1:9" x14ac:dyDescent="0.25">
      <c r="A222" s="203" t="str">
        <f>IF(DATA!M152="","",DATA!M152)</f>
        <v/>
      </c>
      <c r="B222" s="203" t="str">
        <f>IF(DATA!N152="","",DATA!N152)</f>
        <v/>
      </c>
      <c r="C222" s="203" t="str">
        <f>IF(DATA!O152="","",DATA!O152)</f>
        <v/>
      </c>
      <c r="D222" s="203" t="str">
        <f>IF(DATA!P152="","",DATA!P152)</f>
        <v/>
      </c>
      <c r="E222" s="13"/>
      <c r="F222" s="5" t="str">
        <f t="shared" si="68"/>
        <v/>
      </c>
      <c r="G222" s="1"/>
      <c r="H222" s="77">
        <f>IF(G222="",0,VLOOKUP(G222,REFCE!A:D,2,FALSE))</f>
        <v>0</v>
      </c>
      <c r="I222" s="77" t="str">
        <f t="shared" si="69"/>
        <v/>
      </c>
    </row>
    <row r="223" spans="1:9" x14ac:dyDescent="0.25">
      <c r="A223" s="203" t="str">
        <f>IF(DATA!M153="","",DATA!M153)</f>
        <v/>
      </c>
      <c r="B223" s="203" t="str">
        <f>IF(DATA!N153="","",DATA!N153)</f>
        <v/>
      </c>
      <c r="C223" s="203" t="str">
        <f>IF(DATA!O153="","",DATA!O153)</f>
        <v/>
      </c>
      <c r="D223" s="203" t="str">
        <f>IF(DATA!P153="","",DATA!P153)</f>
        <v/>
      </c>
      <c r="E223" s="13"/>
      <c r="F223" s="5" t="str">
        <f t="shared" si="68"/>
        <v/>
      </c>
      <c r="G223" s="1"/>
      <c r="H223" s="77">
        <f>IF(G223="",0,VLOOKUP(G223,REFCE!A:D,2,FALSE))</f>
        <v>0</v>
      </c>
      <c r="I223" s="77" t="str">
        <f t="shared" si="69"/>
        <v/>
      </c>
    </row>
    <row r="224" spans="1:9" x14ac:dyDescent="0.25">
      <c r="A224" s="203" t="str">
        <f>IF(DATA!M154="","",DATA!M154)</f>
        <v/>
      </c>
      <c r="B224" s="203" t="str">
        <f>IF(DATA!N154="","",DATA!N154)</f>
        <v/>
      </c>
      <c r="C224" s="203" t="str">
        <f>IF(DATA!O154="","",DATA!O154)</f>
        <v/>
      </c>
      <c r="D224" s="203" t="str">
        <f>IF(DATA!P154="","",DATA!P154)</f>
        <v/>
      </c>
      <c r="E224" s="13"/>
      <c r="F224" s="5" t="str">
        <f t="shared" si="68"/>
        <v/>
      </c>
      <c r="G224" s="1"/>
      <c r="H224" s="77">
        <f>IF(G224="",0,VLOOKUP(G224,REFCE!A:D,2,FALSE))</f>
        <v>0</v>
      </c>
      <c r="I224" s="77" t="str">
        <f t="shared" si="69"/>
        <v/>
      </c>
    </row>
    <row r="225" spans="1:9" x14ac:dyDescent="0.25">
      <c r="A225" s="203" t="str">
        <f>IF(DATA!M155="","",DATA!M155)</f>
        <v/>
      </c>
      <c r="B225" s="203" t="str">
        <f>IF(DATA!N155="","",DATA!N155)</f>
        <v/>
      </c>
      <c r="C225" s="203" t="str">
        <f>IF(DATA!O155="","",DATA!O155)</f>
        <v/>
      </c>
      <c r="D225" s="203" t="str">
        <f>IF(DATA!P155="","",DATA!P155)</f>
        <v/>
      </c>
      <c r="E225" s="13"/>
      <c r="F225" s="5" t="str">
        <f t="shared" si="68"/>
        <v/>
      </c>
      <c r="G225" s="1"/>
      <c r="H225" s="77">
        <f>IF(G225="",0,VLOOKUP(G225,REFCE!A:D,2,FALSE))</f>
        <v>0</v>
      </c>
      <c r="I225" s="77" t="str">
        <f t="shared" si="69"/>
        <v/>
      </c>
    </row>
    <row r="226" spans="1:9" x14ac:dyDescent="0.25">
      <c r="A226" s="203" t="str">
        <f>IF(DATA!M156="","",DATA!M156)</f>
        <v/>
      </c>
      <c r="B226" s="203" t="str">
        <f>IF(DATA!N156="","",DATA!N156)</f>
        <v/>
      </c>
      <c r="C226" s="203" t="str">
        <f>IF(DATA!O156="","",DATA!O156)</f>
        <v/>
      </c>
      <c r="D226" s="203" t="str">
        <f>IF(DATA!P156="","",DATA!P156)</f>
        <v/>
      </c>
      <c r="E226" s="13"/>
      <c r="F226" s="5" t="str">
        <f t="shared" si="68"/>
        <v/>
      </c>
      <c r="G226" s="1"/>
      <c r="H226" s="77">
        <f>IF(G226="",0,VLOOKUP(G226,REFCE!A:D,2,FALSE))</f>
        <v>0</v>
      </c>
      <c r="I226" s="77" t="str">
        <f t="shared" si="69"/>
        <v/>
      </c>
    </row>
    <row r="227" spans="1:9" x14ac:dyDescent="0.25">
      <c r="A227" s="203" t="str">
        <f>IF(DATA!M157="","",DATA!M157)</f>
        <v/>
      </c>
      <c r="B227" s="203" t="str">
        <f>IF(DATA!N157="","",DATA!N157)</f>
        <v/>
      </c>
      <c r="C227" s="203" t="str">
        <f>IF(DATA!O157="","",DATA!O157)</f>
        <v/>
      </c>
      <c r="D227" s="203" t="str">
        <f>IF(DATA!P157="","",DATA!P157)</f>
        <v/>
      </c>
      <c r="E227" s="13"/>
      <c r="F227" s="5" t="str">
        <f t="shared" si="68"/>
        <v/>
      </c>
      <c r="G227" s="1"/>
      <c r="H227" s="77">
        <f>IF(G227="",0,VLOOKUP(G227,REFCE!A:D,2,FALSE))</f>
        <v>0</v>
      </c>
      <c r="I227" s="77" t="str">
        <f t="shared" si="69"/>
        <v/>
      </c>
    </row>
    <row r="228" spans="1:9" x14ac:dyDescent="0.25">
      <c r="A228" s="203" t="str">
        <f>IF(DATA!M158="","",DATA!M158)</f>
        <v/>
      </c>
      <c r="B228" s="203" t="str">
        <f>IF(DATA!N158="","",DATA!N158)</f>
        <v/>
      </c>
      <c r="C228" s="203" t="str">
        <f>IF(DATA!O158="","",DATA!O158)</f>
        <v/>
      </c>
      <c r="D228" s="203" t="str">
        <f>IF(DATA!P158="","",DATA!P158)</f>
        <v/>
      </c>
      <c r="E228" s="13"/>
      <c r="F228" s="5" t="str">
        <f t="shared" si="68"/>
        <v/>
      </c>
      <c r="G228" s="1"/>
      <c r="H228" s="77">
        <f>IF(G228="",0,VLOOKUP(G228,REFCE!A:D,2,FALSE))</f>
        <v>0</v>
      </c>
      <c r="I228" s="77" t="str">
        <f t="shared" si="69"/>
        <v/>
      </c>
    </row>
    <row r="229" spans="1:9" x14ac:dyDescent="0.25">
      <c r="A229" s="203" t="str">
        <f>IF(DATA!M159="","",DATA!M159)</f>
        <v/>
      </c>
      <c r="B229" s="203" t="str">
        <f>IF(DATA!N159="","",DATA!N159)</f>
        <v/>
      </c>
      <c r="C229" s="203" t="str">
        <f>IF(DATA!O159="","",DATA!O159)</f>
        <v/>
      </c>
      <c r="D229" s="203" t="str">
        <f>IF(DATA!P159="","",DATA!P159)</f>
        <v/>
      </c>
      <c r="E229" s="13"/>
      <c r="F229" s="5" t="str">
        <f t="shared" si="68"/>
        <v/>
      </c>
      <c r="G229" s="1"/>
      <c r="H229" s="77">
        <f>IF(G229="",0,VLOOKUP(G229,REFCE!A:D,2,FALSE))</f>
        <v>0</v>
      </c>
      <c r="I229" s="77" t="str">
        <f t="shared" si="69"/>
        <v/>
      </c>
    </row>
    <row r="230" spans="1:9" x14ac:dyDescent="0.25">
      <c r="A230" s="203" t="str">
        <f>IF(DATA!M160="","",DATA!M160)</f>
        <v/>
      </c>
      <c r="B230" s="203" t="str">
        <f>IF(DATA!N160="","",DATA!N160)</f>
        <v/>
      </c>
      <c r="C230" s="203" t="str">
        <f>IF(DATA!O160="","",DATA!O160)</f>
        <v/>
      </c>
      <c r="D230" s="203" t="str">
        <f>IF(DATA!P160="","",DATA!P160)</f>
        <v/>
      </c>
      <c r="E230" s="13"/>
      <c r="F230" s="5" t="str">
        <f t="shared" si="68"/>
        <v/>
      </c>
      <c r="G230" s="1"/>
      <c r="H230" s="77">
        <f>IF(G230="",0,VLOOKUP(G230,REFCE!A:D,2,FALSE))</f>
        <v>0</v>
      </c>
      <c r="I230" s="77" t="str">
        <f t="shared" si="69"/>
        <v/>
      </c>
    </row>
    <row r="231" spans="1:9" x14ac:dyDescent="0.25">
      <c r="A231" s="203" t="str">
        <f>IF(DATA!M161="","",DATA!M161)</f>
        <v/>
      </c>
      <c r="B231" s="203" t="str">
        <f>IF(DATA!N161="","",DATA!N161)</f>
        <v/>
      </c>
      <c r="C231" s="203" t="str">
        <f>IF(DATA!O161="","",DATA!O161)</f>
        <v/>
      </c>
      <c r="D231" s="203" t="str">
        <f>IF(DATA!P161="","",DATA!P161)</f>
        <v/>
      </c>
      <c r="E231" s="13"/>
      <c r="F231" s="5" t="str">
        <f t="shared" si="68"/>
        <v/>
      </c>
      <c r="G231" s="1"/>
      <c r="H231" s="77">
        <f>IF(G231="",0,VLOOKUP(G231,REFCE!A:D,2,FALSE))</f>
        <v>0</v>
      </c>
      <c r="I231" s="77" t="str">
        <f t="shared" si="69"/>
        <v/>
      </c>
    </row>
    <row r="232" spans="1:9" x14ac:dyDescent="0.25">
      <c r="A232" s="203" t="str">
        <f>IF(DATA!M162="","",DATA!M162)</f>
        <v/>
      </c>
      <c r="B232" s="203" t="str">
        <f>IF(DATA!N162="","",DATA!N162)</f>
        <v/>
      </c>
      <c r="C232" s="203" t="str">
        <f>IF(DATA!O162="","",DATA!O162)</f>
        <v/>
      </c>
      <c r="D232" s="203" t="str">
        <f>IF(DATA!P162="","",DATA!P162)</f>
        <v/>
      </c>
      <c r="E232" s="13"/>
      <c r="F232" s="5" t="str">
        <f t="shared" si="68"/>
        <v/>
      </c>
      <c r="G232" s="1"/>
      <c r="H232" s="77">
        <f>IF(G232="",0,VLOOKUP(G232,REFCE!A:D,2,FALSE))</f>
        <v>0</v>
      </c>
      <c r="I232" s="77" t="str">
        <f t="shared" si="69"/>
        <v/>
      </c>
    </row>
    <row r="233" spans="1:9" x14ac:dyDescent="0.25">
      <c r="A233" s="203" t="str">
        <f>IF(DATA!M163="","",DATA!M163)</f>
        <v/>
      </c>
      <c r="B233" s="203" t="str">
        <f>IF(DATA!N163="","",DATA!N163)</f>
        <v/>
      </c>
      <c r="C233" s="203" t="str">
        <f>IF(DATA!O163="","",DATA!O163)</f>
        <v/>
      </c>
      <c r="D233" s="203" t="str">
        <f>IF(DATA!P163="","",DATA!P163)</f>
        <v/>
      </c>
      <c r="E233" s="13"/>
      <c r="F233" s="5" t="str">
        <f t="shared" si="68"/>
        <v/>
      </c>
      <c r="G233" s="1"/>
      <c r="H233" s="77">
        <f>IF(G233="",0,VLOOKUP(G233,REFCE!A:D,2,FALSE))</f>
        <v>0</v>
      </c>
      <c r="I233" s="77" t="str">
        <f t="shared" si="69"/>
        <v/>
      </c>
    </row>
    <row r="234" spans="1:9" x14ac:dyDescent="0.25">
      <c r="A234" s="203" t="str">
        <f>IF(DATA!M164="","",DATA!M164)</f>
        <v/>
      </c>
      <c r="B234" s="203" t="str">
        <f>IF(DATA!N164="","",DATA!N164)</f>
        <v/>
      </c>
      <c r="C234" s="203" t="str">
        <f>IF(DATA!O164="","",DATA!O164)</f>
        <v/>
      </c>
      <c r="D234" s="203" t="str">
        <f>IF(DATA!P164="","",DATA!P164)</f>
        <v/>
      </c>
      <c r="E234" s="13"/>
      <c r="F234" s="5" t="str">
        <f t="shared" si="68"/>
        <v/>
      </c>
      <c r="G234" s="1"/>
      <c r="H234" s="77">
        <f>IF(G234="",0,VLOOKUP(G234,REFCE!A:D,2,FALSE))</f>
        <v>0</v>
      </c>
      <c r="I234" s="77" t="str">
        <f t="shared" si="69"/>
        <v/>
      </c>
    </row>
    <row r="235" spans="1:9" x14ac:dyDescent="0.25">
      <c r="A235" s="203" t="str">
        <f>IF(DATA!M165="","",DATA!M165)</f>
        <v/>
      </c>
      <c r="B235" s="203" t="str">
        <f>IF(DATA!N165="","",DATA!N165)</f>
        <v/>
      </c>
      <c r="C235" s="203" t="str">
        <f>IF(DATA!O165="","",DATA!O165)</f>
        <v/>
      </c>
      <c r="D235" s="203" t="str">
        <f>IF(DATA!P165="","",DATA!P165)</f>
        <v/>
      </c>
      <c r="E235" s="13"/>
      <c r="F235" s="5" t="str">
        <f t="shared" si="68"/>
        <v/>
      </c>
      <c r="G235" s="1"/>
      <c r="H235" s="77">
        <f>IF(G235="",0,VLOOKUP(G235,REFCE!A:D,2,FALSE))</f>
        <v>0</v>
      </c>
      <c r="I235" s="77" t="str">
        <f t="shared" si="69"/>
        <v/>
      </c>
    </row>
    <row r="236" spans="1:9" x14ac:dyDescent="0.25">
      <c r="A236" s="203" t="str">
        <f>IF(DATA!M166="","",DATA!M166)</f>
        <v/>
      </c>
      <c r="B236" s="203" t="str">
        <f>IF(DATA!N166="","",DATA!N166)</f>
        <v/>
      </c>
      <c r="C236" s="203" t="str">
        <f>IF(DATA!O166="","",DATA!O166)</f>
        <v/>
      </c>
      <c r="D236" s="203" t="str">
        <f>IF(DATA!P166="","",DATA!P166)</f>
        <v/>
      </c>
      <c r="E236" s="13"/>
      <c r="F236" s="5" t="str">
        <f t="shared" si="68"/>
        <v/>
      </c>
      <c r="G236" s="1"/>
      <c r="H236" s="77">
        <f>IF(G236="",0,VLOOKUP(G236,REFCE!A:D,2,FALSE))</f>
        <v>0</v>
      </c>
      <c r="I236" s="77" t="str">
        <f t="shared" si="69"/>
        <v/>
      </c>
    </row>
    <row r="237" spans="1:9" x14ac:dyDescent="0.25">
      <c r="A237" s="203" t="str">
        <f>IF(DATA!M167="","",DATA!M167)</f>
        <v/>
      </c>
      <c r="B237" s="203" t="str">
        <f>IF(DATA!N167="","",DATA!N167)</f>
        <v/>
      </c>
      <c r="C237" s="203" t="str">
        <f>IF(DATA!O167="","",DATA!O167)</f>
        <v/>
      </c>
      <c r="D237" s="203" t="str">
        <f>IF(DATA!P167="","",DATA!P167)</f>
        <v/>
      </c>
      <c r="E237" s="13"/>
      <c r="F237" s="5" t="str">
        <f t="shared" si="68"/>
        <v/>
      </c>
      <c r="G237" s="1"/>
      <c r="H237" s="77">
        <f>IF(G237="",0,VLOOKUP(G237,REFCE!A:D,2,FALSE))</f>
        <v>0</v>
      </c>
      <c r="I237" s="77" t="str">
        <f t="shared" si="69"/>
        <v/>
      </c>
    </row>
    <row r="238" spans="1:9" x14ac:dyDescent="0.25">
      <c r="A238" s="203" t="str">
        <f>IF(DATA!M168="","",DATA!M168)</f>
        <v/>
      </c>
      <c r="B238" s="203" t="str">
        <f>IF(DATA!N168="","",DATA!N168)</f>
        <v/>
      </c>
      <c r="C238" s="203" t="str">
        <f>IF(DATA!O168="","",DATA!O168)</f>
        <v/>
      </c>
      <c r="D238" s="203" t="str">
        <f>IF(DATA!P168="","",DATA!P168)</f>
        <v/>
      </c>
      <c r="E238" s="13"/>
      <c r="F238" s="5" t="str">
        <f t="shared" si="68"/>
        <v/>
      </c>
      <c r="G238" s="1"/>
      <c r="H238" s="77">
        <f>IF(G238="",0,VLOOKUP(G238,REFCE!A:D,2,FALSE))</f>
        <v>0</v>
      </c>
      <c r="I238" s="77" t="str">
        <f t="shared" si="69"/>
        <v/>
      </c>
    </row>
    <row r="239" spans="1:9" x14ac:dyDescent="0.25">
      <c r="A239" s="203" t="str">
        <f>IF(DATA!M169="","",DATA!M169)</f>
        <v/>
      </c>
      <c r="B239" s="203" t="str">
        <f>IF(DATA!N169="","",DATA!N169)</f>
        <v/>
      </c>
      <c r="C239" s="203" t="str">
        <f>IF(DATA!O169="","",DATA!O169)</f>
        <v/>
      </c>
      <c r="D239" s="203" t="str">
        <f>IF(DATA!P169="","",DATA!P169)</f>
        <v/>
      </c>
      <c r="E239" s="13"/>
      <c r="F239" s="5" t="str">
        <f t="shared" si="68"/>
        <v/>
      </c>
      <c r="G239" s="1"/>
      <c r="H239" s="77">
        <f>IF(G239="",0,VLOOKUP(G239,REFCE!A:D,2,FALSE))</f>
        <v>0</v>
      </c>
      <c r="I239" s="77" t="str">
        <f t="shared" si="69"/>
        <v/>
      </c>
    </row>
    <row r="240" spans="1:9" x14ac:dyDescent="0.25">
      <c r="A240" s="203" t="str">
        <f>IF(DATA!M170="","",DATA!M170)</f>
        <v/>
      </c>
      <c r="B240" s="203" t="str">
        <f>IF(DATA!N170="","",DATA!N170)</f>
        <v/>
      </c>
      <c r="C240" s="203" t="str">
        <f>IF(DATA!O170="","",DATA!O170)</f>
        <v/>
      </c>
      <c r="D240" s="203" t="str">
        <f>IF(DATA!P170="","",DATA!P170)</f>
        <v/>
      </c>
      <c r="E240" s="13"/>
      <c r="F240" s="5" t="str">
        <f t="shared" si="68"/>
        <v/>
      </c>
      <c r="G240" s="1"/>
      <c r="H240" s="77">
        <f>IF(G240="",0,VLOOKUP(G240,REFCE!A:D,2,FALSE))</f>
        <v>0</v>
      </c>
      <c r="I240" s="77" t="str">
        <f t="shared" si="69"/>
        <v/>
      </c>
    </row>
    <row r="241" spans="1:9" x14ac:dyDescent="0.25">
      <c r="A241" s="203" t="str">
        <f>IF(DATA!M171="","",DATA!M171)</f>
        <v/>
      </c>
      <c r="B241" s="203" t="str">
        <f>IF(DATA!N171="","",DATA!N171)</f>
        <v/>
      </c>
      <c r="C241" s="203" t="str">
        <f>IF(DATA!O171="","",DATA!O171)</f>
        <v/>
      </c>
      <c r="D241" s="203" t="str">
        <f>IF(DATA!P171="","",DATA!P171)</f>
        <v/>
      </c>
      <c r="E241" s="13"/>
      <c r="F241" s="5" t="str">
        <f t="shared" si="68"/>
        <v/>
      </c>
      <c r="G241" s="1"/>
      <c r="H241" s="77">
        <f>IF(G241="",0,VLOOKUP(G241,REFCE!A:D,2,FALSE))</f>
        <v>0</v>
      </c>
      <c r="I241" s="77" t="str">
        <f t="shared" si="69"/>
        <v/>
      </c>
    </row>
    <row r="242" spans="1:9" x14ac:dyDescent="0.25">
      <c r="A242" s="203" t="str">
        <f>IF(DATA!M172="","",DATA!M172)</f>
        <v/>
      </c>
      <c r="B242" s="203" t="str">
        <f>IF(DATA!N172="","",DATA!N172)</f>
        <v/>
      </c>
      <c r="C242" s="203" t="str">
        <f>IF(DATA!O172="","",DATA!O172)</f>
        <v/>
      </c>
      <c r="D242" s="203" t="str">
        <f>IF(DATA!P172="","",DATA!P172)</f>
        <v/>
      </c>
      <c r="E242" s="13"/>
      <c r="F242" s="5" t="str">
        <f t="shared" si="68"/>
        <v/>
      </c>
      <c r="G242" s="1"/>
      <c r="H242" s="77">
        <f>IF(G242="",0,VLOOKUP(G242,REFCE!A:D,2,FALSE))</f>
        <v>0</v>
      </c>
      <c r="I242" s="77" t="str">
        <f t="shared" si="69"/>
        <v/>
      </c>
    </row>
    <row r="243" spans="1:9" x14ac:dyDescent="0.25">
      <c r="A243" s="203" t="str">
        <f>IF(DATA!M173="","",DATA!M173)</f>
        <v/>
      </c>
      <c r="B243" s="203" t="str">
        <f>IF(DATA!N173="","",DATA!N173)</f>
        <v/>
      </c>
      <c r="C243" s="203" t="str">
        <f>IF(DATA!O173="","",DATA!O173)</f>
        <v/>
      </c>
      <c r="D243" s="203" t="str">
        <f>IF(DATA!P173="","",DATA!P173)</f>
        <v/>
      </c>
      <c r="E243" s="13"/>
      <c r="F243" s="5" t="str">
        <f t="shared" si="68"/>
        <v/>
      </c>
      <c r="G243" s="1"/>
      <c r="H243" s="77">
        <f>IF(G243="",0,VLOOKUP(G243,REFCE!A:D,2,FALSE))</f>
        <v>0</v>
      </c>
      <c r="I243" s="77" t="str">
        <f t="shared" si="69"/>
        <v/>
      </c>
    </row>
    <row r="244" spans="1:9" x14ac:dyDescent="0.25">
      <c r="A244" s="203" t="str">
        <f>IF(DATA!M174="","",DATA!M174)</f>
        <v/>
      </c>
      <c r="B244" s="203" t="str">
        <f>IF(DATA!N174="","",DATA!N174)</f>
        <v/>
      </c>
      <c r="C244" s="203" t="str">
        <f>IF(DATA!O174="","",DATA!O174)</f>
        <v/>
      </c>
      <c r="D244" s="203" t="str">
        <f>IF(DATA!P174="","",DATA!P174)</f>
        <v/>
      </c>
      <c r="E244" s="13"/>
      <c r="F244" s="5" t="str">
        <f t="shared" si="68"/>
        <v/>
      </c>
      <c r="G244" s="1"/>
      <c r="H244" s="77">
        <f>IF(G244="",0,VLOOKUP(G244,REFCE!A:D,2,FALSE))</f>
        <v>0</v>
      </c>
      <c r="I244" s="77" t="str">
        <f t="shared" si="69"/>
        <v/>
      </c>
    </row>
    <row r="245" spans="1:9" x14ac:dyDescent="0.25">
      <c r="A245" s="203" t="str">
        <f>IF(DATA!M175="","",DATA!M175)</f>
        <v/>
      </c>
      <c r="B245" s="203" t="str">
        <f>IF(DATA!N175="","",DATA!N175)</f>
        <v/>
      </c>
      <c r="C245" s="203" t="str">
        <f>IF(DATA!O175="","",DATA!O175)</f>
        <v/>
      </c>
      <c r="D245" s="203" t="str">
        <f>IF(DATA!P175="","",DATA!P175)</f>
        <v/>
      </c>
      <c r="E245" s="13"/>
      <c r="F245" s="5" t="str">
        <f t="shared" si="68"/>
        <v/>
      </c>
      <c r="G245" s="1"/>
      <c r="H245" s="77">
        <f>IF(G245="",0,VLOOKUP(G245,REFCE!A:D,2,FALSE))</f>
        <v>0</v>
      </c>
      <c r="I245" s="77" t="str">
        <f t="shared" si="69"/>
        <v/>
      </c>
    </row>
    <row r="246" spans="1:9" x14ac:dyDescent="0.25">
      <c r="A246" s="203" t="str">
        <f>IF(DATA!M176="","",DATA!M176)</f>
        <v/>
      </c>
      <c r="B246" s="203" t="str">
        <f>IF(DATA!N176="","",DATA!N176)</f>
        <v/>
      </c>
      <c r="C246" s="203" t="str">
        <f>IF(DATA!O176="","",DATA!O176)</f>
        <v/>
      </c>
      <c r="D246" s="203" t="str">
        <f>IF(DATA!P176="","",DATA!P176)</f>
        <v/>
      </c>
      <c r="E246" s="13"/>
      <c r="F246" s="5" t="str">
        <f t="shared" si="68"/>
        <v/>
      </c>
      <c r="G246" s="1"/>
      <c r="H246" s="77">
        <f>IF(G246="",0,VLOOKUP(G246,REFCE!A:D,2,FALSE))</f>
        <v>0</v>
      </c>
      <c r="I246" s="77" t="str">
        <f t="shared" si="69"/>
        <v/>
      </c>
    </row>
    <row r="247" spans="1:9" x14ac:dyDescent="0.25">
      <c r="A247" s="203" t="str">
        <f>IF(DATA!M177="","",DATA!M177)</f>
        <v/>
      </c>
      <c r="B247" s="203" t="str">
        <f>IF(DATA!N177="","",DATA!N177)</f>
        <v/>
      </c>
      <c r="C247" s="203" t="str">
        <f>IF(DATA!O177="","",DATA!O177)</f>
        <v/>
      </c>
      <c r="D247" s="203" t="str">
        <f>IF(DATA!P177="","",DATA!P177)</f>
        <v/>
      </c>
      <c r="E247" s="13"/>
      <c r="F247" s="5" t="str">
        <f t="shared" si="68"/>
        <v/>
      </c>
      <c r="G247" s="1"/>
      <c r="H247" s="77">
        <f>IF(G247="",0,VLOOKUP(G247,REFCE!A:D,2,FALSE))</f>
        <v>0</v>
      </c>
      <c r="I247" s="77" t="str">
        <f t="shared" si="69"/>
        <v/>
      </c>
    </row>
    <row r="248" spans="1:9" x14ac:dyDescent="0.25">
      <c r="A248" s="203" t="str">
        <f>IF(DATA!M178="","",DATA!M178)</f>
        <v/>
      </c>
      <c r="B248" s="203" t="str">
        <f>IF(DATA!N178="","",DATA!N178)</f>
        <v/>
      </c>
      <c r="C248" s="203" t="str">
        <f>IF(DATA!O178="","",DATA!O178)</f>
        <v/>
      </c>
      <c r="D248" s="203" t="str">
        <f>IF(DATA!P178="","",DATA!P178)</f>
        <v/>
      </c>
      <c r="E248" s="13"/>
      <c r="F248" s="5" t="str">
        <f t="shared" si="68"/>
        <v/>
      </c>
      <c r="G248" s="1"/>
      <c r="H248" s="77">
        <f>IF(G248="",0,VLOOKUP(G248,REFCE!A:D,2,FALSE))</f>
        <v>0</v>
      </c>
      <c r="I248" s="77" t="str">
        <f t="shared" si="69"/>
        <v/>
      </c>
    </row>
    <row r="249" spans="1:9" x14ac:dyDescent="0.25">
      <c r="A249" s="203" t="str">
        <f>IF(DATA!M179="","",DATA!M179)</f>
        <v/>
      </c>
      <c r="B249" s="203" t="str">
        <f>IF(DATA!N179="","",DATA!N179)</f>
        <v/>
      </c>
      <c r="C249" s="203" t="str">
        <f>IF(DATA!O179="","",DATA!O179)</f>
        <v/>
      </c>
      <c r="D249" s="203" t="str">
        <f>IF(DATA!P179="","",DATA!P179)</f>
        <v/>
      </c>
      <c r="E249" s="13"/>
      <c r="F249" s="5" t="str">
        <f t="shared" si="68"/>
        <v/>
      </c>
      <c r="G249" s="1"/>
      <c r="H249" s="77">
        <f>IF(G249="",0,VLOOKUP(G249,REFCE!A:D,2,FALSE))</f>
        <v>0</v>
      </c>
      <c r="I249" s="77" t="str">
        <f t="shared" si="69"/>
        <v/>
      </c>
    </row>
    <row r="250" spans="1:9" x14ac:dyDescent="0.25">
      <c r="A250" s="203" t="str">
        <f>IF(DATA!M180="","",DATA!M180)</f>
        <v/>
      </c>
      <c r="B250" s="203" t="str">
        <f>IF(DATA!N180="","",DATA!N180)</f>
        <v/>
      </c>
      <c r="C250" s="203" t="str">
        <f>IF(DATA!O180="","",DATA!O180)</f>
        <v/>
      </c>
      <c r="D250" s="203" t="str">
        <f>IF(DATA!P180="","",DATA!P180)</f>
        <v/>
      </c>
      <c r="E250" s="13"/>
      <c r="F250" s="5" t="str">
        <f t="shared" si="68"/>
        <v/>
      </c>
      <c r="G250" s="1"/>
      <c r="H250" s="77">
        <f>IF(G250="",0,VLOOKUP(G250,REFCE!A:D,2,FALSE))</f>
        <v>0</v>
      </c>
      <c r="I250" s="77" t="str">
        <f t="shared" si="69"/>
        <v/>
      </c>
    </row>
    <row r="251" spans="1:9" x14ac:dyDescent="0.25">
      <c r="A251" s="203" t="str">
        <f>IF(DATA!M181="","",DATA!M181)</f>
        <v/>
      </c>
      <c r="B251" s="203" t="str">
        <f>IF(DATA!N181="","",DATA!N181)</f>
        <v/>
      </c>
      <c r="C251" s="203" t="str">
        <f>IF(DATA!O181="","",DATA!O181)</f>
        <v/>
      </c>
      <c r="D251" s="203" t="str">
        <f>IF(DATA!P181="","",DATA!P181)</f>
        <v/>
      </c>
      <c r="E251" s="13"/>
      <c r="F251" s="5" t="str">
        <f t="shared" si="68"/>
        <v/>
      </c>
      <c r="G251" s="1"/>
      <c r="H251" s="77">
        <f>IF(G251="",0,VLOOKUP(G251,REFCE!A:D,2,FALSE))</f>
        <v>0</v>
      </c>
      <c r="I251" s="77" t="str">
        <f t="shared" si="69"/>
        <v/>
      </c>
    </row>
    <row r="252" spans="1:9" x14ac:dyDescent="0.25">
      <c r="A252" s="203" t="str">
        <f>IF(DATA!M182="","",DATA!M182)</f>
        <v/>
      </c>
      <c r="B252" s="203" t="str">
        <f>IF(DATA!N182="","",DATA!N182)</f>
        <v/>
      </c>
      <c r="C252" s="203" t="str">
        <f>IF(DATA!O182="","",DATA!O182)</f>
        <v/>
      </c>
      <c r="D252" s="203" t="str">
        <f>IF(DATA!P182="","",DATA!P182)</f>
        <v/>
      </c>
      <c r="E252" s="13"/>
      <c r="F252" s="5" t="str">
        <f t="shared" si="68"/>
        <v/>
      </c>
      <c r="G252" s="1"/>
      <c r="H252" s="77">
        <f>IF(G252="",0,VLOOKUP(G252,REFCE!A:D,2,FALSE))</f>
        <v>0</v>
      </c>
      <c r="I252" s="77" t="str">
        <f t="shared" si="69"/>
        <v/>
      </c>
    </row>
    <row r="253" spans="1:9" x14ac:dyDescent="0.25">
      <c r="A253" s="203" t="str">
        <f>IF(DATA!M183="","",DATA!M183)</f>
        <v/>
      </c>
      <c r="B253" s="203" t="str">
        <f>IF(DATA!N183="","",DATA!N183)</f>
        <v/>
      </c>
      <c r="C253" s="203" t="str">
        <f>IF(DATA!O183="","",DATA!O183)</f>
        <v/>
      </c>
      <c r="D253" s="203" t="str">
        <f>IF(DATA!P183="","",DATA!P183)</f>
        <v/>
      </c>
      <c r="E253" s="13"/>
      <c r="F253" s="5" t="str">
        <f t="shared" si="68"/>
        <v/>
      </c>
      <c r="G253" s="1"/>
      <c r="H253" s="77">
        <f>IF(G253="",0,VLOOKUP(G253,REFCE!A:D,2,FALSE))</f>
        <v>0</v>
      </c>
      <c r="I253" s="77" t="str">
        <f t="shared" si="69"/>
        <v/>
      </c>
    </row>
    <row r="254" spans="1:9" x14ac:dyDescent="0.25">
      <c r="A254" s="203" t="str">
        <f>IF(DATA!M184="","",DATA!M184)</f>
        <v/>
      </c>
      <c r="B254" s="203" t="str">
        <f>IF(DATA!N184="","",DATA!N184)</f>
        <v/>
      </c>
      <c r="C254" s="203" t="str">
        <f>IF(DATA!O184="","",DATA!O184)</f>
        <v/>
      </c>
      <c r="D254" s="203" t="str">
        <f>IF(DATA!P184="","",DATA!P184)</f>
        <v/>
      </c>
      <c r="E254" s="13"/>
      <c r="F254" s="5" t="str">
        <f t="shared" si="68"/>
        <v/>
      </c>
      <c r="G254" s="1"/>
      <c r="H254" s="77">
        <f>IF(G254="",0,VLOOKUP(G254,REFCE!A:D,2,FALSE))</f>
        <v>0</v>
      </c>
      <c r="I254" s="77" t="str">
        <f t="shared" si="69"/>
        <v/>
      </c>
    </row>
    <row r="255" spans="1:9" x14ac:dyDescent="0.25">
      <c r="A255" s="203" t="str">
        <f>IF(DATA!M185="","",DATA!M185)</f>
        <v/>
      </c>
      <c r="B255" s="203" t="str">
        <f>IF(DATA!N185="","",DATA!N185)</f>
        <v/>
      </c>
      <c r="C255" s="203" t="str">
        <f>IF(DATA!O185="","",DATA!O185)</f>
        <v/>
      </c>
      <c r="D255" s="203" t="str">
        <f>IF(DATA!P185="","",DATA!P185)</f>
        <v/>
      </c>
      <c r="E255" s="13"/>
      <c r="F255" s="5" t="str">
        <f t="shared" si="68"/>
        <v/>
      </c>
      <c r="G255" s="1"/>
      <c r="H255" s="77">
        <f>IF(G255="",0,VLOOKUP(G255,REFCE!A:D,2,FALSE))</f>
        <v>0</v>
      </c>
      <c r="I255" s="77" t="str">
        <f t="shared" si="69"/>
        <v/>
      </c>
    </row>
    <row r="256" spans="1:9" x14ac:dyDescent="0.25">
      <c r="A256" s="203" t="str">
        <f>IF(DATA!M186="","",DATA!M186)</f>
        <v/>
      </c>
      <c r="B256" s="203" t="str">
        <f>IF(DATA!N186="","",DATA!N186)</f>
        <v/>
      </c>
      <c r="C256" s="203" t="str">
        <f>IF(DATA!O186="","",DATA!O186)</f>
        <v/>
      </c>
      <c r="D256" s="203" t="str">
        <f>IF(DATA!P186="","",DATA!P186)</f>
        <v/>
      </c>
      <c r="E256" s="13"/>
      <c r="F256" s="5" t="str">
        <f t="shared" si="68"/>
        <v/>
      </c>
      <c r="G256" s="1"/>
      <c r="H256" s="77">
        <f>IF(G256="",0,VLOOKUP(G256,REFCE!A:D,2,FALSE))</f>
        <v>0</v>
      </c>
      <c r="I256" s="77" t="str">
        <f t="shared" si="69"/>
        <v/>
      </c>
    </row>
    <row r="257" spans="1:9" x14ac:dyDescent="0.25">
      <c r="A257" s="203" t="str">
        <f>IF(DATA!M187="","",DATA!M187)</f>
        <v/>
      </c>
      <c r="B257" s="203" t="str">
        <f>IF(DATA!N187="","",DATA!N187)</f>
        <v/>
      </c>
      <c r="C257" s="203" t="str">
        <f>IF(DATA!O187="","",DATA!O187)</f>
        <v/>
      </c>
      <c r="D257" s="203" t="str">
        <f>IF(DATA!P187="","",DATA!P187)</f>
        <v/>
      </c>
      <c r="E257" s="13"/>
      <c r="F257" s="5" t="str">
        <f t="shared" si="68"/>
        <v/>
      </c>
      <c r="G257" s="1"/>
      <c r="H257" s="77">
        <f>IF(G257="",0,VLOOKUP(G257,REFCE!A:D,2,FALSE))</f>
        <v>0</v>
      </c>
      <c r="I257" s="77" t="str">
        <f t="shared" si="69"/>
        <v/>
      </c>
    </row>
    <row r="258" spans="1:9" x14ac:dyDescent="0.25">
      <c r="A258" s="203" t="str">
        <f>IF(DATA!M188="","",DATA!M188)</f>
        <v/>
      </c>
      <c r="B258" s="203" t="str">
        <f>IF(DATA!N188="","",DATA!N188)</f>
        <v/>
      </c>
      <c r="C258" s="203" t="str">
        <f>IF(DATA!O188="","",DATA!O188)</f>
        <v/>
      </c>
      <c r="D258" s="203" t="str">
        <f>IF(DATA!P188="","",DATA!P188)</f>
        <v/>
      </c>
      <c r="E258" s="13"/>
      <c r="F258" s="5" t="str">
        <f t="shared" si="68"/>
        <v/>
      </c>
      <c r="G258" s="1"/>
      <c r="H258" s="77">
        <f>IF(G258="",0,VLOOKUP(G258,REFCE!A:D,2,FALSE))</f>
        <v>0</v>
      </c>
      <c r="I258" s="77" t="str">
        <f t="shared" si="69"/>
        <v/>
      </c>
    </row>
    <row r="259" spans="1:9" x14ac:dyDescent="0.25">
      <c r="A259" s="203" t="str">
        <f>IF(DATA!M189="","",DATA!M189)</f>
        <v/>
      </c>
      <c r="B259" s="203" t="str">
        <f>IF(DATA!N189="","",DATA!N189)</f>
        <v/>
      </c>
      <c r="C259" s="203" t="str">
        <f>IF(DATA!O189="","",DATA!O189)</f>
        <v/>
      </c>
      <c r="D259" s="203" t="str">
        <f>IF(DATA!P189="","",DATA!P189)</f>
        <v/>
      </c>
      <c r="E259" s="13"/>
      <c r="F259" s="5" t="str">
        <f t="shared" si="68"/>
        <v/>
      </c>
      <c r="G259" s="1"/>
      <c r="H259" s="77">
        <f>IF(G259="",0,VLOOKUP(G259,REFCE!A:D,2,FALSE))</f>
        <v>0</v>
      </c>
      <c r="I259" s="77" t="str">
        <f t="shared" si="69"/>
        <v/>
      </c>
    </row>
    <row r="260" spans="1:9" x14ac:dyDescent="0.25">
      <c r="A260" s="203" t="str">
        <f>IF(DATA!M190="","",DATA!M190)</f>
        <v/>
      </c>
      <c r="B260" s="203" t="str">
        <f>IF(DATA!N190="","",DATA!N190)</f>
        <v/>
      </c>
      <c r="C260" s="203" t="str">
        <f>IF(DATA!O190="","",DATA!O190)</f>
        <v/>
      </c>
      <c r="D260" s="203" t="str">
        <f>IF(DATA!P190="","",DATA!P190)</f>
        <v/>
      </c>
      <c r="E260" s="13"/>
      <c r="F260" s="5" t="str">
        <f t="shared" si="68"/>
        <v/>
      </c>
      <c r="G260" s="1"/>
      <c r="H260" s="77">
        <f>IF(G260="",0,VLOOKUP(G260,REFCE!A:D,2,FALSE))</f>
        <v>0</v>
      </c>
      <c r="I260" s="77" t="str">
        <f t="shared" si="69"/>
        <v/>
      </c>
    </row>
    <row r="261" spans="1:9" x14ac:dyDescent="0.25">
      <c r="A261" s="203" t="str">
        <f>IF(DATA!M191="","",DATA!M191)</f>
        <v/>
      </c>
      <c r="B261" s="203" t="str">
        <f>IF(DATA!N191="","",DATA!N191)</f>
        <v/>
      </c>
      <c r="C261" s="203" t="str">
        <f>IF(DATA!O191="","",DATA!O191)</f>
        <v/>
      </c>
      <c r="D261" s="203" t="str">
        <f>IF(DATA!P191="","",DATA!P191)</f>
        <v/>
      </c>
      <c r="E261" s="13"/>
      <c r="F261" s="5" t="str">
        <f t="shared" si="68"/>
        <v/>
      </c>
      <c r="G261" s="1"/>
      <c r="H261" s="77">
        <f>IF(G261="",0,VLOOKUP(G261,REFCE!A:D,2,FALSE))</f>
        <v>0</v>
      </c>
      <c r="I261" s="77" t="str">
        <f t="shared" si="69"/>
        <v/>
      </c>
    </row>
    <row r="262" spans="1:9" x14ac:dyDescent="0.25">
      <c r="A262" s="203" t="str">
        <f>IF(DATA!M192="","",DATA!M192)</f>
        <v/>
      </c>
      <c r="B262" s="203" t="str">
        <f>IF(DATA!N192="","",DATA!N192)</f>
        <v/>
      </c>
      <c r="C262" s="203" t="str">
        <f>IF(DATA!O192="","",DATA!O192)</f>
        <v/>
      </c>
      <c r="D262" s="203" t="str">
        <f>IF(DATA!P192="","",DATA!P192)</f>
        <v/>
      </c>
      <c r="E262" s="13"/>
      <c r="F262" s="5" t="str">
        <f t="shared" si="68"/>
        <v/>
      </c>
      <c r="G262" s="1"/>
      <c r="H262" s="77">
        <f>IF(G262="",0,VLOOKUP(G262,REFCE!A:D,2,FALSE))</f>
        <v>0</v>
      </c>
      <c r="I262" s="77" t="str">
        <f t="shared" si="69"/>
        <v/>
      </c>
    </row>
    <row r="263" spans="1:9" x14ac:dyDescent="0.25">
      <c r="A263" s="203" t="str">
        <f>IF(DATA!M193="","",DATA!M193)</f>
        <v/>
      </c>
      <c r="B263" s="203" t="str">
        <f>IF(DATA!N193="","",DATA!N193)</f>
        <v/>
      </c>
      <c r="C263" s="203" t="str">
        <f>IF(DATA!O193="","",DATA!O193)</f>
        <v/>
      </c>
      <c r="D263" s="203" t="str">
        <f>IF(DATA!P193="","",DATA!P193)</f>
        <v/>
      </c>
      <c r="E263" s="13"/>
      <c r="F263" s="5" t="str">
        <f t="shared" si="68"/>
        <v/>
      </c>
      <c r="G263" s="1"/>
      <c r="H263" s="77">
        <f>IF(G263="",0,VLOOKUP(G263,REFCE!A:D,2,FALSE))</f>
        <v>0</v>
      </c>
      <c r="I263" s="77" t="str">
        <f t="shared" si="69"/>
        <v/>
      </c>
    </row>
    <row r="264" spans="1:9" x14ac:dyDescent="0.25">
      <c r="A264" s="203" t="str">
        <f>IF(DATA!M194="","",DATA!M194)</f>
        <v/>
      </c>
      <c r="B264" s="203" t="str">
        <f>IF(DATA!N194="","",DATA!N194)</f>
        <v/>
      </c>
      <c r="C264" s="203" t="str">
        <f>IF(DATA!O194="","",DATA!O194)</f>
        <v/>
      </c>
      <c r="D264" s="203" t="str">
        <f>IF(DATA!P194="","",DATA!P194)</f>
        <v/>
      </c>
      <c r="E264" s="13"/>
      <c r="F264" s="5" t="str">
        <f t="shared" si="68"/>
        <v/>
      </c>
      <c r="G264" s="1"/>
      <c r="H264" s="77">
        <f>IF(G264="",0,VLOOKUP(G264,REFCE!A:D,2,FALSE))</f>
        <v>0</v>
      </c>
      <c r="I264" s="77" t="str">
        <f t="shared" si="69"/>
        <v/>
      </c>
    </row>
    <row r="265" spans="1:9" x14ac:dyDescent="0.25">
      <c r="A265" s="203" t="str">
        <f>IF(DATA!M195="","",DATA!M195)</f>
        <v/>
      </c>
      <c r="B265" s="203" t="str">
        <f>IF(DATA!N195="","",DATA!N195)</f>
        <v/>
      </c>
      <c r="C265" s="203" t="str">
        <f>IF(DATA!O195="","",DATA!O195)</f>
        <v/>
      </c>
      <c r="D265" s="203" t="str">
        <f>IF(DATA!P195="","",DATA!P195)</f>
        <v/>
      </c>
      <c r="E265" s="13"/>
      <c r="F265" s="5" t="str">
        <f t="shared" si="68"/>
        <v/>
      </c>
      <c r="G265" s="1"/>
      <c r="H265" s="77">
        <f>IF(G265="",0,VLOOKUP(G265,REFCE!A:D,2,FALSE))</f>
        <v>0</v>
      </c>
      <c r="I265" s="77" t="str">
        <f t="shared" si="69"/>
        <v/>
      </c>
    </row>
    <row r="266" spans="1:9" x14ac:dyDescent="0.25">
      <c r="A266" s="203" t="str">
        <f>IF(DATA!M196="","",DATA!M196)</f>
        <v/>
      </c>
      <c r="B266" s="203" t="str">
        <f>IF(DATA!N196="","",DATA!N196)</f>
        <v/>
      </c>
      <c r="C266" s="203" t="str">
        <f>IF(DATA!O196="","",DATA!O196)</f>
        <v/>
      </c>
      <c r="D266" s="203" t="str">
        <f>IF(DATA!P196="","",DATA!P196)</f>
        <v/>
      </c>
      <c r="E266" s="13"/>
      <c r="F266" s="5" t="str">
        <f t="shared" si="68"/>
        <v/>
      </c>
      <c r="G266" s="1"/>
      <c r="H266" s="77">
        <f>IF(G266="",0,VLOOKUP(G266,REFCE!A:D,2,FALSE))</f>
        <v>0</v>
      </c>
      <c r="I266" s="77" t="str">
        <f t="shared" si="69"/>
        <v/>
      </c>
    </row>
    <row r="267" spans="1:9" x14ac:dyDescent="0.25">
      <c r="A267" s="203" t="str">
        <f>IF(DATA!M197="","",DATA!M197)</f>
        <v/>
      </c>
      <c r="B267" s="203" t="str">
        <f>IF(DATA!N197="","",DATA!N197)</f>
        <v/>
      </c>
      <c r="C267" s="203" t="str">
        <f>IF(DATA!O197="","",DATA!O197)</f>
        <v/>
      </c>
      <c r="D267" s="203" t="str">
        <f>IF(DATA!P197="","",DATA!P197)</f>
        <v/>
      </c>
      <c r="E267" s="13"/>
      <c r="F267" s="5" t="str">
        <f t="shared" si="68"/>
        <v/>
      </c>
      <c r="G267" s="1"/>
      <c r="H267" s="77">
        <f>IF(G267="",0,VLOOKUP(G267,REFCE!A:D,2,FALSE))</f>
        <v>0</v>
      </c>
      <c r="I267" s="77" t="str">
        <f t="shared" si="69"/>
        <v/>
      </c>
    </row>
    <row r="268" spans="1:9" x14ac:dyDescent="0.25">
      <c r="A268" s="203" t="str">
        <f>IF(DATA!M198="","",DATA!M198)</f>
        <v/>
      </c>
      <c r="B268" s="203" t="str">
        <f>IF(DATA!N198="","",DATA!N198)</f>
        <v/>
      </c>
      <c r="C268" s="203" t="str">
        <f>IF(DATA!O198="","",DATA!O198)</f>
        <v/>
      </c>
      <c r="D268" s="203" t="str">
        <f>IF(DATA!P198="","",DATA!P198)</f>
        <v/>
      </c>
      <c r="E268" s="13"/>
      <c r="F268" s="5" t="str">
        <f t="shared" si="68"/>
        <v/>
      </c>
      <c r="G268" s="1"/>
      <c r="H268" s="77">
        <f>IF(G268="",0,VLOOKUP(G268,REFCE!A:D,2,FALSE))</f>
        <v>0</v>
      </c>
      <c r="I268" s="77" t="str">
        <f t="shared" si="69"/>
        <v/>
      </c>
    </row>
    <row r="269" spans="1:9" x14ac:dyDescent="0.25">
      <c r="A269" s="203" t="str">
        <f>IF(DATA!M199="","",DATA!M199)</f>
        <v/>
      </c>
      <c r="B269" s="203" t="str">
        <f>IF(DATA!N199="","",DATA!N199)</f>
        <v/>
      </c>
      <c r="C269" s="203" t="str">
        <f>IF(DATA!O199="","",DATA!O199)</f>
        <v/>
      </c>
      <c r="D269" s="203" t="str">
        <f>IF(DATA!P199="","",DATA!P199)</f>
        <v/>
      </c>
      <c r="E269" s="13"/>
      <c r="F269" s="5" t="str">
        <f t="shared" si="68"/>
        <v/>
      </c>
      <c r="G269" s="1"/>
      <c r="H269" s="77">
        <f>IF(G269="",0,VLOOKUP(G269,REFCE!A:D,2,FALSE))</f>
        <v>0</v>
      </c>
      <c r="I269" s="77" t="str">
        <f t="shared" si="69"/>
        <v/>
      </c>
    </row>
    <row r="270" spans="1:9" x14ac:dyDescent="0.25">
      <c r="A270" s="203" t="str">
        <f>IF(DATA!M200="","",DATA!M200)</f>
        <v/>
      </c>
      <c r="B270" s="203" t="str">
        <f>IF(DATA!N200="","",DATA!N200)</f>
        <v/>
      </c>
      <c r="C270" s="203" t="str">
        <f>IF(DATA!O200="","",DATA!O200)</f>
        <v/>
      </c>
      <c r="D270" s="203" t="str">
        <f>IF(DATA!P200="","",DATA!P200)</f>
        <v/>
      </c>
      <c r="E270" s="13"/>
      <c r="F270" s="5" t="str">
        <f t="shared" ref="F270:F333" si="70">IF(D270="","",D270*E270)</f>
        <v/>
      </c>
      <c r="G270" s="1"/>
      <c r="H270" s="77">
        <f>IF(G270="",0,VLOOKUP(G270,REFCE!A:D,2,FALSE))</f>
        <v>0</v>
      </c>
      <c r="I270" s="77" t="str">
        <f t="shared" ref="I270:I333" si="71">IF(F270="","",F270*H270)</f>
        <v/>
      </c>
    </row>
    <row r="271" spans="1:9" x14ac:dyDescent="0.25">
      <c r="A271" s="203" t="str">
        <f>IF(DATA!M201="","",DATA!M201)</f>
        <v/>
      </c>
      <c r="B271" s="203" t="str">
        <f>IF(DATA!N201="","",DATA!N201)</f>
        <v/>
      </c>
      <c r="C271" s="203" t="str">
        <f>IF(DATA!O201="","",DATA!O201)</f>
        <v/>
      </c>
      <c r="D271" s="203" t="str">
        <f>IF(DATA!P201="","",DATA!P201)</f>
        <v/>
      </c>
      <c r="E271" s="13"/>
      <c r="F271" s="5" t="str">
        <f t="shared" si="70"/>
        <v/>
      </c>
      <c r="G271" s="1"/>
      <c r="H271" s="77">
        <f>IF(G271="",0,VLOOKUP(G271,REFCE!A:D,2,FALSE))</f>
        <v>0</v>
      </c>
      <c r="I271" s="77" t="str">
        <f t="shared" si="71"/>
        <v/>
      </c>
    </row>
    <row r="272" spans="1:9" x14ac:dyDescent="0.25">
      <c r="A272" s="203" t="str">
        <f>IF(DATA!M202="","",DATA!M202)</f>
        <v/>
      </c>
      <c r="B272" s="203" t="str">
        <f>IF(DATA!N202="","",DATA!N202)</f>
        <v/>
      </c>
      <c r="C272" s="203" t="str">
        <f>IF(DATA!O202="","",DATA!O202)</f>
        <v/>
      </c>
      <c r="D272" s="203" t="str">
        <f>IF(DATA!P202="","",DATA!P202)</f>
        <v/>
      </c>
      <c r="E272" s="13"/>
      <c r="F272" s="5" t="str">
        <f t="shared" si="70"/>
        <v/>
      </c>
      <c r="G272" s="1"/>
      <c r="H272" s="77">
        <f>IF(G272="",0,VLOOKUP(G272,REFCE!A:D,2,FALSE))</f>
        <v>0</v>
      </c>
      <c r="I272" s="77" t="str">
        <f t="shared" si="71"/>
        <v/>
      </c>
    </row>
    <row r="273" spans="1:9" x14ac:dyDescent="0.25">
      <c r="A273" s="203" t="str">
        <f>IF(DATA!M203="","",DATA!M203)</f>
        <v/>
      </c>
      <c r="B273" s="203" t="str">
        <f>IF(DATA!N203="","",DATA!N203)</f>
        <v/>
      </c>
      <c r="C273" s="203" t="str">
        <f>IF(DATA!O203="","",DATA!O203)</f>
        <v/>
      </c>
      <c r="D273" s="203" t="str">
        <f>IF(DATA!P203="","",DATA!P203)</f>
        <v/>
      </c>
      <c r="E273" s="13"/>
      <c r="F273" s="5" t="str">
        <f t="shared" si="70"/>
        <v/>
      </c>
      <c r="G273" s="1"/>
      <c r="H273" s="77">
        <f>IF(G273="",0,VLOOKUP(G273,REFCE!A:D,2,FALSE))</f>
        <v>0</v>
      </c>
      <c r="I273" s="77" t="str">
        <f t="shared" si="71"/>
        <v/>
      </c>
    </row>
    <row r="274" spans="1:9" x14ac:dyDescent="0.25">
      <c r="A274" s="203" t="str">
        <f>IF(DATA!M204="","",DATA!M204)</f>
        <v/>
      </c>
      <c r="B274" s="203" t="str">
        <f>IF(DATA!N204="","",DATA!N204)</f>
        <v/>
      </c>
      <c r="C274" s="203" t="str">
        <f>IF(DATA!O204="","",DATA!O204)</f>
        <v/>
      </c>
      <c r="D274" s="203" t="str">
        <f>IF(DATA!P204="","",DATA!P204)</f>
        <v/>
      </c>
      <c r="E274" s="13"/>
      <c r="F274" s="5" t="str">
        <f t="shared" si="70"/>
        <v/>
      </c>
      <c r="G274" s="1"/>
      <c r="H274" s="77">
        <f>IF(G274="",0,VLOOKUP(G274,REFCE!A:D,2,FALSE))</f>
        <v>0</v>
      </c>
      <c r="I274" s="77" t="str">
        <f t="shared" si="71"/>
        <v/>
      </c>
    </row>
    <row r="275" spans="1:9" x14ac:dyDescent="0.25">
      <c r="A275" s="203" t="str">
        <f>IF(DATA!M205="","",DATA!M205)</f>
        <v/>
      </c>
      <c r="B275" s="203" t="str">
        <f>IF(DATA!N205="","",DATA!N205)</f>
        <v/>
      </c>
      <c r="C275" s="203" t="str">
        <f>IF(DATA!O205="","",DATA!O205)</f>
        <v/>
      </c>
      <c r="D275" s="203" t="str">
        <f>IF(DATA!P205="","",DATA!P205)</f>
        <v/>
      </c>
      <c r="E275" s="13"/>
      <c r="F275" s="5" t="str">
        <f t="shared" si="70"/>
        <v/>
      </c>
      <c r="G275" s="1"/>
      <c r="H275" s="77">
        <f>IF(G275="",0,VLOOKUP(G275,REFCE!A:D,2,FALSE))</f>
        <v>0</v>
      </c>
      <c r="I275" s="77" t="str">
        <f t="shared" si="71"/>
        <v/>
      </c>
    </row>
    <row r="276" spans="1:9" x14ac:dyDescent="0.25">
      <c r="A276" s="203" t="str">
        <f>IF(DATA!M206="","",DATA!M206)</f>
        <v/>
      </c>
      <c r="B276" s="203" t="str">
        <f>IF(DATA!N206="","",DATA!N206)</f>
        <v/>
      </c>
      <c r="C276" s="203" t="str">
        <f>IF(DATA!O206="","",DATA!O206)</f>
        <v/>
      </c>
      <c r="D276" s="203" t="str">
        <f>IF(DATA!P206="","",DATA!P206)</f>
        <v/>
      </c>
      <c r="E276" s="13"/>
      <c r="F276" s="5" t="str">
        <f t="shared" si="70"/>
        <v/>
      </c>
      <c r="G276" s="1"/>
      <c r="H276" s="77">
        <f>IF(G276="",0,VLOOKUP(G276,REFCE!A:D,2,FALSE))</f>
        <v>0</v>
      </c>
      <c r="I276" s="77" t="str">
        <f t="shared" si="71"/>
        <v/>
      </c>
    </row>
    <row r="277" spans="1:9" x14ac:dyDescent="0.25">
      <c r="A277" s="203" t="str">
        <f>IF(DATA!M207="","",DATA!M207)</f>
        <v/>
      </c>
      <c r="B277" s="203" t="str">
        <f>IF(DATA!N207="","",DATA!N207)</f>
        <v/>
      </c>
      <c r="C277" s="203" t="str">
        <f>IF(DATA!O207="","",DATA!O207)</f>
        <v/>
      </c>
      <c r="D277" s="203" t="str">
        <f>IF(DATA!P207="","",DATA!P207)</f>
        <v/>
      </c>
      <c r="E277" s="13"/>
      <c r="F277" s="5" t="str">
        <f t="shared" si="70"/>
        <v/>
      </c>
      <c r="G277" s="1"/>
      <c r="H277" s="77">
        <f>IF(G277="",0,VLOOKUP(G277,REFCE!A:D,2,FALSE))</f>
        <v>0</v>
      </c>
      <c r="I277" s="77" t="str">
        <f t="shared" si="71"/>
        <v/>
      </c>
    </row>
    <row r="278" spans="1:9" x14ac:dyDescent="0.25">
      <c r="A278" s="203" t="str">
        <f>IF(DATA!M208="","",DATA!M208)</f>
        <v/>
      </c>
      <c r="B278" s="203" t="str">
        <f>IF(DATA!N208="","",DATA!N208)</f>
        <v/>
      </c>
      <c r="C278" s="203" t="str">
        <f>IF(DATA!O208="","",DATA!O208)</f>
        <v/>
      </c>
      <c r="D278" s="203" t="str">
        <f>IF(DATA!P208="","",DATA!P208)</f>
        <v/>
      </c>
      <c r="E278" s="13"/>
      <c r="F278" s="5" t="str">
        <f t="shared" si="70"/>
        <v/>
      </c>
      <c r="G278" s="1"/>
      <c r="H278" s="77">
        <f>IF(G278="",0,VLOOKUP(G278,REFCE!A:D,2,FALSE))</f>
        <v>0</v>
      </c>
      <c r="I278" s="77" t="str">
        <f t="shared" si="71"/>
        <v/>
      </c>
    </row>
    <row r="279" spans="1:9" x14ac:dyDescent="0.25">
      <c r="A279" s="203" t="str">
        <f>IF(DATA!M209="","",DATA!M209)</f>
        <v/>
      </c>
      <c r="B279" s="203" t="str">
        <f>IF(DATA!N209="","",DATA!N209)</f>
        <v/>
      </c>
      <c r="C279" s="203" t="str">
        <f>IF(DATA!O209="","",DATA!O209)</f>
        <v/>
      </c>
      <c r="D279" s="203" t="str">
        <f>IF(DATA!P209="","",DATA!P209)</f>
        <v/>
      </c>
      <c r="E279" s="13"/>
      <c r="F279" s="5" t="str">
        <f t="shared" si="70"/>
        <v/>
      </c>
      <c r="G279" s="1"/>
      <c r="H279" s="77">
        <f>IF(G279="",0,VLOOKUP(G279,REFCE!A:D,2,FALSE))</f>
        <v>0</v>
      </c>
      <c r="I279" s="77" t="str">
        <f t="shared" si="71"/>
        <v/>
      </c>
    </row>
    <row r="280" spans="1:9" x14ac:dyDescent="0.25">
      <c r="A280" s="203" t="str">
        <f>IF(DATA!M210="","",DATA!M210)</f>
        <v/>
      </c>
      <c r="B280" s="203" t="str">
        <f>IF(DATA!N210="","",DATA!N210)</f>
        <v/>
      </c>
      <c r="C280" s="203" t="str">
        <f>IF(DATA!O210="","",DATA!O210)</f>
        <v/>
      </c>
      <c r="D280" s="203" t="str">
        <f>IF(DATA!P210="","",DATA!P210)</f>
        <v/>
      </c>
      <c r="E280" s="13"/>
      <c r="F280" s="5" t="str">
        <f t="shared" si="70"/>
        <v/>
      </c>
      <c r="G280" s="1"/>
      <c r="H280" s="77">
        <f>IF(G280="",0,VLOOKUP(G280,REFCE!A:D,2,FALSE))</f>
        <v>0</v>
      </c>
      <c r="I280" s="77" t="str">
        <f t="shared" si="71"/>
        <v/>
      </c>
    </row>
    <row r="281" spans="1:9" x14ac:dyDescent="0.25">
      <c r="A281" s="203" t="str">
        <f>IF(DATA!M211="","",DATA!M211)</f>
        <v/>
      </c>
      <c r="B281" s="203" t="str">
        <f>IF(DATA!N211="","",DATA!N211)</f>
        <v/>
      </c>
      <c r="C281" s="203" t="str">
        <f>IF(DATA!O211="","",DATA!O211)</f>
        <v/>
      </c>
      <c r="D281" s="203" t="str">
        <f>IF(DATA!P211="","",DATA!P211)</f>
        <v/>
      </c>
      <c r="E281" s="13"/>
      <c r="F281" s="5" t="str">
        <f t="shared" si="70"/>
        <v/>
      </c>
      <c r="G281" s="1"/>
      <c r="H281" s="77">
        <f>IF(G281="",0,VLOOKUP(G281,REFCE!A:D,2,FALSE))</f>
        <v>0</v>
      </c>
      <c r="I281" s="77" t="str">
        <f t="shared" si="71"/>
        <v/>
      </c>
    </row>
    <row r="282" spans="1:9" x14ac:dyDescent="0.25">
      <c r="A282" s="203" t="str">
        <f>IF(DATA!M212="","",DATA!M212)</f>
        <v/>
      </c>
      <c r="B282" s="203" t="str">
        <f>IF(DATA!N212="","",DATA!N212)</f>
        <v/>
      </c>
      <c r="C282" s="203" t="str">
        <f>IF(DATA!O212="","",DATA!O212)</f>
        <v/>
      </c>
      <c r="D282" s="203" t="str">
        <f>IF(DATA!P212="","",DATA!P212)</f>
        <v/>
      </c>
      <c r="E282" s="13"/>
      <c r="F282" s="5" t="str">
        <f t="shared" si="70"/>
        <v/>
      </c>
      <c r="G282" s="1"/>
      <c r="H282" s="77">
        <f>IF(G282="",0,VLOOKUP(G282,REFCE!A:D,2,FALSE))</f>
        <v>0</v>
      </c>
      <c r="I282" s="77" t="str">
        <f t="shared" si="71"/>
        <v/>
      </c>
    </row>
    <row r="283" spans="1:9" x14ac:dyDescent="0.25">
      <c r="A283" s="203" t="str">
        <f>IF(DATA!M213="","",DATA!M213)</f>
        <v/>
      </c>
      <c r="B283" s="203" t="str">
        <f>IF(DATA!N213="","",DATA!N213)</f>
        <v/>
      </c>
      <c r="C283" s="203" t="str">
        <f>IF(DATA!O213="","",DATA!O213)</f>
        <v/>
      </c>
      <c r="D283" s="203" t="str">
        <f>IF(DATA!P213="","",DATA!P213)</f>
        <v/>
      </c>
      <c r="E283" s="13"/>
      <c r="F283" s="5" t="str">
        <f t="shared" si="70"/>
        <v/>
      </c>
      <c r="G283" s="1"/>
      <c r="H283" s="77">
        <f>IF(G283="",0,VLOOKUP(G283,REFCE!A:D,2,FALSE))</f>
        <v>0</v>
      </c>
      <c r="I283" s="77" t="str">
        <f t="shared" si="71"/>
        <v/>
      </c>
    </row>
    <row r="284" spans="1:9" x14ac:dyDescent="0.25">
      <c r="A284" s="203" t="str">
        <f>IF(DATA!M214="","",DATA!M214)</f>
        <v/>
      </c>
      <c r="B284" s="203" t="str">
        <f>IF(DATA!N214="","",DATA!N214)</f>
        <v/>
      </c>
      <c r="C284" s="203" t="str">
        <f>IF(DATA!O214="","",DATA!O214)</f>
        <v/>
      </c>
      <c r="D284" s="203" t="str">
        <f>IF(DATA!P214="","",DATA!P214)</f>
        <v/>
      </c>
      <c r="E284" s="13"/>
      <c r="F284" s="5" t="str">
        <f t="shared" si="70"/>
        <v/>
      </c>
      <c r="G284" s="1"/>
      <c r="H284" s="77">
        <f>IF(G284="",0,VLOOKUP(G284,REFCE!A:D,2,FALSE))</f>
        <v>0</v>
      </c>
      <c r="I284" s="77" t="str">
        <f t="shared" si="71"/>
        <v/>
      </c>
    </row>
    <row r="285" spans="1:9" x14ac:dyDescent="0.25">
      <c r="A285" s="203" t="str">
        <f>IF(DATA!M215="","",DATA!M215)</f>
        <v/>
      </c>
      <c r="B285" s="203" t="str">
        <f>IF(DATA!N215="","",DATA!N215)</f>
        <v/>
      </c>
      <c r="C285" s="203" t="str">
        <f>IF(DATA!O215="","",DATA!O215)</f>
        <v/>
      </c>
      <c r="D285" s="203" t="str">
        <f>IF(DATA!P215="","",DATA!P215)</f>
        <v/>
      </c>
      <c r="E285" s="13"/>
      <c r="F285" s="5" t="str">
        <f t="shared" si="70"/>
        <v/>
      </c>
      <c r="G285" s="1"/>
      <c r="H285" s="77">
        <f>IF(G285="",0,VLOOKUP(G285,REFCE!A:D,2,FALSE))</f>
        <v>0</v>
      </c>
      <c r="I285" s="77" t="str">
        <f t="shared" si="71"/>
        <v/>
      </c>
    </row>
    <row r="286" spans="1:9" x14ac:dyDescent="0.25">
      <c r="A286" s="203" t="str">
        <f>IF(DATA!M216="","",DATA!M216)</f>
        <v/>
      </c>
      <c r="B286" s="203" t="str">
        <f>IF(DATA!N216="","",DATA!N216)</f>
        <v/>
      </c>
      <c r="C286" s="203" t="str">
        <f>IF(DATA!O216="","",DATA!O216)</f>
        <v/>
      </c>
      <c r="D286" s="203" t="str">
        <f>IF(DATA!P216="","",DATA!P216)</f>
        <v/>
      </c>
      <c r="E286" s="13"/>
      <c r="F286" s="5" t="str">
        <f t="shared" si="70"/>
        <v/>
      </c>
      <c r="G286" s="1"/>
      <c r="H286" s="77">
        <f>IF(G286="",0,VLOOKUP(G286,REFCE!A:D,2,FALSE))</f>
        <v>0</v>
      </c>
      <c r="I286" s="77" t="str">
        <f t="shared" si="71"/>
        <v/>
      </c>
    </row>
    <row r="287" spans="1:9" x14ac:dyDescent="0.25">
      <c r="A287" s="203" t="str">
        <f>IF(DATA!M217="","",DATA!M217)</f>
        <v/>
      </c>
      <c r="B287" s="203" t="str">
        <f>IF(DATA!N217="","",DATA!N217)</f>
        <v/>
      </c>
      <c r="C287" s="203" t="str">
        <f>IF(DATA!O217="","",DATA!O217)</f>
        <v/>
      </c>
      <c r="D287" s="203" t="str">
        <f>IF(DATA!P217="","",DATA!P217)</f>
        <v/>
      </c>
      <c r="E287" s="13"/>
      <c r="F287" s="5" t="str">
        <f t="shared" si="70"/>
        <v/>
      </c>
      <c r="G287" s="1"/>
      <c r="H287" s="77">
        <f>IF(G287="",0,VLOOKUP(G287,REFCE!A:D,2,FALSE))</f>
        <v>0</v>
      </c>
      <c r="I287" s="77" t="str">
        <f t="shared" si="71"/>
        <v/>
      </c>
    </row>
    <row r="288" spans="1:9" x14ac:dyDescent="0.25">
      <c r="A288" s="203" t="str">
        <f>IF(DATA!M218="","",DATA!M218)</f>
        <v/>
      </c>
      <c r="B288" s="203" t="str">
        <f>IF(DATA!N218="","",DATA!N218)</f>
        <v/>
      </c>
      <c r="C288" s="203" t="str">
        <f>IF(DATA!O218="","",DATA!O218)</f>
        <v/>
      </c>
      <c r="D288" s="203" t="str">
        <f>IF(DATA!P218="","",DATA!P218)</f>
        <v/>
      </c>
      <c r="E288" s="13"/>
      <c r="F288" s="5" t="str">
        <f t="shared" si="70"/>
        <v/>
      </c>
      <c r="G288" s="1"/>
      <c r="H288" s="77">
        <f>IF(G288="",0,VLOOKUP(G288,REFCE!A:D,2,FALSE))</f>
        <v>0</v>
      </c>
      <c r="I288" s="77" t="str">
        <f t="shared" si="71"/>
        <v/>
      </c>
    </row>
    <row r="289" spans="1:9" x14ac:dyDescent="0.25">
      <c r="A289" s="203" t="str">
        <f>IF(DATA!M219="","",DATA!M219)</f>
        <v/>
      </c>
      <c r="B289" s="203" t="str">
        <f>IF(DATA!N219="","",DATA!N219)</f>
        <v/>
      </c>
      <c r="C289" s="203" t="str">
        <f>IF(DATA!O219="","",DATA!O219)</f>
        <v/>
      </c>
      <c r="D289" s="203" t="str">
        <f>IF(DATA!P219="","",DATA!P219)</f>
        <v/>
      </c>
      <c r="E289" s="13"/>
      <c r="F289" s="5" t="str">
        <f t="shared" si="70"/>
        <v/>
      </c>
      <c r="G289" s="1"/>
      <c r="H289" s="77">
        <f>IF(G289="",0,VLOOKUP(G289,REFCE!A:D,2,FALSE))</f>
        <v>0</v>
      </c>
      <c r="I289" s="77" t="str">
        <f t="shared" si="71"/>
        <v/>
      </c>
    </row>
    <row r="290" spans="1:9" x14ac:dyDescent="0.25">
      <c r="A290" s="203" t="str">
        <f>IF(DATA!M220="","",DATA!M220)</f>
        <v/>
      </c>
      <c r="B290" s="203" t="str">
        <f>IF(DATA!N220="","",DATA!N220)</f>
        <v/>
      </c>
      <c r="C290" s="203" t="str">
        <f>IF(DATA!O220="","",DATA!O220)</f>
        <v/>
      </c>
      <c r="D290" s="203" t="str">
        <f>IF(DATA!P220="","",DATA!P220)</f>
        <v/>
      </c>
      <c r="E290" s="13"/>
      <c r="F290" s="5" t="str">
        <f t="shared" si="70"/>
        <v/>
      </c>
      <c r="G290" s="1"/>
      <c r="H290" s="77">
        <f>IF(G290="",0,VLOOKUP(G290,REFCE!A:D,2,FALSE))</f>
        <v>0</v>
      </c>
      <c r="I290" s="77" t="str">
        <f t="shared" si="71"/>
        <v/>
      </c>
    </row>
    <row r="291" spans="1:9" x14ac:dyDescent="0.25">
      <c r="A291" s="203" t="str">
        <f>IF(DATA!M221="","",DATA!M221)</f>
        <v/>
      </c>
      <c r="B291" s="203" t="str">
        <f>IF(DATA!N221="","",DATA!N221)</f>
        <v/>
      </c>
      <c r="C291" s="203" t="str">
        <f>IF(DATA!O221="","",DATA!O221)</f>
        <v/>
      </c>
      <c r="D291" s="203" t="str">
        <f>IF(DATA!P221="","",DATA!P221)</f>
        <v/>
      </c>
      <c r="E291" s="13"/>
      <c r="F291" s="5" t="str">
        <f t="shared" si="70"/>
        <v/>
      </c>
      <c r="G291" s="1"/>
      <c r="H291" s="77">
        <f>IF(G291="",0,VLOOKUP(G291,REFCE!A:D,2,FALSE))</f>
        <v>0</v>
      </c>
      <c r="I291" s="77" t="str">
        <f t="shared" si="71"/>
        <v/>
      </c>
    </row>
    <row r="292" spans="1:9" x14ac:dyDescent="0.25">
      <c r="A292" s="203" t="str">
        <f>IF(DATA!M222="","",DATA!M222)</f>
        <v/>
      </c>
      <c r="B292" s="203" t="str">
        <f>IF(DATA!N222="","",DATA!N222)</f>
        <v/>
      </c>
      <c r="C292" s="203" t="str">
        <f>IF(DATA!O222="","",DATA!O222)</f>
        <v/>
      </c>
      <c r="D292" s="203" t="str">
        <f>IF(DATA!P222="","",DATA!P222)</f>
        <v/>
      </c>
      <c r="E292" s="13"/>
      <c r="F292" s="5" t="str">
        <f t="shared" si="70"/>
        <v/>
      </c>
      <c r="G292" s="1"/>
      <c r="H292" s="77">
        <f>IF(G292="",0,VLOOKUP(G292,REFCE!A:D,2,FALSE))</f>
        <v>0</v>
      </c>
      <c r="I292" s="77" t="str">
        <f t="shared" si="71"/>
        <v/>
      </c>
    </row>
    <row r="293" spans="1:9" x14ac:dyDescent="0.25">
      <c r="A293" s="203" t="str">
        <f>IF(DATA!M223="","",DATA!M223)</f>
        <v/>
      </c>
      <c r="B293" s="203" t="str">
        <f>IF(DATA!N223="","",DATA!N223)</f>
        <v/>
      </c>
      <c r="C293" s="203" t="str">
        <f>IF(DATA!O223="","",DATA!O223)</f>
        <v/>
      </c>
      <c r="D293" s="203" t="str">
        <f>IF(DATA!P223="","",DATA!P223)</f>
        <v/>
      </c>
      <c r="E293" s="13"/>
      <c r="F293" s="5" t="str">
        <f t="shared" si="70"/>
        <v/>
      </c>
      <c r="G293" s="1"/>
      <c r="H293" s="77">
        <f>IF(G293="",0,VLOOKUP(G293,REFCE!A:D,2,FALSE))</f>
        <v>0</v>
      </c>
      <c r="I293" s="77" t="str">
        <f t="shared" si="71"/>
        <v/>
      </c>
    </row>
    <row r="294" spans="1:9" x14ac:dyDescent="0.25">
      <c r="A294" s="203" t="str">
        <f>IF(DATA!M224="","",DATA!M224)</f>
        <v/>
      </c>
      <c r="B294" s="203" t="str">
        <f>IF(DATA!N224="","",DATA!N224)</f>
        <v/>
      </c>
      <c r="C294" s="203" t="str">
        <f>IF(DATA!O224="","",DATA!O224)</f>
        <v/>
      </c>
      <c r="D294" s="203" t="str">
        <f>IF(DATA!P224="","",DATA!P224)</f>
        <v/>
      </c>
      <c r="E294" s="13"/>
      <c r="F294" s="5" t="str">
        <f t="shared" si="70"/>
        <v/>
      </c>
      <c r="G294" s="1"/>
      <c r="H294" s="77">
        <f>IF(G294="",0,VLOOKUP(G294,REFCE!A:D,2,FALSE))</f>
        <v>0</v>
      </c>
      <c r="I294" s="77" t="str">
        <f t="shared" si="71"/>
        <v/>
      </c>
    </row>
    <row r="295" spans="1:9" x14ac:dyDescent="0.25">
      <c r="A295" s="203" t="str">
        <f>IF(DATA!M225="","",DATA!M225)</f>
        <v/>
      </c>
      <c r="B295" s="203" t="str">
        <f>IF(DATA!N225="","",DATA!N225)</f>
        <v/>
      </c>
      <c r="C295" s="203" t="str">
        <f>IF(DATA!O225="","",DATA!O225)</f>
        <v/>
      </c>
      <c r="D295" s="203" t="str">
        <f>IF(DATA!P225="","",DATA!P225)</f>
        <v/>
      </c>
      <c r="E295" s="13"/>
      <c r="F295" s="5" t="str">
        <f t="shared" si="70"/>
        <v/>
      </c>
      <c r="G295" s="1"/>
      <c r="H295" s="77">
        <f>IF(G295="",0,VLOOKUP(G295,REFCE!A:D,2,FALSE))</f>
        <v>0</v>
      </c>
      <c r="I295" s="77" t="str">
        <f t="shared" si="71"/>
        <v/>
      </c>
    </row>
    <row r="296" spans="1:9" x14ac:dyDescent="0.25">
      <c r="A296" s="203" t="str">
        <f>IF(DATA!M226="","",DATA!M226)</f>
        <v/>
      </c>
      <c r="B296" s="203" t="str">
        <f>IF(DATA!N226="","",DATA!N226)</f>
        <v/>
      </c>
      <c r="C296" s="203" t="str">
        <f>IF(DATA!O226="","",DATA!O226)</f>
        <v/>
      </c>
      <c r="D296" s="203" t="str">
        <f>IF(DATA!P226="","",DATA!P226)</f>
        <v/>
      </c>
      <c r="E296" s="13"/>
      <c r="F296" s="5" t="str">
        <f t="shared" si="70"/>
        <v/>
      </c>
      <c r="G296" s="1"/>
      <c r="H296" s="77">
        <f>IF(G296="",0,VLOOKUP(G296,REFCE!A:D,2,FALSE))</f>
        <v>0</v>
      </c>
      <c r="I296" s="77" t="str">
        <f t="shared" si="71"/>
        <v/>
      </c>
    </row>
    <row r="297" spans="1:9" x14ac:dyDescent="0.25">
      <c r="A297" s="203" t="str">
        <f>IF(DATA!M227="","",DATA!M227)</f>
        <v/>
      </c>
      <c r="B297" s="203" t="str">
        <f>IF(DATA!N227="","",DATA!N227)</f>
        <v/>
      </c>
      <c r="C297" s="203" t="str">
        <f>IF(DATA!O227="","",DATA!O227)</f>
        <v/>
      </c>
      <c r="D297" s="203" t="str">
        <f>IF(DATA!P227="","",DATA!P227)</f>
        <v/>
      </c>
      <c r="E297" s="13"/>
      <c r="F297" s="5" t="str">
        <f t="shared" si="70"/>
        <v/>
      </c>
      <c r="G297" s="1"/>
      <c r="H297" s="77">
        <f>IF(G297="",0,VLOOKUP(G297,REFCE!A:D,2,FALSE))</f>
        <v>0</v>
      </c>
      <c r="I297" s="77" t="str">
        <f t="shared" si="71"/>
        <v/>
      </c>
    </row>
    <row r="298" spans="1:9" x14ac:dyDescent="0.25">
      <c r="A298" s="203" t="str">
        <f>IF(DATA!M228="","",DATA!M228)</f>
        <v/>
      </c>
      <c r="B298" s="203" t="str">
        <f>IF(DATA!N228="","",DATA!N228)</f>
        <v/>
      </c>
      <c r="C298" s="203" t="str">
        <f>IF(DATA!O228="","",DATA!O228)</f>
        <v/>
      </c>
      <c r="D298" s="203" t="str">
        <f>IF(DATA!P228="","",DATA!P228)</f>
        <v/>
      </c>
      <c r="E298" s="13"/>
      <c r="F298" s="5" t="str">
        <f t="shared" si="70"/>
        <v/>
      </c>
      <c r="G298" s="1"/>
      <c r="H298" s="77">
        <f>IF(G298="",0,VLOOKUP(G298,REFCE!A:D,2,FALSE))</f>
        <v>0</v>
      </c>
      <c r="I298" s="77" t="str">
        <f t="shared" si="71"/>
        <v/>
      </c>
    </row>
    <row r="299" spans="1:9" x14ac:dyDescent="0.25">
      <c r="A299" s="203" t="str">
        <f>IF(DATA!M229="","",DATA!M229)</f>
        <v/>
      </c>
      <c r="B299" s="203" t="str">
        <f>IF(DATA!N229="","",DATA!N229)</f>
        <v/>
      </c>
      <c r="C299" s="203" t="str">
        <f>IF(DATA!O229="","",DATA!O229)</f>
        <v/>
      </c>
      <c r="D299" s="203" t="str">
        <f>IF(DATA!P229="","",DATA!P229)</f>
        <v/>
      </c>
      <c r="E299" s="13"/>
      <c r="F299" s="5" t="str">
        <f t="shared" si="70"/>
        <v/>
      </c>
      <c r="G299" s="1"/>
      <c r="H299" s="77">
        <f>IF(G299="",0,VLOOKUP(G299,REFCE!A:D,2,FALSE))</f>
        <v>0</v>
      </c>
      <c r="I299" s="77" t="str">
        <f t="shared" si="71"/>
        <v/>
      </c>
    </row>
    <row r="300" spans="1:9" x14ac:dyDescent="0.25">
      <c r="A300" s="203" t="str">
        <f>IF(DATA!M230="","",DATA!M230)</f>
        <v/>
      </c>
      <c r="B300" s="203" t="str">
        <f>IF(DATA!N230="","",DATA!N230)</f>
        <v/>
      </c>
      <c r="C300" s="203" t="str">
        <f>IF(DATA!O230="","",DATA!O230)</f>
        <v/>
      </c>
      <c r="D300" s="203" t="str">
        <f>IF(DATA!P230="","",DATA!P230)</f>
        <v/>
      </c>
      <c r="E300" s="13"/>
      <c r="F300" s="5" t="str">
        <f t="shared" si="70"/>
        <v/>
      </c>
      <c r="G300" s="1"/>
      <c r="H300" s="77">
        <f>IF(G300="",0,VLOOKUP(G300,REFCE!A:D,2,FALSE))</f>
        <v>0</v>
      </c>
      <c r="I300" s="77" t="str">
        <f t="shared" si="71"/>
        <v/>
      </c>
    </row>
    <row r="301" spans="1:9" x14ac:dyDescent="0.25">
      <c r="A301" s="203" t="str">
        <f>IF(DATA!M231="","",DATA!M231)</f>
        <v/>
      </c>
      <c r="B301" s="203" t="str">
        <f>IF(DATA!N231="","",DATA!N231)</f>
        <v/>
      </c>
      <c r="C301" s="203" t="str">
        <f>IF(DATA!O231="","",DATA!O231)</f>
        <v/>
      </c>
      <c r="D301" s="203" t="str">
        <f>IF(DATA!P231="","",DATA!P231)</f>
        <v/>
      </c>
      <c r="E301" s="13"/>
      <c r="F301" s="5" t="str">
        <f t="shared" si="70"/>
        <v/>
      </c>
      <c r="G301" s="1"/>
      <c r="H301" s="77">
        <f>IF(G301="",0,VLOOKUP(G301,REFCE!A:D,2,FALSE))</f>
        <v>0</v>
      </c>
      <c r="I301" s="77" t="str">
        <f t="shared" si="71"/>
        <v/>
      </c>
    </row>
    <row r="302" spans="1:9" x14ac:dyDescent="0.25">
      <c r="A302" s="203" t="str">
        <f>IF(DATA!M232="","",DATA!M232)</f>
        <v/>
      </c>
      <c r="B302" s="203" t="str">
        <f>IF(DATA!N232="","",DATA!N232)</f>
        <v/>
      </c>
      <c r="C302" s="203" t="str">
        <f>IF(DATA!O232="","",DATA!O232)</f>
        <v/>
      </c>
      <c r="D302" s="203" t="str">
        <f>IF(DATA!P232="","",DATA!P232)</f>
        <v/>
      </c>
      <c r="E302" s="13"/>
      <c r="F302" s="5" t="str">
        <f t="shared" si="70"/>
        <v/>
      </c>
      <c r="G302" s="1"/>
      <c r="H302" s="77">
        <f>IF(G302="",0,VLOOKUP(G302,REFCE!A:D,2,FALSE))</f>
        <v>0</v>
      </c>
      <c r="I302" s="77" t="str">
        <f t="shared" si="71"/>
        <v/>
      </c>
    </row>
    <row r="303" spans="1:9" x14ac:dyDescent="0.25">
      <c r="A303" s="203" t="str">
        <f>IF(DATA!M233="","",DATA!M233)</f>
        <v/>
      </c>
      <c r="B303" s="203" t="str">
        <f>IF(DATA!N233="","",DATA!N233)</f>
        <v/>
      </c>
      <c r="C303" s="203" t="str">
        <f>IF(DATA!O233="","",DATA!O233)</f>
        <v/>
      </c>
      <c r="D303" s="203" t="str">
        <f>IF(DATA!P233="","",DATA!P233)</f>
        <v/>
      </c>
      <c r="E303" s="13"/>
      <c r="F303" s="5" t="str">
        <f t="shared" si="70"/>
        <v/>
      </c>
      <c r="G303" s="1"/>
      <c r="H303" s="77">
        <f>IF(G303="",0,VLOOKUP(G303,REFCE!A:D,2,FALSE))</f>
        <v>0</v>
      </c>
      <c r="I303" s="77" t="str">
        <f t="shared" si="71"/>
        <v/>
      </c>
    </row>
    <row r="304" spans="1:9" x14ac:dyDescent="0.25">
      <c r="A304" s="203" t="str">
        <f>IF(DATA!M234="","",DATA!M234)</f>
        <v/>
      </c>
      <c r="B304" s="203" t="str">
        <f>IF(DATA!N234="","",DATA!N234)</f>
        <v/>
      </c>
      <c r="C304" s="203" t="str">
        <f>IF(DATA!O234="","",DATA!O234)</f>
        <v/>
      </c>
      <c r="D304" s="203" t="str">
        <f>IF(DATA!P234="","",DATA!P234)</f>
        <v/>
      </c>
      <c r="E304" s="13"/>
      <c r="F304" s="5" t="str">
        <f t="shared" si="70"/>
        <v/>
      </c>
      <c r="G304" s="1"/>
      <c r="H304" s="77">
        <f>IF(G304="",0,VLOOKUP(G304,REFCE!A:D,2,FALSE))</f>
        <v>0</v>
      </c>
      <c r="I304" s="77" t="str">
        <f t="shared" si="71"/>
        <v/>
      </c>
    </row>
    <row r="305" spans="1:9" x14ac:dyDescent="0.25">
      <c r="A305" s="203" t="str">
        <f>IF(DATA!M235="","",DATA!M235)</f>
        <v/>
      </c>
      <c r="B305" s="203" t="str">
        <f>IF(DATA!N235="","",DATA!N235)</f>
        <v/>
      </c>
      <c r="C305" s="203" t="str">
        <f>IF(DATA!O235="","",DATA!O235)</f>
        <v/>
      </c>
      <c r="D305" s="203" t="str">
        <f>IF(DATA!P235="","",DATA!P235)</f>
        <v/>
      </c>
      <c r="E305" s="13"/>
      <c r="F305" s="5" t="str">
        <f t="shared" si="70"/>
        <v/>
      </c>
      <c r="G305" s="1"/>
      <c r="H305" s="77">
        <f>IF(G305="",0,VLOOKUP(G305,REFCE!A:D,2,FALSE))</f>
        <v>0</v>
      </c>
      <c r="I305" s="77" t="str">
        <f t="shared" si="71"/>
        <v/>
      </c>
    </row>
    <row r="306" spans="1:9" x14ac:dyDescent="0.25">
      <c r="A306" s="203" t="str">
        <f>IF(DATA!M236="","",DATA!M236)</f>
        <v/>
      </c>
      <c r="B306" s="203" t="str">
        <f>IF(DATA!N236="","",DATA!N236)</f>
        <v/>
      </c>
      <c r="C306" s="203" t="str">
        <f>IF(DATA!O236="","",DATA!O236)</f>
        <v/>
      </c>
      <c r="D306" s="203" t="str">
        <f>IF(DATA!P236="","",DATA!P236)</f>
        <v/>
      </c>
      <c r="E306" s="13"/>
      <c r="F306" s="5" t="str">
        <f t="shared" si="70"/>
        <v/>
      </c>
      <c r="G306" s="1"/>
      <c r="H306" s="77">
        <f>IF(G306="",0,VLOOKUP(G306,REFCE!A:D,2,FALSE))</f>
        <v>0</v>
      </c>
      <c r="I306" s="77" t="str">
        <f t="shared" si="71"/>
        <v/>
      </c>
    </row>
    <row r="307" spans="1:9" x14ac:dyDescent="0.25">
      <c r="A307" s="203" t="str">
        <f>IF(DATA!M237="","",DATA!M237)</f>
        <v/>
      </c>
      <c r="B307" s="203" t="str">
        <f>IF(DATA!N237="","",DATA!N237)</f>
        <v/>
      </c>
      <c r="C307" s="203" t="str">
        <f>IF(DATA!O237="","",DATA!O237)</f>
        <v/>
      </c>
      <c r="D307" s="203" t="str">
        <f>IF(DATA!P237="","",DATA!P237)</f>
        <v/>
      </c>
      <c r="E307" s="13"/>
      <c r="F307" s="5" t="str">
        <f t="shared" si="70"/>
        <v/>
      </c>
      <c r="G307" s="1"/>
      <c r="H307" s="77">
        <f>IF(G307="",0,VLOOKUP(G307,REFCE!A:D,2,FALSE))</f>
        <v>0</v>
      </c>
      <c r="I307" s="77" t="str">
        <f t="shared" si="71"/>
        <v/>
      </c>
    </row>
    <row r="308" spans="1:9" x14ac:dyDescent="0.25">
      <c r="A308" s="203" t="str">
        <f>IF(DATA!M238="","",DATA!M238)</f>
        <v/>
      </c>
      <c r="B308" s="203" t="str">
        <f>IF(DATA!N238="","",DATA!N238)</f>
        <v/>
      </c>
      <c r="C308" s="203" t="str">
        <f>IF(DATA!O238="","",DATA!O238)</f>
        <v/>
      </c>
      <c r="D308" s="203" t="str">
        <f>IF(DATA!P238="","",DATA!P238)</f>
        <v/>
      </c>
      <c r="E308" s="13"/>
      <c r="F308" s="5" t="str">
        <f t="shared" si="70"/>
        <v/>
      </c>
      <c r="G308" s="1"/>
      <c r="H308" s="77">
        <f>IF(G308="",0,VLOOKUP(G308,REFCE!A:D,2,FALSE))</f>
        <v>0</v>
      </c>
      <c r="I308" s="77" t="str">
        <f t="shared" si="71"/>
        <v/>
      </c>
    </row>
    <row r="309" spans="1:9" x14ac:dyDescent="0.25">
      <c r="A309" s="203" t="str">
        <f>IF(DATA!M239="","",DATA!M239)</f>
        <v/>
      </c>
      <c r="B309" s="203" t="str">
        <f>IF(DATA!N239="","",DATA!N239)</f>
        <v/>
      </c>
      <c r="C309" s="203" t="str">
        <f>IF(DATA!O239="","",DATA!O239)</f>
        <v/>
      </c>
      <c r="D309" s="203" t="str">
        <f>IF(DATA!P239="","",DATA!P239)</f>
        <v/>
      </c>
      <c r="E309" s="13"/>
      <c r="F309" s="5" t="str">
        <f t="shared" si="70"/>
        <v/>
      </c>
      <c r="G309" s="1"/>
      <c r="H309" s="77">
        <f>IF(G309="",0,VLOOKUP(G309,REFCE!A:D,2,FALSE))</f>
        <v>0</v>
      </c>
      <c r="I309" s="77" t="str">
        <f t="shared" si="71"/>
        <v/>
      </c>
    </row>
    <row r="310" spans="1:9" x14ac:dyDescent="0.25">
      <c r="A310" s="203" t="str">
        <f>IF(DATA!M240="","",DATA!M240)</f>
        <v/>
      </c>
      <c r="B310" s="203" t="str">
        <f>IF(DATA!N240="","",DATA!N240)</f>
        <v/>
      </c>
      <c r="C310" s="203" t="str">
        <f>IF(DATA!O240="","",DATA!O240)</f>
        <v/>
      </c>
      <c r="D310" s="203" t="str">
        <f>IF(DATA!P240="","",DATA!P240)</f>
        <v/>
      </c>
      <c r="E310" s="13"/>
      <c r="F310" s="5" t="str">
        <f t="shared" si="70"/>
        <v/>
      </c>
      <c r="G310" s="1"/>
      <c r="H310" s="77">
        <f>IF(G310="",0,VLOOKUP(G310,REFCE!A:D,2,FALSE))</f>
        <v>0</v>
      </c>
      <c r="I310" s="77" t="str">
        <f t="shared" si="71"/>
        <v/>
      </c>
    </row>
    <row r="311" spans="1:9" x14ac:dyDescent="0.25">
      <c r="A311" s="203" t="str">
        <f>IF(DATA!M241="","",DATA!M241)</f>
        <v/>
      </c>
      <c r="B311" s="203" t="str">
        <f>IF(DATA!N241="","",DATA!N241)</f>
        <v/>
      </c>
      <c r="C311" s="203" t="str">
        <f>IF(DATA!O241="","",DATA!O241)</f>
        <v/>
      </c>
      <c r="D311" s="203" t="str">
        <f>IF(DATA!P241="","",DATA!P241)</f>
        <v/>
      </c>
      <c r="E311" s="13"/>
      <c r="F311" s="5" t="str">
        <f t="shared" si="70"/>
        <v/>
      </c>
      <c r="G311" s="1"/>
      <c r="H311" s="77">
        <f>IF(G311="",0,VLOOKUP(G311,REFCE!A:D,2,FALSE))</f>
        <v>0</v>
      </c>
      <c r="I311" s="77" t="str">
        <f t="shared" si="71"/>
        <v/>
      </c>
    </row>
    <row r="312" spans="1:9" x14ac:dyDescent="0.25">
      <c r="A312" s="203" t="str">
        <f>IF(DATA!M242="","",DATA!M242)</f>
        <v/>
      </c>
      <c r="B312" s="203" t="str">
        <f>IF(DATA!N242="","",DATA!N242)</f>
        <v/>
      </c>
      <c r="C312" s="203" t="str">
        <f>IF(DATA!O242="","",DATA!O242)</f>
        <v/>
      </c>
      <c r="D312" s="203" t="str">
        <f>IF(DATA!P242="","",DATA!P242)</f>
        <v/>
      </c>
      <c r="E312" s="13"/>
      <c r="F312" s="5" t="str">
        <f t="shared" si="70"/>
        <v/>
      </c>
      <c r="G312" s="1"/>
      <c r="H312" s="77">
        <f>IF(G312="",0,VLOOKUP(G312,REFCE!A:D,2,FALSE))</f>
        <v>0</v>
      </c>
      <c r="I312" s="77" t="str">
        <f t="shared" si="71"/>
        <v/>
      </c>
    </row>
    <row r="313" spans="1:9" x14ac:dyDescent="0.25">
      <c r="A313" s="203" t="str">
        <f>IF(DATA!M243="","",DATA!M243)</f>
        <v/>
      </c>
      <c r="B313" s="203" t="str">
        <f>IF(DATA!N243="","",DATA!N243)</f>
        <v/>
      </c>
      <c r="C313" s="203" t="str">
        <f>IF(DATA!O243="","",DATA!O243)</f>
        <v/>
      </c>
      <c r="D313" s="203" t="str">
        <f>IF(DATA!P243="","",DATA!P243)</f>
        <v/>
      </c>
      <c r="E313" s="13"/>
      <c r="F313" s="5" t="str">
        <f t="shared" si="70"/>
        <v/>
      </c>
      <c r="G313" s="1"/>
      <c r="H313" s="77">
        <f>IF(G313="",0,VLOOKUP(G313,REFCE!A:D,2,FALSE))</f>
        <v>0</v>
      </c>
      <c r="I313" s="77" t="str">
        <f t="shared" si="71"/>
        <v/>
      </c>
    </row>
    <row r="314" spans="1:9" x14ac:dyDescent="0.25">
      <c r="A314" s="203" t="str">
        <f>IF(DATA!M244="","",DATA!M244)</f>
        <v/>
      </c>
      <c r="B314" s="203" t="str">
        <f>IF(DATA!N244="","",DATA!N244)</f>
        <v/>
      </c>
      <c r="C314" s="203" t="str">
        <f>IF(DATA!O244="","",DATA!O244)</f>
        <v/>
      </c>
      <c r="D314" s="203" t="str">
        <f>IF(DATA!P244="","",DATA!P244)</f>
        <v/>
      </c>
      <c r="E314" s="13"/>
      <c r="F314" s="5" t="str">
        <f t="shared" si="70"/>
        <v/>
      </c>
      <c r="G314" s="1"/>
      <c r="H314" s="77">
        <f>IF(G314="",0,VLOOKUP(G314,REFCE!A:D,2,FALSE))</f>
        <v>0</v>
      </c>
      <c r="I314" s="77" t="str">
        <f t="shared" si="71"/>
        <v/>
      </c>
    </row>
    <row r="315" spans="1:9" x14ac:dyDescent="0.25">
      <c r="A315" s="203" t="str">
        <f>IF(DATA!M245="","",DATA!M245)</f>
        <v/>
      </c>
      <c r="B315" s="203" t="str">
        <f>IF(DATA!N245="","",DATA!N245)</f>
        <v/>
      </c>
      <c r="C315" s="203" t="str">
        <f>IF(DATA!O245="","",DATA!O245)</f>
        <v/>
      </c>
      <c r="D315" s="203" t="str">
        <f>IF(DATA!P245="","",DATA!P245)</f>
        <v/>
      </c>
      <c r="E315" s="13"/>
      <c r="F315" s="5" t="str">
        <f t="shared" si="70"/>
        <v/>
      </c>
      <c r="G315" s="1"/>
      <c r="H315" s="77">
        <f>IF(G315="",0,VLOOKUP(G315,REFCE!A:D,2,FALSE))</f>
        <v>0</v>
      </c>
      <c r="I315" s="77" t="str">
        <f t="shared" si="71"/>
        <v/>
      </c>
    </row>
    <row r="316" spans="1:9" x14ac:dyDescent="0.25">
      <c r="A316" s="203" t="str">
        <f>IF(DATA!M246="","",DATA!M246)</f>
        <v/>
      </c>
      <c r="B316" s="203" t="str">
        <f>IF(DATA!N246="","",DATA!N246)</f>
        <v/>
      </c>
      <c r="C316" s="203" t="str">
        <f>IF(DATA!O246="","",DATA!O246)</f>
        <v/>
      </c>
      <c r="D316" s="203" t="str">
        <f>IF(DATA!P246="","",DATA!P246)</f>
        <v/>
      </c>
      <c r="E316" s="13"/>
      <c r="F316" s="5" t="str">
        <f t="shared" si="70"/>
        <v/>
      </c>
      <c r="G316" s="1"/>
      <c r="H316" s="77">
        <f>IF(G316="",0,VLOOKUP(G316,REFCE!A:D,2,FALSE))</f>
        <v>0</v>
      </c>
      <c r="I316" s="77" t="str">
        <f t="shared" si="71"/>
        <v/>
      </c>
    </row>
    <row r="317" spans="1:9" x14ac:dyDescent="0.25">
      <c r="A317" s="203" t="str">
        <f>IF(DATA!M247="","",DATA!M247)</f>
        <v/>
      </c>
      <c r="B317" s="203" t="str">
        <f>IF(DATA!N247="","",DATA!N247)</f>
        <v/>
      </c>
      <c r="C317" s="203" t="str">
        <f>IF(DATA!O247="","",DATA!O247)</f>
        <v/>
      </c>
      <c r="D317" s="203" t="str">
        <f>IF(DATA!P247="","",DATA!P247)</f>
        <v/>
      </c>
      <c r="E317" s="13"/>
      <c r="F317" s="5" t="str">
        <f t="shared" si="70"/>
        <v/>
      </c>
      <c r="G317" s="1"/>
      <c r="H317" s="77">
        <f>IF(G317="",0,VLOOKUP(G317,REFCE!A:D,2,FALSE))</f>
        <v>0</v>
      </c>
      <c r="I317" s="77" t="str">
        <f t="shared" si="71"/>
        <v/>
      </c>
    </row>
    <row r="318" spans="1:9" x14ac:dyDescent="0.25">
      <c r="A318" s="203" t="str">
        <f>IF(DATA!M248="","",DATA!M248)</f>
        <v/>
      </c>
      <c r="B318" s="203" t="str">
        <f>IF(DATA!N248="","",DATA!N248)</f>
        <v/>
      </c>
      <c r="C318" s="203" t="str">
        <f>IF(DATA!O248="","",DATA!O248)</f>
        <v/>
      </c>
      <c r="D318" s="203" t="str">
        <f>IF(DATA!P248="","",DATA!P248)</f>
        <v/>
      </c>
      <c r="E318" s="13"/>
      <c r="F318" s="5" t="str">
        <f t="shared" si="70"/>
        <v/>
      </c>
      <c r="G318" s="1"/>
      <c r="H318" s="77">
        <f>IF(G318="",0,VLOOKUP(G318,REFCE!A:D,2,FALSE))</f>
        <v>0</v>
      </c>
      <c r="I318" s="77" t="str">
        <f t="shared" si="71"/>
        <v/>
      </c>
    </row>
    <row r="319" spans="1:9" x14ac:dyDescent="0.25">
      <c r="A319" s="203" t="str">
        <f>IF(DATA!M249="","",DATA!M249)</f>
        <v/>
      </c>
      <c r="B319" s="203" t="str">
        <f>IF(DATA!N249="","",DATA!N249)</f>
        <v/>
      </c>
      <c r="C319" s="203" t="str">
        <f>IF(DATA!O249="","",DATA!O249)</f>
        <v/>
      </c>
      <c r="D319" s="203" t="str">
        <f>IF(DATA!P249="","",DATA!P249)</f>
        <v/>
      </c>
      <c r="E319" s="13"/>
      <c r="F319" s="5" t="str">
        <f t="shared" si="70"/>
        <v/>
      </c>
      <c r="G319" s="1"/>
      <c r="H319" s="77">
        <f>IF(G319="",0,VLOOKUP(G319,REFCE!A:D,2,FALSE))</f>
        <v>0</v>
      </c>
      <c r="I319" s="77" t="str">
        <f t="shared" si="71"/>
        <v/>
      </c>
    </row>
    <row r="320" spans="1:9" x14ac:dyDescent="0.25">
      <c r="A320" s="203" t="str">
        <f>IF(DATA!M250="","",DATA!M250)</f>
        <v/>
      </c>
      <c r="B320" s="203" t="str">
        <f>IF(DATA!N250="","",DATA!N250)</f>
        <v/>
      </c>
      <c r="C320" s="203" t="str">
        <f>IF(DATA!O250="","",DATA!O250)</f>
        <v/>
      </c>
      <c r="D320" s="203" t="str">
        <f>IF(DATA!P250="","",DATA!P250)</f>
        <v/>
      </c>
      <c r="E320" s="13"/>
      <c r="F320" s="5" t="str">
        <f t="shared" si="70"/>
        <v/>
      </c>
      <c r="G320" s="1"/>
      <c r="H320" s="77">
        <f>IF(G320="",0,VLOOKUP(G320,REFCE!A:D,2,FALSE))</f>
        <v>0</v>
      </c>
      <c r="I320" s="77" t="str">
        <f t="shared" si="71"/>
        <v/>
      </c>
    </row>
    <row r="321" spans="1:9" x14ac:dyDescent="0.25">
      <c r="A321" s="203" t="str">
        <f>IF(DATA!M251="","",DATA!M251)</f>
        <v/>
      </c>
      <c r="B321" s="203" t="str">
        <f>IF(DATA!N251="","",DATA!N251)</f>
        <v/>
      </c>
      <c r="C321" s="203" t="str">
        <f>IF(DATA!O251="","",DATA!O251)</f>
        <v/>
      </c>
      <c r="D321" s="203" t="str">
        <f>IF(DATA!P251="","",DATA!P251)</f>
        <v/>
      </c>
      <c r="E321" s="13"/>
      <c r="F321" s="5" t="str">
        <f t="shared" si="70"/>
        <v/>
      </c>
      <c r="G321" s="1"/>
      <c r="H321" s="77">
        <f>IF(G321="",0,VLOOKUP(G321,REFCE!A:D,2,FALSE))</f>
        <v>0</v>
      </c>
      <c r="I321" s="77" t="str">
        <f t="shared" si="71"/>
        <v/>
      </c>
    </row>
    <row r="322" spans="1:9" x14ac:dyDescent="0.25">
      <c r="A322" s="203" t="str">
        <f>IF(DATA!M252="","",DATA!M252)</f>
        <v/>
      </c>
      <c r="B322" s="203" t="str">
        <f>IF(DATA!N252="","",DATA!N252)</f>
        <v/>
      </c>
      <c r="C322" s="203" t="str">
        <f>IF(DATA!O252="","",DATA!O252)</f>
        <v/>
      </c>
      <c r="D322" s="203" t="str">
        <f>IF(DATA!P252="","",DATA!P252)</f>
        <v/>
      </c>
      <c r="E322" s="13"/>
      <c r="F322" s="5" t="str">
        <f t="shared" si="70"/>
        <v/>
      </c>
      <c r="G322" s="1"/>
      <c r="H322" s="77">
        <f>IF(G322="",0,VLOOKUP(G322,REFCE!A:D,2,FALSE))</f>
        <v>0</v>
      </c>
      <c r="I322" s="77" t="str">
        <f t="shared" si="71"/>
        <v/>
      </c>
    </row>
    <row r="323" spans="1:9" x14ac:dyDescent="0.25">
      <c r="A323" s="203" t="str">
        <f>IF(DATA!M253="","",DATA!M253)</f>
        <v/>
      </c>
      <c r="B323" s="203" t="str">
        <f>IF(DATA!N253="","",DATA!N253)</f>
        <v/>
      </c>
      <c r="C323" s="203" t="str">
        <f>IF(DATA!O253="","",DATA!O253)</f>
        <v/>
      </c>
      <c r="D323" s="203" t="str">
        <f>IF(DATA!P253="","",DATA!P253)</f>
        <v/>
      </c>
      <c r="E323" s="13"/>
      <c r="F323" s="5" t="str">
        <f t="shared" si="70"/>
        <v/>
      </c>
      <c r="G323" s="1"/>
      <c r="H323" s="77">
        <f>IF(G323="",0,VLOOKUP(G323,REFCE!A:D,2,FALSE))</f>
        <v>0</v>
      </c>
      <c r="I323" s="77" t="str">
        <f t="shared" si="71"/>
        <v/>
      </c>
    </row>
    <row r="324" spans="1:9" x14ac:dyDescent="0.25">
      <c r="A324" s="203" t="str">
        <f>IF(DATA!M254="","",DATA!M254)</f>
        <v/>
      </c>
      <c r="B324" s="203" t="str">
        <f>IF(DATA!N254="","",DATA!N254)</f>
        <v/>
      </c>
      <c r="C324" s="203" t="str">
        <f>IF(DATA!O254="","",DATA!O254)</f>
        <v/>
      </c>
      <c r="D324" s="203" t="str">
        <f>IF(DATA!P254="","",DATA!P254)</f>
        <v/>
      </c>
      <c r="E324" s="13"/>
      <c r="F324" s="5" t="str">
        <f t="shared" si="70"/>
        <v/>
      </c>
      <c r="G324" s="1"/>
      <c r="H324" s="77">
        <f>IF(G324="",0,VLOOKUP(G324,REFCE!A:D,2,FALSE))</f>
        <v>0</v>
      </c>
      <c r="I324" s="77" t="str">
        <f t="shared" si="71"/>
        <v/>
      </c>
    </row>
    <row r="325" spans="1:9" x14ac:dyDescent="0.25">
      <c r="A325" s="203" t="str">
        <f>IF(DATA!M255="","",DATA!M255)</f>
        <v/>
      </c>
      <c r="B325" s="203" t="str">
        <f>IF(DATA!N255="","",DATA!N255)</f>
        <v/>
      </c>
      <c r="C325" s="203" t="str">
        <f>IF(DATA!O255="","",DATA!O255)</f>
        <v/>
      </c>
      <c r="D325" s="203" t="str">
        <f>IF(DATA!P255="","",DATA!P255)</f>
        <v/>
      </c>
      <c r="E325" s="13"/>
      <c r="F325" s="5" t="str">
        <f t="shared" si="70"/>
        <v/>
      </c>
      <c r="G325" s="1"/>
      <c r="H325" s="77">
        <f>IF(G325="",0,VLOOKUP(G325,REFCE!A:D,2,FALSE))</f>
        <v>0</v>
      </c>
      <c r="I325" s="77" t="str">
        <f t="shared" si="71"/>
        <v/>
      </c>
    </row>
    <row r="326" spans="1:9" x14ac:dyDescent="0.25">
      <c r="A326" s="203" t="str">
        <f>IF(DATA!M256="","",DATA!M256)</f>
        <v/>
      </c>
      <c r="B326" s="203" t="str">
        <f>IF(DATA!N256="","",DATA!N256)</f>
        <v/>
      </c>
      <c r="C326" s="203" t="str">
        <f>IF(DATA!O256="","",DATA!O256)</f>
        <v/>
      </c>
      <c r="D326" s="203" t="str">
        <f>IF(DATA!P256="","",DATA!P256)</f>
        <v/>
      </c>
      <c r="E326" s="13"/>
      <c r="F326" s="5" t="str">
        <f t="shared" si="70"/>
        <v/>
      </c>
      <c r="G326" s="1"/>
      <c r="H326" s="77">
        <f>IF(G326="",0,VLOOKUP(G326,REFCE!A:D,2,FALSE))</f>
        <v>0</v>
      </c>
      <c r="I326" s="77" t="str">
        <f t="shared" si="71"/>
        <v/>
      </c>
    </row>
    <row r="327" spans="1:9" x14ac:dyDescent="0.25">
      <c r="A327" s="203" t="str">
        <f>IF(DATA!M257="","",DATA!M257)</f>
        <v/>
      </c>
      <c r="B327" s="203" t="str">
        <f>IF(DATA!N257="","",DATA!N257)</f>
        <v/>
      </c>
      <c r="C327" s="203" t="str">
        <f>IF(DATA!O257="","",DATA!O257)</f>
        <v/>
      </c>
      <c r="D327" s="203" t="str">
        <f>IF(DATA!P257="","",DATA!P257)</f>
        <v/>
      </c>
      <c r="E327" s="13"/>
      <c r="F327" s="5" t="str">
        <f t="shared" si="70"/>
        <v/>
      </c>
      <c r="G327" s="1"/>
      <c r="H327" s="77">
        <f>IF(G327="",0,VLOOKUP(G327,REFCE!A:D,2,FALSE))</f>
        <v>0</v>
      </c>
      <c r="I327" s="77" t="str">
        <f t="shared" si="71"/>
        <v/>
      </c>
    </row>
    <row r="328" spans="1:9" x14ac:dyDescent="0.25">
      <c r="A328" s="203" t="str">
        <f>IF(DATA!M258="","",DATA!M258)</f>
        <v/>
      </c>
      <c r="B328" s="203" t="str">
        <f>IF(DATA!N258="","",DATA!N258)</f>
        <v/>
      </c>
      <c r="C328" s="203" t="str">
        <f>IF(DATA!O258="","",DATA!O258)</f>
        <v/>
      </c>
      <c r="D328" s="203" t="str">
        <f>IF(DATA!P258="","",DATA!P258)</f>
        <v/>
      </c>
      <c r="E328" s="13"/>
      <c r="F328" s="5" t="str">
        <f t="shared" si="70"/>
        <v/>
      </c>
      <c r="G328" s="1"/>
      <c r="H328" s="77">
        <f>IF(G328="",0,VLOOKUP(G328,REFCE!A:D,2,FALSE))</f>
        <v>0</v>
      </c>
      <c r="I328" s="77" t="str">
        <f t="shared" si="71"/>
        <v/>
      </c>
    </row>
    <row r="329" spans="1:9" x14ac:dyDescent="0.25">
      <c r="A329" s="203" t="str">
        <f>IF(DATA!M259="","",DATA!M259)</f>
        <v/>
      </c>
      <c r="B329" s="203" t="str">
        <f>IF(DATA!N259="","",DATA!N259)</f>
        <v/>
      </c>
      <c r="C329" s="203" t="str">
        <f>IF(DATA!O259="","",DATA!O259)</f>
        <v/>
      </c>
      <c r="D329" s="203" t="str">
        <f>IF(DATA!P259="","",DATA!P259)</f>
        <v/>
      </c>
      <c r="E329" s="13"/>
      <c r="F329" s="5" t="str">
        <f t="shared" si="70"/>
        <v/>
      </c>
      <c r="G329" s="1"/>
      <c r="H329" s="77">
        <f>IF(G329="",0,VLOOKUP(G329,REFCE!A:D,2,FALSE))</f>
        <v>0</v>
      </c>
      <c r="I329" s="77" t="str">
        <f t="shared" si="71"/>
        <v/>
      </c>
    </row>
    <row r="330" spans="1:9" x14ac:dyDescent="0.25">
      <c r="A330" s="203" t="str">
        <f>IF(DATA!M260="","",DATA!M260)</f>
        <v/>
      </c>
      <c r="B330" s="203" t="str">
        <f>IF(DATA!N260="","",DATA!N260)</f>
        <v/>
      </c>
      <c r="C330" s="203" t="str">
        <f>IF(DATA!O260="","",DATA!O260)</f>
        <v/>
      </c>
      <c r="D330" s="203" t="str">
        <f>IF(DATA!P260="","",DATA!P260)</f>
        <v/>
      </c>
      <c r="E330" s="13"/>
      <c r="F330" s="5" t="str">
        <f t="shared" si="70"/>
        <v/>
      </c>
      <c r="G330" s="1"/>
      <c r="H330" s="77">
        <f>IF(G330="",0,VLOOKUP(G330,REFCE!A:D,2,FALSE))</f>
        <v>0</v>
      </c>
      <c r="I330" s="77" t="str">
        <f t="shared" si="71"/>
        <v/>
      </c>
    </row>
    <row r="331" spans="1:9" x14ac:dyDescent="0.25">
      <c r="A331" s="203" t="str">
        <f>IF(DATA!M261="","",DATA!M261)</f>
        <v/>
      </c>
      <c r="B331" s="203" t="str">
        <f>IF(DATA!N261="","",DATA!N261)</f>
        <v/>
      </c>
      <c r="C331" s="203" t="str">
        <f>IF(DATA!O261="","",DATA!O261)</f>
        <v/>
      </c>
      <c r="D331" s="203" t="str">
        <f>IF(DATA!P261="","",DATA!P261)</f>
        <v/>
      </c>
      <c r="E331" s="13"/>
      <c r="F331" s="5" t="str">
        <f t="shared" si="70"/>
        <v/>
      </c>
      <c r="G331" s="1"/>
      <c r="H331" s="77">
        <f>IF(G331="",0,VLOOKUP(G331,REFCE!A:D,2,FALSE))</f>
        <v>0</v>
      </c>
      <c r="I331" s="77" t="str">
        <f t="shared" si="71"/>
        <v/>
      </c>
    </row>
    <row r="332" spans="1:9" x14ac:dyDescent="0.25">
      <c r="A332" s="203" t="str">
        <f>IF(DATA!M262="","",DATA!M262)</f>
        <v/>
      </c>
      <c r="B332" s="203" t="str">
        <f>IF(DATA!N262="","",DATA!N262)</f>
        <v/>
      </c>
      <c r="C332" s="203" t="str">
        <f>IF(DATA!O262="","",DATA!O262)</f>
        <v/>
      </c>
      <c r="D332" s="203" t="str">
        <f>IF(DATA!P262="","",DATA!P262)</f>
        <v/>
      </c>
      <c r="E332" s="13"/>
      <c r="F332" s="5" t="str">
        <f t="shared" si="70"/>
        <v/>
      </c>
      <c r="G332" s="1"/>
      <c r="H332" s="77">
        <f>IF(G332="",0,VLOOKUP(G332,REFCE!A:D,2,FALSE))</f>
        <v>0</v>
      </c>
      <c r="I332" s="77" t="str">
        <f t="shared" si="71"/>
        <v/>
      </c>
    </row>
    <row r="333" spans="1:9" x14ac:dyDescent="0.25">
      <c r="A333" s="203" t="str">
        <f>IF(DATA!M263="","",DATA!M263)</f>
        <v/>
      </c>
      <c r="B333" s="203" t="str">
        <f>IF(DATA!N263="","",DATA!N263)</f>
        <v/>
      </c>
      <c r="C333" s="203" t="str">
        <f>IF(DATA!O263="","",DATA!O263)</f>
        <v/>
      </c>
      <c r="D333" s="203" t="str">
        <f>IF(DATA!P263="","",DATA!P263)</f>
        <v/>
      </c>
      <c r="E333" s="13"/>
      <c r="F333" s="5" t="str">
        <f t="shared" si="70"/>
        <v/>
      </c>
      <c r="G333" s="1"/>
      <c r="H333" s="77">
        <f>IF(G333="",0,VLOOKUP(G333,REFCE!A:D,2,FALSE))</f>
        <v>0</v>
      </c>
      <c r="I333" s="77" t="str">
        <f t="shared" si="71"/>
        <v/>
      </c>
    </row>
    <row r="334" spans="1:9" x14ac:dyDescent="0.25">
      <c r="A334" s="203" t="str">
        <f>IF(DATA!M264="","",DATA!M264)</f>
        <v/>
      </c>
      <c r="B334" s="203" t="str">
        <f>IF(DATA!N264="","",DATA!N264)</f>
        <v/>
      </c>
      <c r="C334" s="203" t="str">
        <f>IF(DATA!O264="","",DATA!O264)</f>
        <v/>
      </c>
      <c r="D334" s="203" t="str">
        <f>IF(DATA!P264="","",DATA!P264)</f>
        <v/>
      </c>
      <c r="E334" s="13"/>
      <c r="F334" s="5" t="str">
        <f t="shared" ref="F334:F397" si="72">IF(D334="","",D334*E334)</f>
        <v/>
      </c>
      <c r="G334" s="1"/>
      <c r="H334" s="77">
        <f>IF(G334="",0,VLOOKUP(G334,REFCE!A:D,2,FALSE))</f>
        <v>0</v>
      </c>
      <c r="I334" s="77" t="str">
        <f t="shared" ref="I334:I397" si="73">IF(F334="","",F334*H334)</f>
        <v/>
      </c>
    </row>
    <row r="335" spans="1:9" x14ac:dyDescent="0.25">
      <c r="A335" s="203" t="str">
        <f>IF(DATA!M265="","",DATA!M265)</f>
        <v/>
      </c>
      <c r="B335" s="203" t="str">
        <f>IF(DATA!N265="","",DATA!N265)</f>
        <v/>
      </c>
      <c r="C335" s="203" t="str">
        <f>IF(DATA!O265="","",DATA!O265)</f>
        <v/>
      </c>
      <c r="D335" s="203" t="str">
        <f>IF(DATA!P265="","",DATA!P265)</f>
        <v/>
      </c>
      <c r="E335" s="13"/>
      <c r="F335" s="5" t="str">
        <f t="shared" si="72"/>
        <v/>
      </c>
      <c r="G335" s="1"/>
      <c r="H335" s="77">
        <f>IF(G335="",0,VLOOKUP(G335,REFCE!A:D,2,FALSE))</f>
        <v>0</v>
      </c>
      <c r="I335" s="77" t="str">
        <f t="shared" si="73"/>
        <v/>
      </c>
    </row>
    <row r="336" spans="1:9" x14ac:dyDescent="0.25">
      <c r="A336" s="203" t="str">
        <f>IF(DATA!M266="","",DATA!M266)</f>
        <v/>
      </c>
      <c r="B336" s="203" t="str">
        <f>IF(DATA!N266="","",DATA!N266)</f>
        <v/>
      </c>
      <c r="C336" s="203" t="str">
        <f>IF(DATA!O266="","",DATA!O266)</f>
        <v/>
      </c>
      <c r="D336" s="203" t="str">
        <f>IF(DATA!P266="","",DATA!P266)</f>
        <v/>
      </c>
      <c r="E336" s="13"/>
      <c r="F336" s="5" t="str">
        <f t="shared" si="72"/>
        <v/>
      </c>
      <c r="G336" s="1"/>
      <c r="H336" s="77">
        <f>IF(G336="",0,VLOOKUP(G336,REFCE!A:D,2,FALSE))</f>
        <v>0</v>
      </c>
      <c r="I336" s="77" t="str">
        <f t="shared" si="73"/>
        <v/>
      </c>
    </row>
    <row r="337" spans="1:9" x14ac:dyDescent="0.25">
      <c r="A337" s="203" t="str">
        <f>IF(DATA!M267="","",DATA!M267)</f>
        <v/>
      </c>
      <c r="B337" s="203" t="str">
        <f>IF(DATA!N267="","",DATA!N267)</f>
        <v/>
      </c>
      <c r="C337" s="203" t="str">
        <f>IF(DATA!O267="","",DATA!O267)</f>
        <v/>
      </c>
      <c r="D337" s="203" t="str">
        <f>IF(DATA!P267="","",DATA!P267)</f>
        <v/>
      </c>
      <c r="E337" s="13"/>
      <c r="F337" s="5" t="str">
        <f t="shared" si="72"/>
        <v/>
      </c>
      <c r="G337" s="1"/>
      <c r="H337" s="77">
        <f>IF(G337="",0,VLOOKUP(G337,REFCE!A:D,2,FALSE))</f>
        <v>0</v>
      </c>
      <c r="I337" s="77" t="str">
        <f t="shared" si="73"/>
        <v/>
      </c>
    </row>
    <row r="338" spans="1:9" x14ac:dyDescent="0.25">
      <c r="A338" s="203" t="str">
        <f>IF(DATA!M268="","",DATA!M268)</f>
        <v/>
      </c>
      <c r="B338" s="203" t="str">
        <f>IF(DATA!N268="","",DATA!N268)</f>
        <v/>
      </c>
      <c r="C338" s="203" t="str">
        <f>IF(DATA!O268="","",DATA!O268)</f>
        <v/>
      </c>
      <c r="D338" s="203" t="str">
        <f>IF(DATA!P268="","",DATA!P268)</f>
        <v/>
      </c>
      <c r="E338" s="13"/>
      <c r="F338" s="5" t="str">
        <f t="shared" si="72"/>
        <v/>
      </c>
      <c r="G338" s="1"/>
      <c r="H338" s="77">
        <f>IF(G338="",0,VLOOKUP(G338,REFCE!A:D,2,FALSE))</f>
        <v>0</v>
      </c>
      <c r="I338" s="77" t="str">
        <f t="shared" si="73"/>
        <v/>
      </c>
    </row>
    <row r="339" spans="1:9" x14ac:dyDescent="0.25">
      <c r="A339" s="203" t="str">
        <f>IF(DATA!M269="","",DATA!M269)</f>
        <v/>
      </c>
      <c r="B339" s="203" t="str">
        <f>IF(DATA!N269="","",DATA!N269)</f>
        <v/>
      </c>
      <c r="C339" s="203" t="str">
        <f>IF(DATA!O269="","",DATA!O269)</f>
        <v/>
      </c>
      <c r="D339" s="203" t="str">
        <f>IF(DATA!P269="","",DATA!P269)</f>
        <v/>
      </c>
      <c r="E339" s="13"/>
      <c r="F339" s="5" t="str">
        <f t="shared" si="72"/>
        <v/>
      </c>
      <c r="G339" s="1"/>
      <c r="H339" s="77">
        <f>IF(G339="",0,VLOOKUP(G339,REFCE!A:D,2,FALSE))</f>
        <v>0</v>
      </c>
      <c r="I339" s="77" t="str">
        <f t="shared" si="73"/>
        <v/>
      </c>
    </row>
    <row r="340" spans="1:9" x14ac:dyDescent="0.25">
      <c r="A340" s="203" t="str">
        <f>IF(DATA!M270="","",DATA!M270)</f>
        <v/>
      </c>
      <c r="B340" s="203" t="str">
        <f>IF(DATA!N270="","",DATA!N270)</f>
        <v/>
      </c>
      <c r="C340" s="203" t="str">
        <f>IF(DATA!O270="","",DATA!O270)</f>
        <v/>
      </c>
      <c r="D340" s="203" t="str">
        <f>IF(DATA!P270="","",DATA!P270)</f>
        <v/>
      </c>
      <c r="E340" s="13"/>
      <c r="F340" s="5" t="str">
        <f t="shared" si="72"/>
        <v/>
      </c>
      <c r="G340" s="1"/>
      <c r="H340" s="77">
        <f>IF(G340="",0,VLOOKUP(G340,REFCE!A:D,2,FALSE))</f>
        <v>0</v>
      </c>
      <c r="I340" s="77" t="str">
        <f t="shared" si="73"/>
        <v/>
      </c>
    </row>
    <row r="341" spans="1:9" x14ac:dyDescent="0.25">
      <c r="A341" s="203" t="str">
        <f>IF(DATA!M271="","",DATA!M271)</f>
        <v/>
      </c>
      <c r="B341" s="203" t="str">
        <f>IF(DATA!N271="","",DATA!N271)</f>
        <v/>
      </c>
      <c r="C341" s="203" t="str">
        <f>IF(DATA!O271="","",DATA!O271)</f>
        <v/>
      </c>
      <c r="D341" s="203" t="str">
        <f>IF(DATA!P271="","",DATA!P271)</f>
        <v/>
      </c>
      <c r="E341" s="13"/>
      <c r="F341" s="5" t="str">
        <f t="shared" si="72"/>
        <v/>
      </c>
      <c r="G341" s="1"/>
      <c r="H341" s="77">
        <f>IF(G341="",0,VLOOKUP(G341,REFCE!A:D,2,FALSE))</f>
        <v>0</v>
      </c>
      <c r="I341" s="77" t="str">
        <f t="shared" si="73"/>
        <v/>
      </c>
    </row>
    <row r="342" spans="1:9" x14ac:dyDescent="0.25">
      <c r="A342" s="203" t="str">
        <f>IF(DATA!M272="","",DATA!M272)</f>
        <v/>
      </c>
      <c r="B342" s="203" t="str">
        <f>IF(DATA!N272="","",DATA!N272)</f>
        <v/>
      </c>
      <c r="C342" s="203" t="str">
        <f>IF(DATA!O272="","",DATA!O272)</f>
        <v/>
      </c>
      <c r="D342" s="203" t="str">
        <f>IF(DATA!P272="","",DATA!P272)</f>
        <v/>
      </c>
      <c r="E342" s="13"/>
      <c r="F342" s="5" t="str">
        <f t="shared" si="72"/>
        <v/>
      </c>
      <c r="G342" s="1"/>
      <c r="H342" s="77">
        <f>IF(G342="",0,VLOOKUP(G342,REFCE!A:D,2,FALSE))</f>
        <v>0</v>
      </c>
      <c r="I342" s="77" t="str">
        <f t="shared" si="73"/>
        <v/>
      </c>
    </row>
    <row r="343" spans="1:9" x14ac:dyDescent="0.25">
      <c r="A343" s="203" t="str">
        <f>IF(DATA!M273="","",DATA!M273)</f>
        <v/>
      </c>
      <c r="B343" s="203" t="str">
        <f>IF(DATA!N273="","",DATA!N273)</f>
        <v/>
      </c>
      <c r="C343" s="203" t="str">
        <f>IF(DATA!O273="","",DATA!O273)</f>
        <v/>
      </c>
      <c r="D343" s="203" t="str">
        <f>IF(DATA!P273="","",DATA!P273)</f>
        <v/>
      </c>
      <c r="E343" s="13"/>
      <c r="F343" s="5" t="str">
        <f t="shared" si="72"/>
        <v/>
      </c>
      <c r="G343" s="1"/>
      <c r="H343" s="77">
        <f>IF(G343="",0,VLOOKUP(G343,REFCE!A:D,2,FALSE))</f>
        <v>0</v>
      </c>
      <c r="I343" s="77" t="str">
        <f t="shared" si="73"/>
        <v/>
      </c>
    </row>
    <row r="344" spans="1:9" x14ac:dyDescent="0.25">
      <c r="A344" s="203" t="str">
        <f>IF(DATA!M274="","",DATA!M274)</f>
        <v/>
      </c>
      <c r="B344" s="203" t="str">
        <f>IF(DATA!N274="","",DATA!N274)</f>
        <v/>
      </c>
      <c r="C344" s="203" t="str">
        <f>IF(DATA!O274="","",DATA!O274)</f>
        <v/>
      </c>
      <c r="D344" s="203" t="str">
        <f>IF(DATA!P274="","",DATA!P274)</f>
        <v/>
      </c>
      <c r="E344" s="13"/>
      <c r="F344" s="5" t="str">
        <f t="shared" si="72"/>
        <v/>
      </c>
      <c r="G344" s="1"/>
      <c r="H344" s="77">
        <f>IF(G344="",0,VLOOKUP(G344,REFCE!A:D,2,FALSE))</f>
        <v>0</v>
      </c>
      <c r="I344" s="77" t="str">
        <f t="shared" si="73"/>
        <v/>
      </c>
    </row>
    <row r="345" spans="1:9" x14ac:dyDescent="0.25">
      <c r="A345" s="203" t="str">
        <f>IF(DATA!M275="","",DATA!M275)</f>
        <v/>
      </c>
      <c r="B345" s="203" t="str">
        <f>IF(DATA!N275="","",DATA!N275)</f>
        <v/>
      </c>
      <c r="C345" s="203" t="str">
        <f>IF(DATA!O275="","",DATA!O275)</f>
        <v/>
      </c>
      <c r="D345" s="203" t="str">
        <f>IF(DATA!P275="","",DATA!P275)</f>
        <v/>
      </c>
      <c r="E345" s="13"/>
      <c r="F345" s="5" t="str">
        <f t="shared" si="72"/>
        <v/>
      </c>
      <c r="G345" s="1"/>
      <c r="H345" s="77">
        <f>IF(G345="",0,VLOOKUP(G345,REFCE!A:D,2,FALSE))</f>
        <v>0</v>
      </c>
      <c r="I345" s="77" t="str">
        <f t="shared" si="73"/>
        <v/>
      </c>
    </row>
    <row r="346" spans="1:9" x14ac:dyDescent="0.25">
      <c r="A346" s="203" t="str">
        <f>IF(DATA!M276="","",DATA!M276)</f>
        <v/>
      </c>
      <c r="B346" s="203" t="str">
        <f>IF(DATA!N276="","",DATA!N276)</f>
        <v/>
      </c>
      <c r="C346" s="203" t="str">
        <f>IF(DATA!O276="","",DATA!O276)</f>
        <v/>
      </c>
      <c r="D346" s="203" t="str">
        <f>IF(DATA!P276="","",DATA!P276)</f>
        <v/>
      </c>
      <c r="E346" s="13"/>
      <c r="F346" s="5" t="str">
        <f t="shared" si="72"/>
        <v/>
      </c>
      <c r="G346" s="1"/>
      <c r="H346" s="77">
        <f>IF(G346="",0,VLOOKUP(G346,REFCE!A:D,2,FALSE))</f>
        <v>0</v>
      </c>
      <c r="I346" s="77" t="str">
        <f t="shared" si="73"/>
        <v/>
      </c>
    </row>
    <row r="347" spans="1:9" x14ac:dyDescent="0.25">
      <c r="A347" s="203" t="str">
        <f>IF(DATA!M277="","",DATA!M277)</f>
        <v/>
      </c>
      <c r="B347" s="203" t="str">
        <f>IF(DATA!N277="","",DATA!N277)</f>
        <v/>
      </c>
      <c r="C347" s="203" t="str">
        <f>IF(DATA!O277="","",DATA!O277)</f>
        <v/>
      </c>
      <c r="D347" s="203" t="str">
        <f>IF(DATA!P277="","",DATA!P277)</f>
        <v/>
      </c>
      <c r="E347" s="13"/>
      <c r="F347" s="5" t="str">
        <f t="shared" si="72"/>
        <v/>
      </c>
      <c r="G347" s="1"/>
      <c r="H347" s="77">
        <f>IF(G347="",0,VLOOKUP(G347,REFCE!A:D,2,FALSE))</f>
        <v>0</v>
      </c>
      <c r="I347" s="77" t="str">
        <f t="shared" si="73"/>
        <v/>
      </c>
    </row>
    <row r="348" spans="1:9" x14ac:dyDescent="0.25">
      <c r="A348" s="203" t="str">
        <f>IF(DATA!M278="","",DATA!M278)</f>
        <v/>
      </c>
      <c r="B348" s="203" t="str">
        <f>IF(DATA!N278="","",DATA!N278)</f>
        <v/>
      </c>
      <c r="C348" s="203" t="str">
        <f>IF(DATA!O278="","",DATA!O278)</f>
        <v/>
      </c>
      <c r="D348" s="203" t="str">
        <f>IF(DATA!P278="","",DATA!P278)</f>
        <v/>
      </c>
      <c r="E348" s="13"/>
      <c r="F348" s="5" t="str">
        <f t="shared" si="72"/>
        <v/>
      </c>
      <c r="G348" s="1"/>
      <c r="H348" s="77">
        <f>IF(G348="",0,VLOOKUP(G348,REFCE!A:D,2,FALSE))</f>
        <v>0</v>
      </c>
      <c r="I348" s="77" t="str">
        <f t="shared" si="73"/>
        <v/>
      </c>
    </row>
    <row r="349" spans="1:9" x14ac:dyDescent="0.25">
      <c r="A349" s="203" t="str">
        <f>IF(DATA!M279="","",DATA!M279)</f>
        <v/>
      </c>
      <c r="B349" s="203" t="str">
        <f>IF(DATA!N279="","",DATA!N279)</f>
        <v/>
      </c>
      <c r="C349" s="203" t="str">
        <f>IF(DATA!O279="","",DATA!O279)</f>
        <v/>
      </c>
      <c r="D349" s="203" t="str">
        <f>IF(DATA!P279="","",DATA!P279)</f>
        <v/>
      </c>
      <c r="E349" s="13"/>
      <c r="F349" s="5" t="str">
        <f t="shared" si="72"/>
        <v/>
      </c>
      <c r="G349" s="1"/>
      <c r="H349" s="77">
        <f>IF(G349="",0,VLOOKUP(G349,REFCE!A:D,2,FALSE))</f>
        <v>0</v>
      </c>
      <c r="I349" s="77" t="str">
        <f t="shared" si="73"/>
        <v/>
      </c>
    </row>
    <row r="350" spans="1:9" x14ac:dyDescent="0.25">
      <c r="A350" s="203" t="str">
        <f>IF(DATA!M280="","",DATA!M280)</f>
        <v/>
      </c>
      <c r="B350" s="203" t="str">
        <f>IF(DATA!N280="","",DATA!N280)</f>
        <v/>
      </c>
      <c r="C350" s="203" t="str">
        <f>IF(DATA!O280="","",DATA!O280)</f>
        <v/>
      </c>
      <c r="D350" s="203" t="str">
        <f>IF(DATA!P280="","",DATA!P280)</f>
        <v/>
      </c>
      <c r="E350" s="13"/>
      <c r="F350" s="5" t="str">
        <f t="shared" si="72"/>
        <v/>
      </c>
      <c r="G350" s="1"/>
      <c r="H350" s="77">
        <f>IF(G350="",0,VLOOKUP(G350,REFCE!A:D,2,FALSE))</f>
        <v>0</v>
      </c>
      <c r="I350" s="77" t="str">
        <f t="shared" si="73"/>
        <v/>
      </c>
    </row>
    <row r="351" spans="1:9" x14ac:dyDescent="0.25">
      <c r="A351" s="203" t="str">
        <f>IF(DATA!M281="","",DATA!M281)</f>
        <v/>
      </c>
      <c r="B351" s="203" t="str">
        <f>IF(DATA!N281="","",DATA!N281)</f>
        <v/>
      </c>
      <c r="C351" s="203" t="str">
        <f>IF(DATA!O281="","",DATA!O281)</f>
        <v/>
      </c>
      <c r="D351" s="203" t="str">
        <f>IF(DATA!P281="","",DATA!P281)</f>
        <v/>
      </c>
      <c r="E351" s="13"/>
      <c r="F351" s="5" t="str">
        <f t="shared" si="72"/>
        <v/>
      </c>
      <c r="G351" s="1"/>
      <c r="H351" s="77">
        <f>IF(G351="",0,VLOOKUP(G351,REFCE!A:D,2,FALSE))</f>
        <v>0</v>
      </c>
      <c r="I351" s="77" t="str">
        <f t="shared" si="73"/>
        <v/>
      </c>
    </row>
    <row r="352" spans="1:9" x14ac:dyDescent="0.25">
      <c r="A352" s="203" t="str">
        <f>IF(DATA!M282="","",DATA!M282)</f>
        <v/>
      </c>
      <c r="B352" s="203" t="str">
        <f>IF(DATA!N282="","",DATA!N282)</f>
        <v/>
      </c>
      <c r="C352" s="203" t="str">
        <f>IF(DATA!O282="","",DATA!O282)</f>
        <v/>
      </c>
      <c r="D352" s="203" t="str">
        <f>IF(DATA!P282="","",DATA!P282)</f>
        <v/>
      </c>
      <c r="E352" s="13"/>
      <c r="F352" s="5" t="str">
        <f t="shared" si="72"/>
        <v/>
      </c>
      <c r="G352" s="1"/>
      <c r="H352" s="77">
        <f>IF(G352="",0,VLOOKUP(G352,REFCE!A:D,2,FALSE))</f>
        <v>0</v>
      </c>
      <c r="I352" s="77" t="str">
        <f t="shared" si="73"/>
        <v/>
      </c>
    </row>
    <row r="353" spans="1:9" x14ac:dyDescent="0.25">
      <c r="A353" s="203" t="str">
        <f>IF(DATA!M283="","",DATA!M283)</f>
        <v/>
      </c>
      <c r="B353" s="203" t="str">
        <f>IF(DATA!N283="","",DATA!N283)</f>
        <v/>
      </c>
      <c r="C353" s="203" t="str">
        <f>IF(DATA!O283="","",DATA!O283)</f>
        <v/>
      </c>
      <c r="D353" s="203" t="str">
        <f>IF(DATA!P283="","",DATA!P283)</f>
        <v/>
      </c>
      <c r="E353" s="13"/>
      <c r="F353" s="5" t="str">
        <f t="shared" si="72"/>
        <v/>
      </c>
      <c r="G353" s="1"/>
      <c r="H353" s="77">
        <f>IF(G353="",0,VLOOKUP(G353,REFCE!A:D,2,FALSE))</f>
        <v>0</v>
      </c>
      <c r="I353" s="77" t="str">
        <f t="shared" si="73"/>
        <v/>
      </c>
    </row>
    <row r="354" spans="1:9" x14ac:dyDescent="0.25">
      <c r="A354" s="203" t="str">
        <f>IF(DATA!M284="","",DATA!M284)</f>
        <v/>
      </c>
      <c r="B354" s="203" t="str">
        <f>IF(DATA!N284="","",DATA!N284)</f>
        <v/>
      </c>
      <c r="C354" s="203" t="str">
        <f>IF(DATA!O284="","",DATA!O284)</f>
        <v/>
      </c>
      <c r="D354" s="203" t="str">
        <f>IF(DATA!P284="","",DATA!P284)</f>
        <v/>
      </c>
      <c r="E354" s="13"/>
      <c r="F354" s="5" t="str">
        <f t="shared" si="72"/>
        <v/>
      </c>
      <c r="G354" s="1"/>
      <c r="H354" s="77">
        <f>IF(G354="",0,VLOOKUP(G354,REFCE!A:D,2,FALSE))</f>
        <v>0</v>
      </c>
      <c r="I354" s="77" t="str">
        <f t="shared" si="73"/>
        <v/>
      </c>
    </row>
    <row r="355" spans="1:9" x14ac:dyDescent="0.25">
      <c r="A355" s="203" t="str">
        <f>IF(DATA!M285="","",DATA!M285)</f>
        <v/>
      </c>
      <c r="B355" s="203" t="str">
        <f>IF(DATA!N285="","",DATA!N285)</f>
        <v/>
      </c>
      <c r="C355" s="203" t="str">
        <f>IF(DATA!O285="","",DATA!O285)</f>
        <v/>
      </c>
      <c r="D355" s="203" t="str">
        <f>IF(DATA!P285="","",DATA!P285)</f>
        <v/>
      </c>
      <c r="E355" s="13"/>
      <c r="F355" s="5" t="str">
        <f t="shared" si="72"/>
        <v/>
      </c>
      <c r="G355" s="1"/>
      <c r="H355" s="77">
        <f>IF(G355="",0,VLOOKUP(G355,REFCE!A:D,2,FALSE))</f>
        <v>0</v>
      </c>
      <c r="I355" s="77" t="str">
        <f t="shared" si="73"/>
        <v/>
      </c>
    </row>
    <row r="356" spans="1:9" x14ac:dyDescent="0.25">
      <c r="A356" s="203" t="str">
        <f>IF(DATA!M286="","",DATA!M286)</f>
        <v/>
      </c>
      <c r="B356" s="203" t="str">
        <f>IF(DATA!N286="","",DATA!N286)</f>
        <v/>
      </c>
      <c r="C356" s="203" t="str">
        <f>IF(DATA!O286="","",DATA!O286)</f>
        <v/>
      </c>
      <c r="D356" s="203" t="str">
        <f>IF(DATA!P286="","",DATA!P286)</f>
        <v/>
      </c>
      <c r="E356" s="13"/>
      <c r="F356" s="5" t="str">
        <f t="shared" si="72"/>
        <v/>
      </c>
      <c r="G356" s="1"/>
      <c r="H356" s="77">
        <f>IF(G356="",0,VLOOKUP(G356,REFCE!A:D,2,FALSE))</f>
        <v>0</v>
      </c>
      <c r="I356" s="77" t="str">
        <f t="shared" si="73"/>
        <v/>
      </c>
    </row>
    <row r="357" spans="1:9" x14ac:dyDescent="0.25">
      <c r="A357" s="203" t="str">
        <f>IF(DATA!M287="","",DATA!M287)</f>
        <v/>
      </c>
      <c r="B357" s="203" t="str">
        <f>IF(DATA!N287="","",DATA!N287)</f>
        <v/>
      </c>
      <c r="C357" s="203" t="str">
        <f>IF(DATA!O287="","",DATA!O287)</f>
        <v/>
      </c>
      <c r="D357" s="203" t="str">
        <f>IF(DATA!P287="","",DATA!P287)</f>
        <v/>
      </c>
      <c r="E357" s="13"/>
      <c r="F357" s="5" t="str">
        <f t="shared" si="72"/>
        <v/>
      </c>
      <c r="G357" s="1"/>
      <c r="H357" s="77">
        <f>IF(G357="",0,VLOOKUP(G357,REFCE!A:D,2,FALSE))</f>
        <v>0</v>
      </c>
      <c r="I357" s="77" t="str">
        <f t="shared" si="73"/>
        <v/>
      </c>
    </row>
    <row r="358" spans="1:9" x14ac:dyDescent="0.25">
      <c r="A358" s="203" t="str">
        <f>IF(DATA!M288="","",DATA!M288)</f>
        <v/>
      </c>
      <c r="B358" s="203" t="str">
        <f>IF(DATA!N288="","",DATA!N288)</f>
        <v/>
      </c>
      <c r="C358" s="203" t="str">
        <f>IF(DATA!O288="","",DATA!O288)</f>
        <v/>
      </c>
      <c r="D358" s="203" t="str">
        <f>IF(DATA!P288="","",DATA!P288)</f>
        <v/>
      </c>
      <c r="E358" s="13"/>
      <c r="F358" s="5" t="str">
        <f t="shared" si="72"/>
        <v/>
      </c>
      <c r="G358" s="1"/>
      <c r="H358" s="77">
        <f>IF(G358="",0,VLOOKUP(G358,REFCE!A:D,2,FALSE))</f>
        <v>0</v>
      </c>
      <c r="I358" s="77" t="str">
        <f t="shared" si="73"/>
        <v/>
      </c>
    </row>
    <row r="359" spans="1:9" x14ac:dyDescent="0.25">
      <c r="A359" s="203" t="str">
        <f>IF(DATA!M289="","",DATA!M289)</f>
        <v/>
      </c>
      <c r="B359" s="203" t="str">
        <f>IF(DATA!N289="","",DATA!N289)</f>
        <v/>
      </c>
      <c r="C359" s="203" t="str">
        <f>IF(DATA!O289="","",DATA!O289)</f>
        <v/>
      </c>
      <c r="D359" s="203" t="str">
        <f>IF(DATA!P289="","",DATA!P289)</f>
        <v/>
      </c>
      <c r="E359" s="13"/>
      <c r="F359" s="5" t="str">
        <f t="shared" si="72"/>
        <v/>
      </c>
      <c r="G359" s="1"/>
      <c r="H359" s="77">
        <f>IF(G359="",0,VLOOKUP(G359,REFCE!A:D,2,FALSE))</f>
        <v>0</v>
      </c>
      <c r="I359" s="77" t="str">
        <f t="shared" si="73"/>
        <v/>
      </c>
    </row>
    <row r="360" spans="1:9" x14ac:dyDescent="0.25">
      <c r="A360" s="203" t="str">
        <f>IF(DATA!M290="","",DATA!M290)</f>
        <v/>
      </c>
      <c r="B360" s="203" t="str">
        <f>IF(DATA!N290="","",DATA!N290)</f>
        <v/>
      </c>
      <c r="C360" s="203" t="str">
        <f>IF(DATA!O290="","",DATA!O290)</f>
        <v/>
      </c>
      <c r="D360" s="203" t="str">
        <f>IF(DATA!P290="","",DATA!P290)</f>
        <v/>
      </c>
      <c r="E360" s="13"/>
      <c r="F360" s="5" t="str">
        <f t="shared" si="72"/>
        <v/>
      </c>
      <c r="G360" s="1"/>
      <c r="H360" s="77">
        <f>IF(G360="",0,VLOOKUP(G360,REFCE!A:D,2,FALSE))</f>
        <v>0</v>
      </c>
      <c r="I360" s="77" t="str">
        <f t="shared" si="73"/>
        <v/>
      </c>
    </row>
    <row r="361" spans="1:9" x14ac:dyDescent="0.25">
      <c r="A361" s="203" t="str">
        <f>IF(DATA!M291="","",DATA!M291)</f>
        <v/>
      </c>
      <c r="B361" s="203" t="str">
        <f>IF(DATA!N291="","",DATA!N291)</f>
        <v/>
      </c>
      <c r="C361" s="203" t="str">
        <f>IF(DATA!O291="","",DATA!O291)</f>
        <v/>
      </c>
      <c r="D361" s="203" t="str">
        <f>IF(DATA!P291="","",DATA!P291)</f>
        <v/>
      </c>
      <c r="E361" s="13"/>
      <c r="F361" s="5" t="str">
        <f t="shared" si="72"/>
        <v/>
      </c>
      <c r="G361" s="1"/>
      <c r="H361" s="77">
        <f>IF(G361="",0,VLOOKUP(G361,REFCE!A:D,2,FALSE))</f>
        <v>0</v>
      </c>
      <c r="I361" s="77" t="str">
        <f t="shared" si="73"/>
        <v/>
      </c>
    </row>
    <row r="362" spans="1:9" x14ac:dyDescent="0.25">
      <c r="A362" s="203" t="str">
        <f>IF(DATA!M292="","",DATA!M292)</f>
        <v/>
      </c>
      <c r="B362" s="203" t="str">
        <f>IF(DATA!N292="","",DATA!N292)</f>
        <v/>
      </c>
      <c r="C362" s="203" t="str">
        <f>IF(DATA!O292="","",DATA!O292)</f>
        <v/>
      </c>
      <c r="D362" s="203" t="str">
        <f>IF(DATA!P292="","",DATA!P292)</f>
        <v/>
      </c>
      <c r="E362" s="13"/>
      <c r="F362" s="5" t="str">
        <f t="shared" si="72"/>
        <v/>
      </c>
      <c r="G362" s="1"/>
      <c r="H362" s="77">
        <f>IF(G362="",0,VLOOKUP(G362,REFCE!A:D,2,FALSE))</f>
        <v>0</v>
      </c>
      <c r="I362" s="77" t="str">
        <f t="shared" si="73"/>
        <v/>
      </c>
    </row>
    <row r="363" spans="1:9" x14ac:dyDescent="0.25">
      <c r="A363" s="203" t="str">
        <f>IF(DATA!M293="","",DATA!M293)</f>
        <v/>
      </c>
      <c r="B363" s="203" t="str">
        <f>IF(DATA!N293="","",DATA!N293)</f>
        <v/>
      </c>
      <c r="C363" s="203" t="str">
        <f>IF(DATA!O293="","",DATA!O293)</f>
        <v/>
      </c>
      <c r="D363" s="203" t="str">
        <f>IF(DATA!P293="","",DATA!P293)</f>
        <v/>
      </c>
      <c r="E363" s="13"/>
      <c r="F363" s="5" t="str">
        <f t="shared" si="72"/>
        <v/>
      </c>
      <c r="G363" s="1"/>
      <c r="H363" s="77">
        <f>IF(G363="",0,VLOOKUP(G363,REFCE!A:D,2,FALSE))</f>
        <v>0</v>
      </c>
      <c r="I363" s="77" t="str">
        <f t="shared" si="73"/>
        <v/>
      </c>
    </row>
    <row r="364" spans="1:9" x14ac:dyDescent="0.25">
      <c r="A364" s="203" t="str">
        <f>IF(DATA!M294="","",DATA!M294)</f>
        <v/>
      </c>
      <c r="B364" s="203" t="str">
        <f>IF(DATA!N294="","",DATA!N294)</f>
        <v/>
      </c>
      <c r="C364" s="203" t="str">
        <f>IF(DATA!O294="","",DATA!O294)</f>
        <v/>
      </c>
      <c r="D364" s="203" t="str">
        <f>IF(DATA!P294="","",DATA!P294)</f>
        <v/>
      </c>
      <c r="E364" s="13"/>
      <c r="F364" s="5" t="str">
        <f t="shared" si="72"/>
        <v/>
      </c>
      <c r="G364" s="1"/>
      <c r="H364" s="77">
        <f>IF(G364="",0,VLOOKUP(G364,REFCE!A:D,2,FALSE))</f>
        <v>0</v>
      </c>
      <c r="I364" s="77" t="str">
        <f t="shared" si="73"/>
        <v/>
      </c>
    </row>
    <row r="365" spans="1:9" x14ac:dyDescent="0.25">
      <c r="A365" s="203" t="str">
        <f>IF(DATA!M295="","",DATA!M295)</f>
        <v/>
      </c>
      <c r="B365" s="203" t="str">
        <f>IF(DATA!N295="","",DATA!N295)</f>
        <v/>
      </c>
      <c r="C365" s="203" t="str">
        <f>IF(DATA!O295="","",DATA!O295)</f>
        <v/>
      </c>
      <c r="D365" s="203" t="str">
        <f>IF(DATA!P295="","",DATA!P295)</f>
        <v/>
      </c>
      <c r="E365" s="13"/>
      <c r="F365" s="5" t="str">
        <f t="shared" si="72"/>
        <v/>
      </c>
      <c r="G365" s="1"/>
      <c r="H365" s="77">
        <f>IF(G365="",0,VLOOKUP(G365,REFCE!A:D,2,FALSE))</f>
        <v>0</v>
      </c>
      <c r="I365" s="77" t="str">
        <f t="shared" si="73"/>
        <v/>
      </c>
    </row>
    <row r="366" spans="1:9" x14ac:dyDescent="0.25">
      <c r="A366" s="203" t="str">
        <f>IF(DATA!M296="","",DATA!M296)</f>
        <v/>
      </c>
      <c r="B366" s="203" t="str">
        <f>IF(DATA!N296="","",DATA!N296)</f>
        <v/>
      </c>
      <c r="C366" s="203" t="str">
        <f>IF(DATA!O296="","",DATA!O296)</f>
        <v/>
      </c>
      <c r="D366" s="203" t="str">
        <f>IF(DATA!P296="","",DATA!P296)</f>
        <v/>
      </c>
      <c r="E366" s="13"/>
      <c r="F366" s="5" t="str">
        <f t="shared" si="72"/>
        <v/>
      </c>
      <c r="G366" s="1"/>
      <c r="H366" s="77">
        <f>IF(G366="",0,VLOOKUP(G366,REFCE!A:D,2,FALSE))</f>
        <v>0</v>
      </c>
      <c r="I366" s="77" t="str">
        <f t="shared" si="73"/>
        <v/>
      </c>
    </row>
    <row r="367" spans="1:9" x14ac:dyDescent="0.25">
      <c r="A367" s="203" t="str">
        <f>IF(DATA!M297="","",DATA!M297)</f>
        <v/>
      </c>
      <c r="B367" s="203" t="str">
        <f>IF(DATA!N297="","",DATA!N297)</f>
        <v/>
      </c>
      <c r="C367" s="203" t="str">
        <f>IF(DATA!O297="","",DATA!O297)</f>
        <v/>
      </c>
      <c r="D367" s="203" t="str">
        <f>IF(DATA!P297="","",DATA!P297)</f>
        <v/>
      </c>
      <c r="E367" s="13"/>
      <c r="F367" s="5" t="str">
        <f t="shared" si="72"/>
        <v/>
      </c>
      <c r="G367" s="1"/>
      <c r="H367" s="77">
        <f>IF(G367="",0,VLOOKUP(G367,REFCE!A:D,2,FALSE))</f>
        <v>0</v>
      </c>
      <c r="I367" s="77" t="str">
        <f t="shared" si="73"/>
        <v/>
      </c>
    </row>
    <row r="368" spans="1:9" x14ac:dyDescent="0.25">
      <c r="A368" s="203" t="str">
        <f>IF(DATA!M298="","",DATA!M298)</f>
        <v/>
      </c>
      <c r="B368" s="203" t="str">
        <f>IF(DATA!N298="","",DATA!N298)</f>
        <v/>
      </c>
      <c r="C368" s="203" t="str">
        <f>IF(DATA!O298="","",DATA!O298)</f>
        <v/>
      </c>
      <c r="D368" s="203" t="str">
        <f>IF(DATA!P298="","",DATA!P298)</f>
        <v/>
      </c>
      <c r="E368" s="13"/>
      <c r="F368" s="5" t="str">
        <f t="shared" si="72"/>
        <v/>
      </c>
      <c r="G368" s="1"/>
      <c r="H368" s="77">
        <f>IF(G368="",0,VLOOKUP(G368,REFCE!A:D,2,FALSE))</f>
        <v>0</v>
      </c>
      <c r="I368" s="77" t="str">
        <f t="shared" si="73"/>
        <v/>
      </c>
    </row>
    <row r="369" spans="1:9" x14ac:dyDescent="0.25">
      <c r="A369" s="203" t="str">
        <f>IF(DATA!M299="","",DATA!M299)</f>
        <v/>
      </c>
      <c r="B369" s="203" t="str">
        <f>IF(DATA!N299="","",DATA!N299)</f>
        <v/>
      </c>
      <c r="C369" s="203" t="str">
        <f>IF(DATA!O299="","",DATA!O299)</f>
        <v/>
      </c>
      <c r="D369" s="203" t="str">
        <f>IF(DATA!P299="","",DATA!P299)</f>
        <v/>
      </c>
      <c r="E369" s="13"/>
      <c r="F369" s="5" t="str">
        <f t="shared" si="72"/>
        <v/>
      </c>
      <c r="G369" s="1"/>
      <c r="H369" s="77">
        <f>IF(G369="",0,VLOOKUP(G369,REFCE!A:D,2,FALSE))</f>
        <v>0</v>
      </c>
      <c r="I369" s="77" t="str">
        <f t="shared" si="73"/>
        <v/>
      </c>
    </row>
    <row r="370" spans="1:9" x14ac:dyDescent="0.25">
      <c r="A370" s="203" t="str">
        <f>IF(DATA!M300="","",DATA!M300)</f>
        <v/>
      </c>
      <c r="B370" s="203" t="str">
        <f>IF(DATA!N300="","",DATA!N300)</f>
        <v/>
      </c>
      <c r="C370" s="203" t="str">
        <f>IF(DATA!O300="","",DATA!O300)</f>
        <v/>
      </c>
      <c r="D370" s="203" t="str">
        <f>IF(DATA!P300="","",DATA!P300)</f>
        <v/>
      </c>
      <c r="E370" s="13"/>
      <c r="F370" s="5" t="str">
        <f t="shared" si="72"/>
        <v/>
      </c>
      <c r="G370" s="1"/>
      <c r="H370" s="77">
        <f>IF(G370="",0,VLOOKUP(G370,REFCE!A:D,2,FALSE))</f>
        <v>0</v>
      </c>
      <c r="I370" s="77" t="str">
        <f t="shared" si="73"/>
        <v/>
      </c>
    </row>
    <row r="371" spans="1:9" x14ac:dyDescent="0.25">
      <c r="A371" s="203" t="str">
        <f>IF(DATA!M301="","",DATA!M301)</f>
        <v/>
      </c>
      <c r="B371" s="203" t="str">
        <f>IF(DATA!N301="","",DATA!N301)</f>
        <v/>
      </c>
      <c r="C371" s="203" t="str">
        <f>IF(DATA!O301="","",DATA!O301)</f>
        <v/>
      </c>
      <c r="D371" s="203" t="str">
        <f>IF(DATA!P301="","",DATA!P301)</f>
        <v/>
      </c>
      <c r="E371" s="13"/>
      <c r="F371" s="5" t="str">
        <f t="shared" si="72"/>
        <v/>
      </c>
      <c r="G371" s="1"/>
      <c r="H371" s="77">
        <f>IF(G371="",0,VLOOKUP(G371,REFCE!A:D,2,FALSE))</f>
        <v>0</v>
      </c>
      <c r="I371" s="77" t="str">
        <f t="shared" si="73"/>
        <v/>
      </c>
    </row>
    <row r="372" spans="1:9" x14ac:dyDescent="0.25">
      <c r="A372" s="203" t="str">
        <f>IF(DATA!M302="","",DATA!M302)</f>
        <v/>
      </c>
      <c r="B372" s="203" t="str">
        <f>IF(DATA!N302="","",DATA!N302)</f>
        <v/>
      </c>
      <c r="C372" s="203" t="str">
        <f>IF(DATA!O302="","",DATA!O302)</f>
        <v/>
      </c>
      <c r="D372" s="203" t="str">
        <f>IF(DATA!P302="","",DATA!P302)</f>
        <v/>
      </c>
      <c r="E372" s="13"/>
      <c r="F372" s="5" t="str">
        <f t="shared" si="72"/>
        <v/>
      </c>
      <c r="G372" s="1"/>
      <c r="H372" s="77">
        <f>IF(G372="",0,VLOOKUP(G372,REFCE!A:D,2,FALSE))</f>
        <v>0</v>
      </c>
      <c r="I372" s="77" t="str">
        <f t="shared" si="73"/>
        <v/>
      </c>
    </row>
    <row r="373" spans="1:9" x14ac:dyDescent="0.25">
      <c r="A373" s="203" t="str">
        <f>IF(DATA!M303="","",DATA!M303)</f>
        <v/>
      </c>
      <c r="B373" s="203" t="str">
        <f>IF(DATA!N303="","",DATA!N303)</f>
        <v/>
      </c>
      <c r="C373" s="203" t="str">
        <f>IF(DATA!O303="","",DATA!O303)</f>
        <v/>
      </c>
      <c r="D373" s="203" t="str">
        <f>IF(DATA!P303="","",DATA!P303)</f>
        <v/>
      </c>
      <c r="E373" s="13"/>
      <c r="F373" s="5" t="str">
        <f t="shared" si="72"/>
        <v/>
      </c>
      <c r="G373" s="1"/>
      <c r="H373" s="77">
        <f>IF(G373="",0,VLOOKUP(G373,REFCE!A:D,2,FALSE))</f>
        <v>0</v>
      </c>
      <c r="I373" s="77" t="str">
        <f t="shared" si="73"/>
        <v/>
      </c>
    </row>
    <row r="374" spans="1:9" x14ac:dyDescent="0.25">
      <c r="A374" s="203" t="str">
        <f>IF(DATA!M304="","",DATA!M304)</f>
        <v/>
      </c>
      <c r="B374" s="203" t="str">
        <f>IF(DATA!N304="","",DATA!N304)</f>
        <v/>
      </c>
      <c r="C374" s="203" t="str">
        <f>IF(DATA!O304="","",DATA!O304)</f>
        <v/>
      </c>
      <c r="D374" s="203" t="str">
        <f>IF(DATA!P304="","",DATA!P304)</f>
        <v/>
      </c>
      <c r="E374" s="13"/>
      <c r="F374" s="5" t="str">
        <f t="shared" si="72"/>
        <v/>
      </c>
      <c r="G374" s="1"/>
      <c r="H374" s="77">
        <f>IF(G374="",0,VLOOKUP(G374,REFCE!A:D,2,FALSE))</f>
        <v>0</v>
      </c>
      <c r="I374" s="77" t="str">
        <f t="shared" si="73"/>
        <v/>
      </c>
    </row>
    <row r="375" spans="1:9" x14ac:dyDescent="0.25">
      <c r="A375" s="203" t="str">
        <f>IF(DATA!M305="","",DATA!M305)</f>
        <v/>
      </c>
      <c r="B375" s="203" t="str">
        <f>IF(DATA!N305="","",DATA!N305)</f>
        <v/>
      </c>
      <c r="C375" s="203" t="str">
        <f>IF(DATA!O305="","",DATA!O305)</f>
        <v/>
      </c>
      <c r="D375" s="203" t="str">
        <f>IF(DATA!P305="","",DATA!P305)</f>
        <v/>
      </c>
      <c r="E375" s="13"/>
      <c r="F375" s="5" t="str">
        <f t="shared" si="72"/>
        <v/>
      </c>
      <c r="G375" s="1"/>
      <c r="H375" s="77">
        <f>IF(G375="",0,VLOOKUP(G375,REFCE!A:D,2,FALSE))</f>
        <v>0</v>
      </c>
      <c r="I375" s="77" t="str">
        <f t="shared" si="73"/>
        <v/>
      </c>
    </row>
    <row r="376" spans="1:9" x14ac:dyDescent="0.25">
      <c r="A376" s="203" t="str">
        <f>IF(DATA!M306="","",DATA!M306)</f>
        <v/>
      </c>
      <c r="B376" s="203" t="str">
        <f>IF(DATA!N306="","",DATA!N306)</f>
        <v/>
      </c>
      <c r="C376" s="203" t="str">
        <f>IF(DATA!O306="","",DATA!O306)</f>
        <v/>
      </c>
      <c r="D376" s="203" t="str">
        <f>IF(DATA!P306="","",DATA!P306)</f>
        <v/>
      </c>
      <c r="E376" s="13"/>
      <c r="F376" s="5" t="str">
        <f t="shared" si="72"/>
        <v/>
      </c>
      <c r="G376" s="1"/>
      <c r="H376" s="77">
        <f>IF(G376="",0,VLOOKUP(G376,REFCE!A:D,2,FALSE))</f>
        <v>0</v>
      </c>
      <c r="I376" s="77" t="str">
        <f t="shared" si="73"/>
        <v/>
      </c>
    </row>
    <row r="377" spans="1:9" x14ac:dyDescent="0.25">
      <c r="A377" s="203" t="str">
        <f>IF(DATA!M307="","",DATA!M307)</f>
        <v/>
      </c>
      <c r="B377" s="203" t="str">
        <f>IF(DATA!N307="","",DATA!N307)</f>
        <v/>
      </c>
      <c r="C377" s="203" t="str">
        <f>IF(DATA!O307="","",DATA!O307)</f>
        <v/>
      </c>
      <c r="D377" s="203" t="str">
        <f>IF(DATA!P307="","",DATA!P307)</f>
        <v/>
      </c>
      <c r="E377" s="13"/>
      <c r="F377" s="5" t="str">
        <f t="shared" si="72"/>
        <v/>
      </c>
      <c r="G377" s="1"/>
      <c r="H377" s="77">
        <f>IF(G377="",0,VLOOKUP(G377,REFCE!A:D,2,FALSE))</f>
        <v>0</v>
      </c>
      <c r="I377" s="77" t="str">
        <f t="shared" si="73"/>
        <v/>
      </c>
    </row>
    <row r="378" spans="1:9" x14ac:dyDescent="0.25">
      <c r="A378" s="203" t="str">
        <f>IF(DATA!M308="","",DATA!M308)</f>
        <v/>
      </c>
      <c r="B378" s="203" t="str">
        <f>IF(DATA!N308="","",DATA!N308)</f>
        <v/>
      </c>
      <c r="C378" s="203" t="str">
        <f>IF(DATA!O308="","",DATA!O308)</f>
        <v/>
      </c>
      <c r="D378" s="203" t="str">
        <f>IF(DATA!P308="","",DATA!P308)</f>
        <v/>
      </c>
      <c r="E378" s="13"/>
      <c r="F378" s="5" t="str">
        <f t="shared" si="72"/>
        <v/>
      </c>
      <c r="G378" s="1"/>
      <c r="H378" s="77">
        <f>IF(G378="",0,VLOOKUP(G378,REFCE!A:D,2,FALSE))</f>
        <v>0</v>
      </c>
      <c r="I378" s="77" t="str">
        <f t="shared" si="73"/>
        <v/>
      </c>
    </row>
    <row r="379" spans="1:9" x14ac:dyDescent="0.25">
      <c r="A379" s="203" t="str">
        <f>IF(DATA!M309="","",DATA!M309)</f>
        <v/>
      </c>
      <c r="B379" s="203" t="str">
        <f>IF(DATA!N309="","",DATA!N309)</f>
        <v/>
      </c>
      <c r="C379" s="203" t="str">
        <f>IF(DATA!O309="","",DATA!O309)</f>
        <v/>
      </c>
      <c r="D379" s="203" t="str">
        <f>IF(DATA!P309="","",DATA!P309)</f>
        <v/>
      </c>
      <c r="E379" s="13"/>
      <c r="F379" s="5" t="str">
        <f t="shared" si="72"/>
        <v/>
      </c>
      <c r="G379" s="1"/>
      <c r="H379" s="77">
        <f>IF(G379="",0,VLOOKUP(G379,REFCE!A:D,2,FALSE))</f>
        <v>0</v>
      </c>
      <c r="I379" s="77" t="str">
        <f t="shared" si="73"/>
        <v/>
      </c>
    </row>
    <row r="380" spans="1:9" x14ac:dyDescent="0.25">
      <c r="A380" s="203" t="str">
        <f>IF(DATA!M310="","",DATA!M310)</f>
        <v/>
      </c>
      <c r="B380" s="203" t="str">
        <f>IF(DATA!N310="","",DATA!N310)</f>
        <v/>
      </c>
      <c r="C380" s="203" t="str">
        <f>IF(DATA!O310="","",DATA!O310)</f>
        <v/>
      </c>
      <c r="D380" s="203" t="str">
        <f>IF(DATA!P310="","",DATA!P310)</f>
        <v/>
      </c>
      <c r="E380" s="13"/>
      <c r="F380" s="5" t="str">
        <f t="shared" si="72"/>
        <v/>
      </c>
      <c r="G380" s="1"/>
      <c r="H380" s="77">
        <f>IF(G380="",0,VLOOKUP(G380,REFCE!A:D,2,FALSE))</f>
        <v>0</v>
      </c>
      <c r="I380" s="77" t="str">
        <f t="shared" si="73"/>
        <v/>
      </c>
    </row>
    <row r="381" spans="1:9" x14ac:dyDescent="0.25">
      <c r="A381" s="203" t="str">
        <f>IF(DATA!M311="","",DATA!M311)</f>
        <v/>
      </c>
      <c r="B381" s="203" t="str">
        <f>IF(DATA!N311="","",DATA!N311)</f>
        <v/>
      </c>
      <c r="C381" s="203" t="str">
        <f>IF(DATA!O311="","",DATA!O311)</f>
        <v/>
      </c>
      <c r="D381" s="203" t="str">
        <f>IF(DATA!P311="","",DATA!P311)</f>
        <v/>
      </c>
      <c r="E381" s="13"/>
      <c r="F381" s="5" t="str">
        <f t="shared" si="72"/>
        <v/>
      </c>
      <c r="G381" s="1"/>
      <c r="H381" s="77">
        <f>IF(G381="",0,VLOOKUP(G381,REFCE!A:D,2,FALSE))</f>
        <v>0</v>
      </c>
      <c r="I381" s="77" t="str">
        <f t="shared" si="73"/>
        <v/>
      </c>
    </row>
    <row r="382" spans="1:9" x14ac:dyDescent="0.25">
      <c r="A382" s="203" t="str">
        <f>IF(DATA!M312="","",DATA!M312)</f>
        <v/>
      </c>
      <c r="B382" s="203" t="str">
        <f>IF(DATA!N312="","",DATA!N312)</f>
        <v/>
      </c>
      <c r="C382" s="203" t="str">
        <f>IF(DATA!O312="","",DATA!O312)</f>
        <v/>
      </c>
      <c r="D382" s="203" t="str">
        <f>IF(DATA!P312="","",DATA!P312)</f>
        <v/>
      </c>
      <c r="E382" s="13"/>
      <c r="F382" s="5" t="str">
        <f t="shared" si="72"/>
        <v/>
      </c>
      <c r="G382" s="1"/>
      <c r="H382" s="77">
        <f>IF(G382="",0,VLOOKUP(G382,REFCE!A:D,2,FALSE))</f>
        <v>0</v>
      </c>
      <c r="I382" s="77" t="str">
        <f t="shared" si="73"/>
        <v/>
      </c>
    </row>
    <row r="383" spans="1:9" x14ac:dyDescent="0.25">
      <c r="A383" s="203" t="str">
        <f>IF(DATA!M313="","",DATA!M313)</f>
        <v/>
      </c>
      <c r="B383" s="203" t="str">
        <f>IF(DATA!N313="","",DATA!N313)</f>
        <v/>
      </c>
      <c r="C383" s="203" t="str">
        <f>IF(DATA!O313="","",DATA!O313)</f>
        <v/>
      </c>
      <c r="D383" s="203" t="str">
        <f>IF(DATA!P313="","",DATA!P313)</f>
        <v/>
      </c>
      <c r="E383" s="13"/>
      <c r="F383" s="5" t="str">
        <f t="shared" si="72"/>
        <v/>
      </c>
      <c r="G383" s="1"/>
      <c r="H383" s="77">
        <f>IF(G383="",0,VLOOKUP(G383,REFCE!A:D,2,FALSE))</f>
        <v>0</v>
      </c>
      <c r="I383" s="77" t="str">
        <f t="shared" si="73"/>
        <v/>
      </c>
    </row>
    <row r="384" spans="1:9" x14ac:dyDescent="0.25">
      <c r="A384" s="203" t="str">
        <f>IF(DATA!M314="","",DATA!M314)</f>
        <v/>
      </c>
      <c r="B384" s="203" t="str">
        <f>IF(DATA!N314="","",DATA!N314)</f>
        <v/>
      </c>
      <c r="C384" s="203" t="str">
        <f>IF(DATA!O314="","",DATA!O314)</f>
        <v/>
      </c>
      <c r="D384" s="203" t="str">
        <f>IF(DATA!P314="","",DATA!P314)</f>
        <v/>
      </c>
      <c r="E384" s="13"/>
      <c r="F384" s="5" t="str">
        <f t="shared" si="72"/>
        <v/>
      </c>
      <c r="G384" s="1"/>
      <c r="H384" s="77">
        <f>IF(G384="",0,VLOOKUP(G384,REFCE!A:D,2,FALSE))</f>
        <v>0</v>
      </c>
      <c r="I384" s="77" t="str">
        <f t="shared" si="73"/>
        <v/>
      </c>
    </row>
    <row r="385" spans="1:9" x14ac:dyDescent="0.25">
      <c r="A385" s="203" t="str">
        <f>IF(DATA!M315="","",DATA!M315)</f>
        <v/>
      </c>
      <c r="B385" s="203" t="str">
        <f>IF(DATA!N315="","",DATA!N315)</f>
        <v/>
      </c>
      <c r="C385" s="203" t="str">
        <f>IF(DATA!O315="","",DATA!O315)</f>
        <v/>
      </c>
      <c r="D385" s="203" t="str">
        <f>IF(DATA!P315="","",DATA!P315)</f>
        <v/>
      </c>
      <c r="E385" s="13"/>
      <c r="F385" s="5" t="str">
        <f t="shared" si="72"/>
        <v/>
      </c>
      <c r="G385" s="1"/>
      <c r="H385" s="77">
        <f>IF(G385="",0,VLOOKUP(G385,REFCE!A:D,2,FALSE))</f>
        <v>0</v>
      </c>
      <c r="I385" s="77" t="str">
        <f t="shared" si="73"/>
        <v/>
      </c>
    </row>
    <row r="386" spans="1:9" x14ac:dyDescent="0.25">
      <c r="A386" s="203" t="str">
        <f>IF(DATA!M316="","",DATA!M316)</f>
        <v/>
      </c>
      <c r="B386" s="203" t="str">
        <f>IF(DATA!N316="","",DATA!N316)</f>
        <v/>
      </c>
      <c r="C386" s="203" t="str">
        <f>IF(DATA!O316="","",DATA!O316)</f>
        <v/>
      </c>
      <c r="D386" s="203" t="str">
        <f>IF(DATA!P316="","",DATA!P316)</f>
        <v/>
      </c>
      <c r="E386" s="13"/>
      <c r="F386" s="5" t="str">
        <f t="shared" si="72"/>
        <v/>
      </c>
      <c r="G386" s="1"/>
      <c r="H386" s="77">
        <f>IF(G386="",0,VLOOKUP(G386,REFCE!A:D,2,FALSE))</f>
        <v>0</v>
      </c>
      <c r="I386" s="77" t="str">
        <f t="shared" si="73"/>
        <v/>
      </c>
    </row>
    <row r="387" spans="1:9" x14ac:dyDescent="0.25">
      <c r="A387" s="203" t="str">
        <f>IF(DATA!M317="","",DATA!M317)</f>
        <v/>
      </c>
      <c r="B387" s="203" t="str">
        <f>IF(DATA!N317="","",DATA!N317)</f>
        <v/>
      </c>
      <c r="C387" s="203" t="str">
        <f>IF(DATA!O317="","",DATA!O317)</f>
        <v/>
      </c>
      <c r="D387" s="203" t="str">
        <f>IF(DATA!P317="","",DATA!P317)</f>
        <v/>
      </c>
      <c r="E387" s="13"/>
      <c r="F387" s="5" t="str">
        <f t="shared" si="72"/>
        <v/>
      </c>
      <c r="G387" s="1"/>
      <c r="H387" s="77">
        <f>IF(G387="",0,VLOOKUP(G387,REFCE!A:D,2,FALSE))</f>
        <v>0</v>
      </c>
      <c r="I387" s="77" t="str">
        <f t="shared" si="73"/>
        <v/>
      </c>
    </row>
    <row r="388" spans="1:9" x14ac:dyDescent="0.25">
      <c r="A388" s="203" t="str">
        <f>IF(DATA!M318="","",DATA!M318)</f>
        <v/>
      </c>
      <c r="B388" s="203" t="str">
        <f>IF(DATA!N318="","",DATA!N318)</f>
        <v/>
      </c>
      <c r="C388" s="203" t="str">
        <f>IF(DATA!O318="","",DATA!O318)</f>
        <v/>
      </c>
      <c r="D388" s="203" t="str">
        <f>IF(DATA!P318="","",DATA!P318)</f>
        <v/>
      </c>
      <c r="E388" s="13"/>
      <c r="F388" s="5" t="str">
        <f t="shared" si="72"/>
        <v/>
      </c>
      <c r="G388" s="1"/>
      <c r="H388" s="77">
        <f>IF(G388="",0,VLOOKUP(G388,REFCE!A:D,2,FALSE))</f>
        <v>0</v>
      </c>
      <c r="I388" s="77" t="str">
        <f t="shared" si="73"/>
        <v/>
      </c>
    </row>
    <row r="389" spans="1:9" x14ac:dyDescent="0.25">
      <c r="A389" s="203" t="str">
        <f>IF(DATA!M319="","",DATA!M319)</f>
        <v/>
      </c>
      <c r="B389" s="203" t="str">
        <f>IF(DATA!N319="","",DATA!N319)</f>
        <v/>
      </c>
      <c r="C389" s="203" t="str">
        <f>IF(DATA!O319="","",DATA!O319)</f>
        <v/>
      </c>
      <c r="D389" s="203" t="str">
        <f>IF(DATA!P319="","",DATA!P319)</f>
        <v/>
      </c>
      <c r="E389" s="13"/>
      <c r="F389" s="5" t="str">
        <f t="shared" si="72"/>
        <v/>
      </c>
      <c r="G389" s="1"/>
      <c r="H389" s="77">
        <f>IF(G389="",0,VLOOKUP(G389,REFCE!A:D,2,FALSE))</f>
        <v>0</v>
      </c>
      <c r="I389" s="77" t="str">
        <f t="shared" si="73"/>
        <v/>
      </c>
    </row>
    <row r="390" spans="1:9" x14ac:dyDescent="0.25">
      <c r="A390" s="203" t="str">
        <f>IF(DATA!M320="","",DATA!M320)</f>
        <v/>
      </c>
      <c r="B390" s="203" t="str">
        <f>IF(DATA!N320="","",DATA!N320)</f>
        <v/>
      </c>
      <c r="C390" s="203" t="str">
        <f>IF(DATA!O320="","",DATA!O320)</f>
        <v/>
      </c>
      <c r="D390" s="203" t="str">
        <f>IF(DATA!P320="","",DATA!P320)</f>
        <v/>
      </c>
      <c r="E390" s="13"/>
      <c r="F390" s="5" t="str">
        <f t="shared" si="72"/>
        <v/>
      </c>
      <c r="G390" s="1"/>
      <c r="H390" s="77">
        <f>IF(G390="",0,VLOOKUP(G390,REFCE!A:D,2,FALSE))</f>
        <v>0</v>
      </c>
      <c r="I390" s="77" t="str">
        <f t="shared" si="73"/>
        <v/>
      </c>
    </row>
    <row r="391" spans="1:9" x14ac:dyDescent="0.25">
      <c r="A391" s="203" t="str">
        <f>IF(DATA!M321="","",DATA!M321)</f>
        <v/>
      </c>
      <c r="B391" s="203" t="str">
        <f>IF(DATA!N321="","",DATA!N321)</f>
        <v/>
      </c>
      <c r="C391" s="203" t="str">
        <f>IF(DATA!O321="","",DATA!O321)</f>
        <v/>
      </c>
      <c r="D391" s="203" t="str">
        <f>IF(DATA!P321="","",DATA!P321)</f>
        <v/>
      </c>
      <c r="E391" s="13"/>
      <c r="F391" s="5" t="str">
        <f t="shared" si="72"/>
        <v/>
      </c>
      <c r="G391" s="1"/>
      <c r="H391" s="77">
        <f>IF(G391="",0,VLOOKUP(G391,REFCE!A:D,2,FALSE))</f>
        <v>0</v>
      </c>
      <c r="I391" s="77" t="str">
        <f t="shared" si="73"/>
        <v/>
      </c>
    </row>
    <row r="392" spans="1:9" x14ac:dyDescent="0.25">
      <c r="A392" s="203" t="str">
        <f>IF(DATA!M322="","",DATA!M322)</f>
        <v/>
      </c>
      <c r="B392" s="203" t="str">
        <f>IF(DATA!N322="","",DATA!N322)</f>
        <v/>
      </c>
      <c r="C392" s="203" t="str">
        <f>IF(DATA!O322="","",DATA!O322)</f>
        <v/>
      </c>
      <c r="D392" s="203" t="str">
        <f>IF(DATA!P322="","",DATA!P322)</f>
        <v/>
      </c>
      <c r="E392" s="13"/>
      <c r="F392" s="5" t="str">
        <f t="shared" si="72"/>
        <v/>
      </c>
      <c r="G392" s="1"/>
      <c r="H392" s="77">
        <f>IF(G392="",0,VLOOKUP(G392,REFCE!A:D,2,FALSE))</f>
        <v>0</v>
      </c>
      <c r="I392" s="77" t="str">
        <f t="shared" si="73"/>
        <v/>
      </c>
    </row>
    <row r="393" spans="1:9" x14ac:dyDescent="0.25">
      <c r="A393" s="203" t="str">
        <f>IF(DATA!M323="","",DATA!M323)</f>
        <v/>
      </c>
      <c r="B393" s="203" t="str">
        <f>IF(DATA!N323="","",DATA!N323)</f>
        <v/>
      </c>
      <c r="C393" s="203" t="str">
        <f>IF(DATA!O323="","",DATA!O323)</f>
        <v/>
      </c>
      <c r="D393" s="203" t="str">
        <f>IF(DATA!P323="","",DATA!P323)</f>
        <v/>
      </c>
      <c r="E393" s="13"/>
      <c r="F393" s="5" t="str">
        <f t="shared" si="72"/>
        <v/>
      </c>
      <c r="G393" s="1"/>
      <c r="H393" s="77">
        <f>IF(G393="",0,VLOOKUP(G393,REFCE!A:D,2,FALSE))</f>
        <v>0</v>
      </c>
      <c r="I393" s="77" t="str">
        <f t="shared" si="73"/>
        <v/>
      </c>
    </row>
    <row r="394" spans="1:9" x14ac:dyDescent="0.25">
      <c r="A394" s="203" t="str">
        <f>IF(DATA!M324="","",DATA!M324)</f>
        <v/>
      </c>
      <c r="B394" s="203" t="str">
        <f>IF(DATA!N324="","",DATA!N324)</f>
        <v/>
      </c>
      <c r="C394" s="203" t="str">
        <f>IF(DATA!O324="","",DATA!O324)</f>
        <v/>
      </c>
      <c r="D394" s="203" t="str">
        <f>IF(DATA!P324="","",DATA!P324)</f>
        <v/>
      </c>
      <c r="E394" s="13"/>
      <c r="F394" s="5" t="str">
        <f t="shared" si="72"/>
        <v/>
      </c>
      <c r="G394" s="1"/>
      <c r="H394" s="77">
        <f>IF(G394="",0,VLOOKUP(G394,REFCE!A:D,2,FALSE))</f>
        <v>0</v>
      </c>
      <c r="I394" s="77" t="str">
        <f t="shared" si="73"/>
        <v/>
      </c>
    </row>
    <row r="395" spans="1:9" x14ac:dyDescent="0.25">
      <c r="A395" s="203" t="str">
        <f>IF(DATA!M325="","",DATA!M325)</f>
        <v/>
      </c>
      <c r="B395" s="203" t="str">
        <f>IF(DATA!N325="","",DATA!N325)</f>
        <v/>
      </c>
      <c r="C395" s="203" t="str">
        <f>IF(DATA!O325="","",DATA!O325)</f>
        <v/>
      </c>
      <c r="D395" s="203" t="str">
        <f>IF(DATA!P325="","",DATA!P325)</f>
        <v/>
      </c>
      <c r="E395" s="13"/>
      <c r="F395" s="5" t="str">
        <f t="shared" si="72"/>
        <v/>
      </c>
      <c r="G395" s="1"/>
      <c r="H395" s="77">
        <f>IF(G395="",0,VLOOKUP(G395,REFCE!A:D,2,FALSE))</f>
        <v>0</v>
      </c>
      <c r="I395" s="77" t="str">
        <f t="shared" si="73"/>
        <v/>
      </c>
    </row>
    <row r="396" spans="1:9" x14ac:dyDescent="0.25">
      <c r="A396" s="203" t="str">
        <f>IF(DATA!M326="","",DATA!M326)</f>
        <v/>
      </c>
      <c r="B396" s="203" t="str">
        <f>IF(DATA!N326="","",DATA!N326)</f>
        <v/>
      </c>
      <c r="C396" s="203" t="str">
        <f>IF(DATA!O326="","",DATA!O326)</f>
        <v/>
      </c>
      <c r="D396" s="203" t="str">
        <f>IF(DATA!P326="","",DATA!P326)</f>
        <v/>
      </c>
      <c r="E396" s="13"/>
      <c r="F396" s="5" t="str">
        <f t="shared" si="72"/>
        <v/>
      </c>
      <c r="G396" s="1"/>
      <c r="H396" s="77">
        <f>IF(G396="",0,VLOOKUP(G396,REFCE!A:D,2,FALSE))</f>
        <v>0</v>
      </c>
      <c r="I396" s="77" t="str">
        <f t="shared" si="73"/>
        <v/>
      </c>
    </row>
    <row r="397" spans="1:9" x14ac:dyDescent="0.25">
      <c r="A397" s="203" t="str">
        <f>IF(DATA!M327="","",DATA!M327)</f>
        <v/>
      </c>
      <c r="B397" s="203" t="str">
        <f>IF(DATA!N327="","",DATA!N327)</f>
        <v/>
      </c>
      <c r="C397" s="203" t="str">
        <f>IF(DATA!O327="","",DATA!O327)</f>
        <v/>
      </c>
      <c r="D397" s="203" t="str">
        <f>IF(DATA!P327="","",DATA!P327)</f>
        <v/>
      </c>
      <c r="E397" s="13"/>
      <c r="F397" s="5" t="str">
        <f t="shared" si="72"/>
        <v/>
      </c>
      <c r="G397" s="1"/>
      <c r="H397" s="77">
        <f>IF(G397="",0,VLOOKUP(G397,REFCE!A:D,2,FALSE))</f>
        <v>0</v>
      </c>
      <c r="I397" s="77" t="str">
        <f t="shared" si="73"/>
        <v/>
      </c>
    </row>
    <row r="398" spans="1:9" x14ac:dyDescent="0.25">
      <c r="A398" s="203" t="str">
        <f>IF(DATA!M328="","",DATA!M328)</f>
        <v/>
      </c>
      <c r="B398" s="203" t="str">
        <f>IF(DATA!N328="","",DATA!N328)</f>
        <v/>
      </c>
      <c r="C398" s="203" t="str">
        <f>IF(DATA!O328="","",DATA!O328)</f>
        <v/>
      </c>
      <c r="D398" s="203" t="str">
        <f>IF(DATA!P328="","",DATA!P328)</f>
        <v/>
      </c>
      <c r="E398" s="13"/>
      <c r="F398" s="5" t="str">
        <f t="shared" ref="F398:F461" si="74">IF(D398="","",D398*E398)</f>
        <v/>
      </c>
      <c r="G398" s="1"/>
      <c r="H398" s="77">
        <f>IF(G398="",0,VLOOKUP(G398,REFCE!A:D,2,FALSE))</f>
        <v>0</v>
      </c>
      <c r="I398" s="77" t="str">
        <f t="shared" ref="I398:I461" si="75">IF(F398="","",F398*H398)</f>
        <v/>
      </c>
    </row>
    <row r="399" spans="1:9" x14ac:dyDescent="0.25">
      <c r="A399" s="203" t="str">
        <f>IF(DATA!M329="","",DATA!M329)</f>
        <v/>
      </c>
      <c r="B399" s="203" t="str">
        <f>IF(DATA!N329="","",DATA!N329)</f>
        <v/>
      </c>
      <c r="C399" s="203" t="str">
        <f>IF(DATA!O329="","",DATA!O329)</f>
        <v/>
      </c>
      <c r="D399" s="203" t="str">
        <f>IF(DATA!P329="","",DATA!P329)</f>
        <v/>
      </c>
      <c r="E399" s="13"/>
      <c r="F399" s="5" t="str">
        <f t="shared" si="74"/>
        <v/>
      </c>
      <c r="G399" s="1"/>
      <c r="H399" s="77">
        <f>IF(G399="",0,VLOOKUP(G399,REFCE!A:D,2,FALSE))</f>
        <v>0</v>
      </c>
      <c r="I399" s="77" t="str">
        <f t="shared" si="75"/>
        <v/>
      </c>
    </row>
    <row r="400" spans="1:9" x14ac:dyDescent="0.25">
      <c r="A400" s="203" t="str">
        <f>IF(DATA!M330="","",DATA!M330)</f>
        <v/>
      </c>
      <c r="B400" s="203" t="str">
        <f>IF(DATA!N330="","",DATA!N330)</f>
        <v/>
      </c>
      <c r="C400" s="203" t="str">
        <f>IF(DATA!O330="","",DATA!O330)</f>
        <v/>
      </c>
      <c r="D400" s="203" t="str">
        <f>IF(DATA!P330="","",DATA!P330)</f>
        <v/>
      </c>
      <c r="E400" s="13"/>
      <c r="F400" s="5" t="str">
        <f t="shared" si="74"/>
        <v/>
      </c>
      <c r="G400" s="1"/>
      <c r="H400" s="77">
        <f>IF(G400="",0,VLOOKUP(G400,REFCE!A:D,2,FALSE))</f>
        <v>0</v>
      </c>
      <c r="I400" s="77" t="str">
        <f t="shared" si="75"/>
        <v/>
      </c>
    </row>
    <row r="401" spans="1:9" x14ac:dyDescent="0.25">
      <c r="A401" s="203" t="str">
        <f>IF(DATA!M331="","",DATA!M331)</f>
        <v/>
      </c>
      <c r="B401" s="203" t="str">
        <f>IF(DATA!N331="","",DATA!N331)</f>
        <v/>
      </c>
      <c r="C401" s="203" t="str">
        <f>IF(DATA!O331="","",DATA!O331)</f>
        <v/>
      </c>
      <c r="D401" s="203" t="str">
        <f>IF(DATA!P331="","",DATA!P331)</f>
        <v/>
      </c>
      <c r="E401" s="13"/>
      <c r="F401" s="5" t="str">
        <f t="shared" si="74"/>
        <v/>
      </c>
      <c r="G401" s="1"/>
      <c r="H401" s="77">
        <f>IF(G401="",0,VLOOKUP(G401,REFCE!A:D,2,FALSE))</f>
        <v>0</v>
      </c>
      <c r="I401" s="77" t="str">
        <f t="shared" si="75"/>
        <v/>
      </c>
    </row>
    <row r="402" spans="1:9" x14ac:dyDescent="0.25">
      <c r="A402" s="203" t="str">
        <f>IF(DATA!M332="","",DATA!M332)</f>
        <v/>
      </c>
      <c r="B402" s="203" t="str">
        <f>IF(DATA!N332="","",DATA!N332)</f>
        <v/>
      </c>
      <c r="C402" s="203" t="str">
        <f>IF(DATA!O332="","",DATA!O332)</f>
        <v/>
      </c>
      <c r="D402" s="203" t="str">
        <f>IF(DATA!P332="","",DATA!P332)</f>
        <v/>
      </c>
      <c r="E402" s="13"/>
      <c r="F402" s="5" t="str">
        <f t="shared" si="74"/>
        <v/>
      </c>
      <c r="G402" s="1"/>
      <c r="H402" s="77">
        <f>IF(G402="",0,VLOOKUP(G402,REFCE!A:D,2,FALSE))</f>
        <v>0</v>
      </c>
      <c r="I402" s="77" t="str">
        <f t="shared" si="75"/>
        <v/>
      </c>
    </row>
    <row r="403" spans="1:9" x14ac:dyDescent="0.25">
      <c r="A403" s="203" t="str">
        <f>IF(DATA!M333="","",DATA!M333)</f>
        <v/>
      </c>
      <c r="B403" s="203" t="str">
        <f>IF(DATA!N333="","",DATA!N333)</f>
        <v/>
      </c>
      <c r="C403" s="203" t="str">
        <f>IF(DATA!O333="","",DATA!O333)</f>
        <v/>
      </c>
      <c r="D403" s="203" t="str">
        <f>IF(DATA!P333="","",DATA!P333)</f>
        <v/>
      </c>
      <c r="E403" s="13"/>
      <c r="F403" s="5" t="str">
        <f t="shared" si="74"/>
        <v/>
      </c>
      <c r="G403" s="1"/>
      <c r="H403" s="77">
        <f>IF(G403="",0,VLOOKUP(G403,REFCE!A:D,2,FALSE))</f>
        <v>0</v>
      </c>
      <c r="I403" s="77" t="str">
        <f t="shared" si="75"/>
        <v/>
      </c>
    </row>
    <row r="404" spans="1:9" x14ac:dyDescent="0.25">
      <c r="A404" s="203" t="str">
        <f>IF(DATA!M334="","",DATA!M334)</f>
        <v/>
      </c>
      <c r="B404" s="203" t="str">
        <f>IF(DATA!N334="","",DATA!N334)</f>
        <v/>
      </c>
      <c r="C404" s="203" t="str">
        <f>IF(DATA!O334="","",DATA!O334)</f>
        <v/>
      </c>
      <c r="D404" s="203" t="str">
        <f>IF(DATA!P334="","",DATA!P334)</f>
        <v/>
      </c>
      <c r="E404" s="13"/>
      <c r="F404" s="5" t="str">
        <f t="shared" si="74"/>
        <v/>
      </c>
      <c r="G404" s="1"/>
      <c r="H404" s="77">
        <f>IF(G404="",0,VLOOKUP(G404,REFCE!A:D,2,FALSE))</f>
        <v>0</v>
      </c>
      <c r="I404" s="77" t="str">
        <f t="shared" si="75"/>
        <v/>
      </c>
    </row>
    <row r="405" spans="1:9" x14ac:dyDescent="0.25">
      <c r="A405" s="203" t="str">
        <f>IF(DATA!M335="","",DATA!M335)</f>
        <v/>
      </c>
      <c r="B405" s="203" t="str">
        <f>IF(DATA!N335="","",DATA!N335)</f>
        <v/>
      </c>
      <c r="C405" s="203" t="str">
        <f>IF(DATA!O335="","",DATA!O335)</f>
        <v/>
      </c>
      <c r="D405" s="203" t="str">
        <f>IF(DATA!P335="","",DATA!P335)</f>
        <v/>
      </c>
      <c r="E405" s="13"/>
      <c r="F405" s="5" t="str">
        <f t="shared" si="74"/>
        <v/>
      </c>
      <c r="G405" s="1"/>
      <c r="H405" s="77">
        <f>IF(G405="",0,VLOOKUP(G405,REFCE!A:D,2,FALSE))</f>
        <v>0</v>
      </c>
      <c r="I405" s="77" t="str">
        <f t="shared" si="75"/>
        <v/>
      </c>
    </row>
    <row r="406" spans="1:9" x14ac:dyDescent="0.25">
      <c r="A406" s="203" t="str">
        <f>IF(DATA!M336="","",DATA!M336)</f>
        <v/>
      </c>
      <c r="B406" s="203" t="str">
        <f>IF(DATA!N336="","",DATA!N336)</f>
        <v/>
      </c>
      <c r="C406" s="203" t="str">
        <f>IF(DATA!O336="","",DATA!O336)</f>
        <v/>
      </c>
      <c r="D406" s="203" t="str">
        <f>IF(DATA!P336="","",DATA!P336)</f>
        <v/>
      </c>
      <c r="E406" s="13"/>
      <c r="F406" s="5" t="str">
        <f t="shared" si="74"/>
        <v/>
      </c>
      <c r="G406" s="1"/>
      <c r="H406" s="77">
        <f>IF(G406="",0,VLOOKUP(G406,REFCE!A:D,2,FALSE))</f>
        <v>0</v>
      </c>
      <c r="I406" s="77" t="str">
        <f t="shared" si="75"/>
        <v/>
      </c>
    </row>
    <row r="407" spans="1:9" x14ac:dyDescent="0.25">
      <c r="A407" s="203" t="str">
        <f>IF(DATA!M337="","",DATA!M337)</f>
        <v/>
      </c>
      <c r="B407" s="203" t="str">
        <f>IF(DATA!N337="","",DATA!N337)</f>
        <v/>
      </c>
      <c r="C407" s="203" t="str">
        <f>IF(DATA!O337="","",DATA!O337)</f>
        <v/>
      </c>
      <c r="D407" s="203" t="str">
        <f>IF(DATA!P337="","",DATA!P337)</f>
        <v/>
      </c>
      <c r="E407" s="13"/>
      <c r="F407" s="5" t="str">
        <f t="shared" si="74"/>
        <v/>
      </c>
      <c r="G407" s="1"/>
      <c r="H407" s="77">
        <f>IF(G407="",0,VLOOKUP(G407,REFCE!A:D,2,FALSE))</f>
        <v>0</v>
      </c>
      <c r="I407" s="77" t="str">
        <f t="shared" si="75"/>
        <v/>
      </c>
    </row>
    <row r="408" spans="1:9" x14ac:dyDescent="0.25">
      <c r="A408" s="203" t="str">
        <f>IF(DATA!M338="","",DATA!M338)</f>
        <v/>
      </c>
      <c r="B408" s="203" t="str">
        <f>IF(DATA!N338="","",DATA!N338)</f>
        <v/>
      </c>
      <c r="C408" s="203" t="str">
        <f>IF(DATA!O338="","",DATA!O338)</f>
        <v/>
      </c>
      <c r="D408" s="203" t="str">
        <f>IF(DATA!P338="","",DATA!P338)</f>
        <v/>
      </c>
      <c r="E408" s="13"/>
      <c r="F408" s="5" t="str">
        <f t="shared" si="74"/>
        <v/>
      </c>
      <c r="G408" s="1"/>
      <c r="H408" s="77">
        <f>IF(G408="",0,VLOOKUP(G408,REFCE!A:D,2,FALSE))</f>
        <v>0</v>
      </c>
      <c r="I408" s="77" t="str">
        <f t="shared" si="75"/>
        <v/>
      </c>
    </row>
    <row r="409" spans="1:9" x14ac:dyDescent="0.25">
      <c r="A409" s="203" t="str">
        <f>IF(DATA!M339="","",DATA!M339)</f>
        <v/>
      </c>
      <c r="B409" s="203" t="str">
        <f>IF(DATA!N339="","",DATA!N339)</f>
        <v/>
      </c>
      <c r="C409" s="203" t="str">
        <f>IF(DATA!O339="","",DATA!O339)</f>
        <v/>
      </c>
      <c r="D409" s="203" t="str">
        <f>IF(DATA!P339="","",DATA!P339)</f>
        <v/>
      </c>
      <c r="E409" s="13"/>
      <c r="F409" s="5" t="str">
        <f t="shared" si="74"/>
        <v/>
      </c>
      <c r="G409" s="1"/>
      <c r="H409" s="77">
        <f>IF(G409="",0,VLOOKUP(G409,REFCE!A:D,2,FALSE))</f>
        <v>0</v>
      </c>
      <c r="I409" s="77" t="str">
        <f t="shared" si="75"/>
        <v/>
      </c>
    </row>
    <row r="410" spans="1:9" x14ac:dyDescent="0.25">
      <c r="A410" s="203" t="str">
        <f>IF(DATA!M340="","",DATA!M340)</f>
        <v/>
      </c>
      <c r="B410" s="203" t="str">
        <f>IF(DATA!N340="","",DATA!N340)</f>
        <v/>
      </c>
      <c r="C410" s="203" t="str">
        <f>IF(DATA!O340="","",DATA!O340)</f>
        <v/>
      </c>
      <c r="D410" s="203" t="str">
        <f>IF(DATA!P340="","",DATA!P340)</f>
        <v/>
      </c>
      <c r="E410" s="13"/>
      <c r="F410" s="5" t="str">
        <f t="shared" si="74"/>
        <v/>
      </c>
      <c r="G410" s="1"/>
      <c r="H410" s="77">
        <f>IF(G410="",0,VLOOKUP(G410,REFCE!A:D,2,FALSE))</f>
        <v>0</v>
      </c>
      <c r="I410" s="77" t="str">
        <f t="shared" si="75"/>
        <v/>
      </c>
    </row>
    <row r="411" spans="1:9" x14ac:dyDescent="0.25">
      <c r="A411" s="203" t="str">
        <f>IF(DATA!M341="","",DATA!M341)</f>
        <v/>
      </c>
      <c r="B411" s="203" t="str">
        <f>IF(DATA!N341="","",DATA!N341)</f>
        <v/>
      </c>
      <c r="C411" s="203" t="str">
        <f>IF(DATA!O341="","",DATA!O341)</f>
        <v/>
      </c>
      <c r="D411" s="203" t="str">
        <f>IF(DATA!P341="","",DATA!P341)</f>
        <v/>
      </c>
      <c r="E411" s="13"/>
      <c r="F411" s="5" t="str">
        <f t="shared" si="74"/>
        <v/>
      </c>
      <c r="G411" s="1"/>
      <c r="H411" s="77">
        <f>IF(G411="",0,VLOOKUP(G411,REFCE!A:D,2,FALSE))</f>
        <v>0</v>
      </c>
      <c r="I411" s="77" t="str">
        <f t="shared" si="75"/>
        <v/>
      </c>
    </row>
    <row r="412" spans="1:9" x14ac:dyDescent="0.25">
      <c r="A412" s="203" t="str">
        <f>IF(DATA!M342="","",DATA!M342)</f>
        <v/>
      </c>
      <c r="B412" s="203" t="str">
        <f>IF(DATA!N342="","",DATA!N342)</f>
        <v/>
      </c>
      <c r="C412" s="203" t="str">
        <f>IF(DATA!O342="","",DATA!O342)</f>
        <v/>
      </c>
      <c r="D412" s="203" t="str">
        <f>IF(DATA!P342="","",DATA!P342)</f>
        <v/>
      </c>
      <c r="E412" s="13"/>
      <c r="F412" s="5" t="str">
        <f t="shared" si="74"/>
        <v/>
      </c>
      <c r="G412" s="1"/>
      <c r="H412" s="77">
        <f>IF(G412="",0,VLOOKUP(G412,REFCE!A:D,2,FALSE))</f>
        <v>0</v>
      </c>
      <c r="I412" s="77" t="str">
        <f t="shared" si="75"/>
        <v/>
      </c>
    </row>
    <row r="413" spans="1:9" x14ac:dyDescent="0.25">
      <c r="A413" s="203" t="str">
        <f>IF(DATA!M343="","",DATA!M343)</f>
        <v/>
      </c>
      <c r="B413" s="203" t="str">
        <f>IF(DATA!N343="","",DATA!N343)</f>
        <v/>
      </c>
      <c r="C413" s="203" t="str">
        <f>IF(DATA!O343="","",DATA!O343)</f>
        <v/>
      </c>
      <c r="D413" s="203" t="str">
        <f>IF(DATA!P343="","",DATA!P343)</f>
        <v/>
      </c>
      <c r="E413" s="13"/>
      <c r="F413" s="5" t="str">
        <f t="shared" si="74"/>
        <v/>
      </c>
      <c r="G413" s="1"/>
      <c r="H413" s="77">
        <f>IF(G413="",0,VLOOKUP(G413,REFCE!A:D,2,FALSE))</f>
        <v>0</v>
      </c>
      <c r="I413" s="77" t="str">
        <f t="shared" si="75"/>
        <v/>
      </c>
    </row>
    <row r="414" spans="1:9" x14ac:dyDescent="0.25">
      <c r="A414" s="203" t="str">
        <f>IF(DATA!M344="","",DATA!M344)</f>
        <v/>
      </c>
      <c r="B414" s="203" t="str">
        <f>IF(DATA!N344="","",DATA!N344)</f>
        <v/>
      </c>
      <c r="C414" s="203" t="str">
        <f>IF(DATA!O344="","",DATA!O344)</f>
        <v/>
      </c>
      <c r="D414" s="203" t="str">
        <f>IF(DATA!P344="","",DATA!P344)</f>
        <v/>
      </c>
      <c r="E414" s="13"/>
      <c r="F414" s="5" t="str">
        <f t="shared" si="74"/>
        <v/>
      </c>
      <c r="G414" s="1"/>
      <c r="H414" s="77">
        <f>IF(G414="",0,VLOOKUP(G414,REFCE!A:D,2,FALSE))</f>
        <v>0</v>
      </c>
      <c r="I414" s="77" t="str">
        <f t="shared" si="75"/>
        <v/>
      </c>
    </row>
    <row r="415" spans="1:9" x14ac:dyDescent="0.25">
      <c r="A415" s="203" t="str">
        <f>IF(DATA!M345="","",DATA!M345)</f>
        <v/>
      </c>
      <c r="B415" s="203" t="str">
        <f>IF(DATA!N345="","",DATA!N345)</f>
        <v/>
      </c>
      <c r="C415" s="203" t="str">
        <f>IF(DATA!O345="","",DATA!O345)</f>
        <v/>
      </c>
      <c r="D415" s="203" t="str">
        <f>IF(DATA!P345="","",DATA!P345)</f>
        <v/>
      </c>
      <c r="E415" s="13"/>
      <c r="F415" s="5" t="str">
        <f t="shared" si="74"/>
        <v/>
      </c>
      <c r="G415" s="1"/>
      <c r="H415" s="77">
        <f>IF(G415="",0,VLOOKUP(G415,REFCE!A:D,2,FALSE))</f>
        <v>0</v>
      </c>
      <c r="I415" s="77" t="str">
        <f t="shared" si="75"/>
        <v/>
      </c>
    </row>
    <row r="416" spans="1:9" x14ac:dyDescent="0.25">
      <c r="A416" s="203" t="str">
        <f>IF(DATA!M346="","",DATA!M346)</f>
        <v/>
      </c>
      <c r="B416" s="203" t="str">
        <f>IF(DATA!N346="","",DATA!N346)</f>
        <v/>
      </c>
      <c r="C416" s="203" t="str">
        <f>IF(DATA!O346="","",DATA!O346)</f>
        <v/>
      </c>
      <c r="D416" s="203" t="str">
        <f>IF(DATA!P346="","",DATA!P346)</f>
        <v/>
      </c>
      <c r="E416" s="13"/>
      <c r="F416" s="5" t="str">
        <f t="shared" si="74"/>
        <v/>
      </c>
      <c r="G416" s="1"/>
      <c r="H416" s="77">
        <f>IF(G416="",0,VLOOKUP(G416,REFCE!A:D,2,FALSE))</f>
        <v>0</v>
      </c>
      <c r="I416" s="77" t="str">
        <f t="shared" si="75"/>
        <v/>
      </c>
    </row>
    <row r="417" spans="1:9" x14ac:dyDescent="0.25">
      <c r="A417" s="203" t="str">
        <f>IF(DATA!M347="","",DATA!M347)</f>
        <v/>
      </c>
      <c r="B417" s="203" t="str">
        <f>IF(DATA!N347="","",DATA!N347)</f>
        <v/>
      </c>
      <c r="C417" s="203" t="str">
        <f>IF(DATA!O347="","",DATA!O347)</f>
        <v/>
      </c>
      <c r="D417" s="203" t="str">
        <f>IF(DATA!P347="","",DATA!P347)</f>
        <v/>
      </c>
      <c r="E417" s="13"/>
      <c r="F417" s="5" t="str">
        <f t="shared" si="74"/>
        <v/>
      </c>
      <c r="G417" s="1"/>
      <c r="H417" s="77">
        <f>IF(G417="",0,VLOOKUP(G417,REFCE!A:D,2,FALSE))</f>
        <v>0</v>
      </c>
      <c r="I417" s="77" t="str">
        <f t="shared" si="75"/>
        <v/>
      </c>
    </row>
    <row r="418" spans="1:9" x14ac:dyDescent="0.25">
      <c r="A418" s="203" t="str">
        <f>IF(DATA!M348="","",DATA!M348)</f>
        <v/>
      </c>
      <c r="B418" s="203" t="str">
        <f>IF(DATA!N348="","",DATA!N348)</f>
        <v/>
      </c>
      <c r="C418" s="203" t="str">
        <f>IF(DATA!O348="","",DATA!O348)</f>
        <v/>
      </c>
      <c r="D418" s="203" t="str">
        <f>IF(DATA!P348="","",DATA!P348)</f>
        <v/>
      </c>
      <c r="E418" s="13"/>
      <c r="F418" s="5" t="str">
        <f t="shared" si="74"/>
        <v/>
      </c>
      <c r="G418" s="1"/>
      <c r="H418" s="77">
        <f>IF(G418="",0,VLOOKUP(G418,REFCE!A:D,2,FALSE))</f>
        <v>0</v>
      </c>
      <c r="I418" s="77" t="str">
        <f t="shared" si="75"/>
        <v/>
      </c>
    </row>
    <row r="419" spans="1:9" x14ac:dyDescent="0.25">
      <c r="A419" s="203" t="str">
        <f>IF(DATA!M349="","",DATA!M349)</f>
        <v/>
      </c>
      <c r="B419" s="203" t="str">
        <f>IF(DATA!N349="","",DATA!N349)</f>
        <v/>
      </c>
      <c r="C419" s="203" t="str">
        <f>IF(DATA!O349="","",DATA!O349)</f>
        <v/>
      </c>
      <c r="D419" s="203" t="str">
        <f>IF(DATA!P349="","",DATA!P349)</f>
        <v/>
      </c>
      <c r="E419" s="13"/>
      <c r="F419" s="5" t="str">
        <f t="shared" si="74"/>
        <v/>
      </c>
      <c r="G419" s="1"/>
      <c r="H419" s="77">
        <f>IF(G419="",0,VLOOKUP(G419,REFCE!A:D,2,FALSE))</f>
        <v>0</v>
      </c>
      <c r="I419" s="77" t="str">
        <f t="shared" si="75"/>
        <v/>
      </c>
    </row>
    <row r="420" spans="1:9" x14ac:dyDescent="0.25">
      <c r="A420" s="203" t="str">
        <f>IF(DATA!M350="","",DATA!M350)</f>
        <v/>
      </c>
      <c r="B420" s="203" t="str">
        <f>IF(DATA!N350="","",DATA!N350)</f>
        <v/>
      </c>
      <c r="C420" s="203" t="str">
        <f>IF(DATA!O350="","",DATA!O350)</f>
        <v/>
      </c>
      <c r="D420" s="203" t="str">
        <f>IF(DATA!P350="","",DATA!P350)</f>
        <v/>
      </c>
      <c r="E420" s="13"/>
      <c r="F420" s="5" t="str">
        <f t="shared" si="74"/>
        <v/>
      </c>
      <c r="G420" s="1"/>
      <c r="H420" s="77">
        <f>IF(G420="",0,VLOOKUP(G420,REFCE!A:D,2,FALSE))</f>
        <v>0</v>
      </c>
      <c r="I420" s="77" t="str">
        <f t="shared" si="75"/>
        <v/>
      </c>
    </row>
    <row r="421" spans="1:9" x14ac:dyDescent="0.25">
      <c r="A421" s="203" t="str">
        <f>IF(DATA!M351="","",DATA!M351)</f>
        <v/>
      </c>
      <c r="B421" s="203" t="str">
        <f>IF(DATA!N351="","",DATA!N351)</f>
        <v/>
      </c>
      <c r="C421" s="203" t="str">
        <f>IF(DATA!O351="","",DATA!O351)</f>
        <v/>
      </c>
      <c r="D421" s="203" t="str">
        <f>IF(DATA!P351="","",DATA!P351)</f>
        <v/>
      </c>
      <c r="E421" s="13"/>
      <c r="F421" s="5" t="str">
        <f t="shared" si="74"/>
        <v/>
      </c>
      <c r="G421" s="1"/>
      <c r="H421" s="77">
        <f>IF(G421="",0,VLOOKUP(G421,REFCE!A:D,2,FALSE))</f>
        <v>0</v>
      </c>
      <c r="I421" s="77" t="str">
        <f t="shared" si="75"/>
        <v/>
      </c>
    </row>
    <row r="422" spans="1:9" x14ac:dyDescent="0.25">
      <c r="A422" s="203" t="str">
        <f>IF(DATA!M352="","",DATA!M352)</f>
        <v/>
      </c>
      <c r="B422" s="203" t="str">
        <f>IF(DATA!N352="","",DATA!N352)</f>
        <v/>
      </c>
      <c r="C422" s="203" t="str">
        <f>IF(DATA!O352="","",DATA!O352)</f>
        <v/>
      </c>
      <c r="D422" s="203" t="str">
        <f>IF(DATA!P352="","",DATA!P352)</f>
        <v/>
      </c>
      <c r="E422" s="13"/>
      <c r="F422" s="5" t="str">
        <f t="shared" si="74"/>
        <v/>
      </c>
      <c r="G422" s="1"/>
      <c r="H422" s="77">
        <f>IF(G422="",0,VLOOKUP(G422,REFCE!A:D,2,FALSE))</f>
        <v>0</v>
      </c>
      <c r="I422" s="77" t="str">
        <f t="shared" si="75"/>
        <v/>
      </c>
    </row>
    <row r="423" spans="1:9" x14ac:dyDescent="0.25">
      <c r="A423" s="203" t="str">
        <f>IF(DATA!M353="","",DATA!M353)</f>
        <v/>
      </c>
      <c r="B423" s="203" t="str">
        <f>IF(DATA!N353="","",DATA!N353)</f>
        <v/>
      </c>
      <c r="C423" s="203" t="str">
        <f>IF(DATA!O353="","",DATA!O353)</f>
        <v/>
      </c>
      <c r="D423" s="203" t="str">
        <f>IF(DATA!P353="","",DATA!P353)</f>
        <v/>
      </c>
      <c r="E423" s="13"/>
      <c r="F423" s="5" t="str">
        <f t="shared" si="74"/>
        <v/>
      </c>
      <c r="G423" s="1"/>
      <c r="H423" s="77">
        <f>IF(G423="",0,VLOOKUP(G423,REFCE!A:D,2,FALSE))</f>
        <v>0</v>
      </c>
      <c r="I423" s="77" t="str">
        <f t="shared" si="75"/>
        <v/>
      </c>
    </row>
    <row r="424" spans="1:9" x14ac:dyDescent="0.25">
      <c r="A424" s="203" t="str">
        <f>IF(DATA!M354="","",DATA!M354)</f>
        <v/>
      </c>
      <c r="B424" s="203" t="str">
        <f>IF(DATA!N354="","",DATA!N354)</f>
        <v/>
      </c>
      <c r="C424" s="203" t="str">
        <f>IF(DATA!O354="","",DATA!O354)</f>
        <v/>
      </c>
      <c r="D424" s="203" t="str">
        <f>IF(DATA!P354="","",DATA!P354)</f>
        <v/>
      </c>
      <c r="E424" s="13"/>
      <c r="F424" s="5" t="str">
        <f t="shared" si="74"/>
        <v/>
      </c>
      <c r="G424" s="1"/>
      <c r="H424" s="77">
        <f>IF(G424="",0,VLOOKUP(G424,REFCE!A:D,2,FALSE))</f>
        <v>0</v>
      </c>
      <c r="I424" s="77" t="str">
        <f t="shared" si="75"/>
        <v/>
      </c>
    </row>
    <row r="425" spans="1:9" x14ac:dyDescent="0.25">
      <c r="A425" s="203" t="str">
        <f>IF(DATA!M355="","",DATA!M355)</f>
        <v/>
      </c>
      <c r="B425" s="203" t="str">
        <f>IF(DATA!N355="","",DATA!N355)</f>
        <v/>
      </c>
      <c r="C425" s="203" t="str">
        <f>IF(DATA!O355="","",DATA!O355)</f>
        <v/>
      </c>
      <c r="D425" s="203" t="str">
        <f>IF(DATA!P355="","",DATA!P355)</f>
        <v/>
      </c>
      <c r="E425" s="13"/>
      <c r="F425" s="5" t="str">
        <f t="shared" si="74"/>
        <v/>
      </c>
      <c r="G425" s="1"/>
      <c r="H425" s="77">
        <f>IF(G425="",0,VLOOKUP(G425,REFCE!A:D,2,FALSE))</f>
        <v>0</v>
      </c>
      <c r="I425" s="77" t="str">
        <f t="shared" si="75"/>
        <v/>
      </c>
    </row>
    <row r="426" spans="1:9" x14ac:dyDescent="0.25">
      <c r="A426" s="203" t="str">
        <f>IF(DATA!M356="","",DATA!M356)</f>
        <v/>
      </c>
      <c r="B426" s="203" t="str">
        <f>IF(DATA!N356="","",DATA!N356)</f>
        <v/>
      </c>
      <c r="C426" s="203" t="str">
        <f>IF(DATA!O356="","",DATA!O356)</f>
        <v/>
      </c>
      <c r="D426" s="203" t="str">
        <f>IF(DATA!P356="","",DATA!P356)</f>
        <v/>
      </c>
      <c r="E426" s="13"/>
      <c r="F426" s="5" t="str">
        <f t="shared" si="74"/>
        <v/>
      </c>
      <c r="G426" s="1"/>
      <c r="H426" s="77">
        <f>IF(G426="",0,VLOOKUP(G426,REFCE!A:D,2,FALSE))</f>
        <v>0</v>
      </c>
      <c r="I426" s="77" t="str">
        <f t="shared" si="75"/>
        <v/>
      </c>
    </row>
    <row r="427" spans="1:9" x14ac:dyDescent="0.25">
      <c r="A427" s="203" t="str">
        <f>IF(DATA!M357="","",DATA!M357)</f>
        <v/>
      </c>
      <c r="B427" s="203" t="str">
        <f>IF(DATA!N357="","",DATA!N357)</f>
        <v/>
      </c>
      <c r="C427" s="203" t="str">
        <f>IF(DATA!O357="","",DATA!O357)</f>
        <v/>
      </c>
      <c r="D427" s="203" t="str">
        <f>IF(DATA!P357="","",DATA!P357)</f>
        <v/>
      </c>
      <c r="E427" s="13"/>
      <c r="F427" s="5" t="str">
        <f t="shared" si="74"/>
        <v/>
      </c>
      <c r="G427" s="1"/>
      <c r="H427" s="77">
        <f>IF(G427="",0,VLOOKUP(G427,REFCE!A:D,2,FALSE))</f>
        <v>0</v>
      </c>
      <c r="I427" s="77" t="str">
        <f t="shared" si="75"/>
        <v/>
      </c>
    </row>
    <row r="428" spans="1:9" x14ac:dyDescent="0.25">
      <c r="A428" s="203" t="str">
        <f>IF(DATA!M358="","",DATA!M358)</f>
        <v/>
      </c>
      <c r="B428" s="203" t="str">
        <f>IF(DATA!N358="","",DATA!N358)</f>
        <v/>
      </c>
      <c r="C428" s="203" t="str">
        <f>IF(DATA!O358="","",DATA!O358)</f>
        <v/>
      </c>
      <c r="D428" s="203" t="str">
        <f>IF(DATA!P358="","",DATA!P358)</f>
        <v/>
      </c>
      <c r="E428" s="13"/>
      <c r="F428" s="5" t="str">
        <f t="shared" si="74"/>
        <v/>
      </c>
      <c r="G428" s="1"/>
      <c r="H428" s="77">
        <f>IF(G428="",0,VLOOKUP(G428,REFCE!A:D,2,FALSE))</f>
        <v>0</v>
      </c>
      <c r="I428" s="77" t="str">
        <f t="shared" si="75"/>
        <v/>
      </c>
    </row>
    <row r="429" spans="1:9" x14ac:dyDescent="0.25">
      <c r="A429" s="203" t="str">
        <f>IF(DATA!M359="","",DATA!M359)</f>
        <v/>
      </c>
      <c r="B429" s="203" t="str">
        <f>IF(DATA!N359="","",DATA!N359)</f>
        <v/>
      </c>
      <c r="C429" s="203" t="str">
        <f>IF(DATA!O359="","",DATA!O359)</f>
        <v/>
      </c>
      <c r="D429" s="203" t="str">
        <f>IF(DATA!P359="","",DATA!P359)</f>
        <v/>
      </c>
      <c r="E429" s="13"/>
      <c r="F429" s="5" t="str">
        <f t="shared" si="74"/>
        <v/>
      </c>
      <c r="G429" s="1"/>
      <c r="H429" s="77">
        <f>IF(G429="",0,VLOOKUP(G429,REFCE!A:D,2,FALSE))</f>
        <v>0</v>
      </c>
      <c r="I429" s="77" t="str">
        <f t="shared" si="75"/>
        <v/>
      </c>
    </row>
    <row r="430" spans="1:9" x14ac:dyDescent="0.25">
      <c r="A430" s="203" t="str">
        <f>IF(DATA!M360="","",DATA!M360)</f>
        <v/>
      </c>
      <c r="B430" s="203" t="str">
        <f>IF(DATA!N360="","",DATA!N360)</f>
        <v/>
      </c>
      <c r="C430" s="203" t="str">
        <f>IF(DATA!O360="","",DATA!O360)</f>
        <v/>
      </c>
      <c r="D430" s="203" t="str">
        <f>IF(DATA!P360="","",DATA!P360)</f>
        <v/>
      </c>
      <c r="E430" s="13"/>
      <c r="F430" s="5" t="str">
        <f t="shared" si="74"/>
        <v/>
      </c>
      <c r="G430" s="1"/>
      <c r="H430" s="77">
        <f>IF(G430="",0,VLOOKUP(G430,REFCE!A:D,2,FALSE))</f>
        <v>0</v>
      </c>
      <c r="I430" s="77" t="str">
        <f t="shared" si="75"/>
        <v/>
      </c>
    </row>
    <row r="431" spans="1:9" x14ac:dyDescent="0.25">
      <c r="A431" s="203" t="str">
        <f>IF(DATA!M361="","",DATA!M361)</f>
        <v/>
      </c>
      <c r="B431" s="203" t="str">
        <f>IF(DATA!N361="","",DATA!N361)</f>
        <v/>
      </c>
      <c r="C431" s="203" t="str">
        <f>IF(DATA!O361="","",DATA!O361)</f>
        <v/>
      </c>
      <c r="D431" s="203" t="str">
        <f>IF(DATA!P361="","",DATA!P361)</f>
        <v/>
      </c>
      <c r="E431" s="13"/>
      <c r="F431" s="5" t="str">
        <f t="shared" si="74"/>
        <v/>
      </c>
      <c r="G431" s="1"/>
      <c r="H431" s="77">
        <f>IF(G431="",0,VLOOKUP(G431,REFCE!A:D,2,FALSE))</f>
        <v>0</v>
      </c>
      <c r="I431" s="77" t="str">
        <f t="shared" si="75"/>
        <v/>
      </c>
    </row>
    <row r="432" spans="1:9" x14ac:dyDescent="0.25">
      <c r="A432" s="203" t="str">
        <f>IF(DATA!M362="","",DATA!M362)</f>
        <v/>
      </c>
      <c r="B432" s="203" t="str">
        <f>IF(DATA!N362="","",DATA!N362)</f>
        <v/>
      </c>
      <c r="C432" s="203" t="str">
        <f>IF(DATA!O362="","",DATA!O362)</f>
        <v/>
      </c>
      <c r="D432" s="203" t="str">
        <f>IF(DATA!P362="","",DATA!P362)</f>
        <v/>
      </c>
      <c r="E432" s="13"/>
      <c r="F432" s="5" t="str">
        <f t="shared" si="74"/>
        <v/>
      </c>
      <c r="G432" s="1"/>
      <c r="H432" s="77">
        <f>IF(G432="",0,VLOOKUP(G432,REFCE!A:D,2,FALSE))</f>
        <v>0</v>
      </c>
      <c r="I432" s="77" t="str">
        <f t="shared" si="75"/>
        <v/>
      </c>
    </row>
    <row r="433" spans="1:9" x14ac:dyDescent="0.25">
      <c r="A433" s="203" t="str">
        <f>IF(DATA!M363="","",DATA!M363)</f>
        <v/>
      </c>
      <c r="B433" s="203" t="str">
        <f>IF(DATA!N363="","",DATA!N363)</f>
        <v/>
      </c>
      <c r="C433" s="203" t="str">
        <f>IF(DATA!O363="","",DATA!O363)</f>
        <v/>
      </c>
      <c r="D433" s="203" t="str">
        <f>IF(DATA!P363="","",DATA!P363)</f>
        <v/>
      </c>
      <c r="E433" s="13"/>
      <c r="F433" s="5" t="str">
        <f t="shared" si="74"/>
        <v/>
      </c>
      <c r="G433" s="1"/>
      <c r="H433" s="77">
        <f>IF(G433="",0,VLOOKUP(G433,REFCE!A:D,2,FALSE))</f>
        <v>0</v>
      </c>
      <c r="I433" s="77" t="str">
        <f t="shared" si="75"/>
        <v/>
      </c>
    </row>
    <row r="434" spans="1:9" x14ac:dyDescent="0.25">
      <c r="A434" s="203" t="str">
        <f>IF(DATA!M364="","",DATA!M364)</f>
        <v/>
      </c>
      <c r="B434" s="203" t="str">
        <f>IF(DATA!N364="","",DATA!N364)</f>
        <v/>
      </c>
      <c r="C434" s="203" t="str">
        <f>IF(DATA!O364="","",DATA!O364)</f>
        <v/>
      </c>
      <c r="D434" s="203" t="str">
        <f>IF(DATA!P364="","",DATA!P364)</f>
        <v/>
      </c>
      <c r="E434" s="13"/>
      <c r="F434" s="5" t="str">
        <f t="shared" si="74"/>
        <v/>
      </c>
      <c r="G434" s="1"/>
      <c r="H434" s="77">
        <f>IF(G434="",0,VLOOKUP(G434,REFCE!A:D,2,FALSE))</f>
        <v>0</v>
      </c>
      <c r="I434" s="77" t="str">
        <f t="shared" si="75"/>
        <v/>
      </c>
    </row>
    <row r="435" spans="1:9" x14ac:dyDescent="0.25">
      <c r="A435" s="203" t="str">
        <f>IF(DATA!M365="","",DATA!M365)</f>
        <v/>
      </c>
      <c r="B435" s="203" t="str">
        <f>IF(DATA!N365="","",DATA!N365)</f>
        <v/>
      </c>
      <c r="C435" s="203" t="str">
        <f>IF(DATA!O365="","",DATA!O365)</f>
        <v/>
      </c>
      <c r="D435" s="203" t="str">
        <f>IF(DATA!P365="","",DATA!P365)</f>
        <v/>
      </c>
      <c r="E435" s="13"/>
      <c r="F435" s="5" t="str">
        <f t="shared" si="74"/>
        <v/>
      </c>
      <c r="G435" s="1"/>
      <c r="H435" s="77">
        <f>IF(G435="",0,VLOOKUP(G435,REFCE!A:D,2,FALSE))</f>
        <v>0</v>
      </c>
      <c r="I435" s="77" t="str">
        <f t="shared" si="75"/>
        <v/>
      </c>
    </row>
    <row r="436" spans="1:9" x14ac:dyDescent="0.25">
      <c r="A436" s="203" t="str">
        <f>IF(DATA!M366="","",DATA!M366)</f>
        <v/>
      </c>
      <c r="B436" s="203" t="str">
        <f>IF(DATA!N366="","",DATA!N366)</f>
        <v/>
      </c>
      <c r="C436" s="203" t="str">
        <f>IF(DATA!O366="","",DATA!O366)</f>
        <v/>
      </c>
      <c r="D436" s="203" t="str">
        <f>IF(DATA!P366="","",DATA!P366)</f>
        <v/>
      </c>
      <c r="E436" s="13"/>
      <c r="F436" s="5" t="str">
        <f t="shared" si="74"/>
        <v/>
      </c>
      <c r="G436" s="1"/>
      <c r="H436" s="77">
        <f>IF(G436="",0,VLOOKUP(G436,REFCE!A:D,2,FALSE))</f>
        <v>0</v>
      </c>
      <c r="I436" s="77" t="str">
        <f t="shared" si="75"/>
        <v/>
      </c>
    </row>
    <row r="437" spans="1:9" x14ac:dyDescent="0.25">
      <c r="A437" s="203" t="str">
        <f>IF(DATA!M367="","",DATA!M367)</f>
        <v/>
      </c>
      <c r="B437" s="203" t="str">
        <f>IF(DATA!N367="","",DATA!N367)</f>
        <v/>
      </c>
      <c r="C437" s="203" t="str">
        <f>IF(DATA!O367="","",DATA!O367)</f>
        <v/>
      </c>
      <c r="D437" s="203" t="str">
        <f>IF(DATA!P367="","",DATA!P367)</f>
        <v/>
      </c>
      <c r="E437" s="13"/>
      <c r="F437" s="5" t="str">
        <f t="shared" si="74"/>
        <v/>
      </c>
      <c r="G437" s="1"/>
      <c r="H437" s="77">
        <f>IF(G437="",0,VLOOKUP(G437,REFCE!A:D,2,FALSE))</f>
        <v>0</v>
      </c>
      <c r="I437" s="77" t="str">
        <f t="shared" si="75"/>
        <v/>
      </c>
    </row>
    <row r="438" spans="1:9" x14ac:dyDescent="0.25">
      <c r="A438" s="203" t="str">
        <f>IF(DATA!M368="","",DATA!M368)</f>
        <v/>
      </c>
      <c r="B438" s="203" t="str">
        <f>IF(DATA!N368="","",DATA!N368)</f>
        <v/>
      </c>
      <c r="C438" s="203" t="str">
        <f>IF(DATA!O368="","",DATA!O368)</f>
        <v/>
      </c>
      <c r="D438" s="203" t="str">
        <f>IF(DATA!P368="","",DATA!P368)</f>
        <v/>
      </c>
      <c r="E438" s="13"/>
      <c r="F438" s="5" t="str">
        <f t="shared" si="74"/>
        <v/>
      </c>
      <c r="G438" s="1"/>
      <c r="H438" s="77">
        <f>IF(G438="",0,VLOOKUP(G438,REFCE!A:D,2,FALSE))</f>
        <v>0</v>
      </c>
      <c r="I438" s="77" t="str">
        <f t="shared" si="75"/>
        <v/>
      </c>
    </row>
    <row r="439" spans="1:9" x14ac:dyDescent="0.25">
      <c r="A439" s="203" t="str">
        <f>IF(DATA!M369="","",DATA!M369)</f>
        <v/>
      </c>
      <c r="B439" s="203" t="str">
        <f>IF(DATA!N369="","",DATA!N369)</f>
        <v/>
      </c>
      <c r="C439" s="203" t="str">
        <f>IF(DATA!O369="","",DATA!O369)</f>
        <v/>
      </c>
      <c r="D439" s="203" t="str">
        <f>IF(DATA!P369="","",DATA!P369)</f>
        <v/>
      </c>
      <c r="E439" s="13"/>
      <c r="F439" s="5" t="str">
        <f t="shared" si="74"/>
        <v/>
      </c>
      <c r="G439" s="1"/>
      <c r="H439" s="77">
        <f>IF(G439="",0,VLOOKUP(G439,REFCE!A:D,2,FALSE))</f>
        <v>0</v>
      </c>
      <c r="I439" s="77" t="str">
        <f t="shared" si="75"/>
        <v/>
      </c>
    </row>
    <row r="440" spans="1:9" x14ac:dyDescent="0.25">
      <c r="A440" s="203" t="str">
        <f>IF(DATA!M370="","",DATA!M370)</f>
        <v/>
      </c>
      <c r="B440" s="203" t="str">
        <f>IF(DATA!N370="","",DATA!N370)</f>
        <v/>
      </c>
      <c r="C440" s="203" t="str">
        <f>IF(DATA!O370="","",DATA!O370)</f>
        <v/>
      </c>
      <c r="D440" s="203" t="str">
        <f>IF(DATA!P370="","",DATA!P370)</f>
        <v/>
      </c>
      <c r="E440" s="13"/>
      <c r="F440" s="5" t="str">
        <f t="shared" si="74"/>
        <v/>
      </c>
      <c r="G440" s="1"/>
      <c r="H440" s="77">
        <f>IF(G440="",0,VLOOKUP(G440,REFCE!A:D,2,FALSE))</f>
        <v>0</v>
      </c>
      <c r="I440" s="77" t="str">
        <f t="shared" si="75"/>
        <v/>
      </c>
    </row>
    <row r="441" spans="1:9" x14ac:dyDescent="0.25">
      <c r="A441" s="203" t="str">
        <f>IF(DATA!M371="","",DATA!M371)</f>
        <v/>
      </c>
      <c r="B441" s="203" t="str">
        <f>IF(DATA!N371="","",DATA!N371)</f>
        <v/>
      </c>
      <c r="C441" s="203" t="str">
        <f>IF(DATA!O371="","",DATA!O371)</f>
        <v/>
      </c>
      <c r="D441" s="203" t="str">
        <f>IF(DATA!P371="","",DATA!P371)</f>
        <v/>
      </c>
      <c r="E441" s="13"/>
      <c r="F441" s="5" t="str">
        <f t="shared" si="74"/>
        <v/>
      </c>
      <c r="G441" s="1"/>
      <c r="H441" s="77">
        <f>IF(G441="",0,VLOOKUP(G441,REFCE!A:D,2,FALSE))</f>
        <v>0</v>
      </c>
      <c r="I441" s="77" t="str">
        <f t="shared" si="75"/>
        <v/>
      </c>
    </row>
    <row r="442" spans="1:9" x14ac:dyDescent="0.25">
      <c r="A442" s="203" t="str">
        <f>IF(DATA!M372="","",DATA!M372)</f>
        <v/>
      </c>
      <c r="B442" s="203" t="str">
        <f>IF(DATA!N372="","",DATA!N372)</f>
        <v/>
      </c>
      <c r="C442" s="203" t="str">
        <f>IF(DATA!O372="","",DATA!O372)</f>
        <v/>
      </c>
      <c r="D442" s="203" t="str">
        <f>IF(DATA!P372="","",DATA!P372)</f>
        <v/>
      </c>
      <c r="E442" s="13"/>
      <c r="F442" s="5" t="str">
        <f t="shared" si="74"/>
        <v/>
      </c>
      <c r="G442" s="1"/>
      <c r="H442" s="77">
        <f>IF(G442="",0,VLOOKUP(G442,REFCE!A:D,2,FALSE))</f>
        <v>0</v>
      </c>
      <c r="I442" s="77" t="str">
        <f t="shared" si="75"/>
        <v/>
      </c>
    </row>
    <row r="443" spans="1:9" x14ac:dyDescent="0.25">
      <c r="A443" s="203" t="str">
        <f>IF(DATA!M373="","",DATA!M373)</f>
        <v/>
      </c>
      <c r="B443" s="203" t="str">
        <f>IF(DATA!N373="","",DATA!N373)</f>
        <v/>
      </c>
      <c r="C443" s="203" t="str">
        <f>IF(DATA!O373="","",DATA!O373)</f>
        <v/>
      </c>
      <c r="D443" s="203" t="str">
        <f>IF(DATA!P373="","",DATA!P373)</f>
        <v/>
      </c>
      <c r="E443" s="13"/>
      <c r="F443" s="5" t="str">
        <f t="shared" si="74"/>
        <v/>
      </c>
      <c r="G443" s="1"/>
      <c r="H443" s="77">
        <f>IF(G443="",0,VLOOKUP(G443,REFCE!A:D,2,FALSE))</f>
        <v>0</v>
      </c>
      <c r="I443" s="77" t="str">
        <f t="shared" si="75"/>
        <v/>
      </c>
    </row>
    <row r="444" spans="1:9" x14ac:dyDescent="0.25">
      <c r="A444" s="203" t="str">
        <f>IF(DATA!M374="","",DATA!M374)</f>
        <v/>
      </c>
      <c r="B444" s="203" t="str">
        <f>IF(DATA!N374="","",DATA!N374)</f>
        <v/>
      </c>
      <c r="C444" s="203" t="str">
        <f>IF(DATA!O374="","",DATA!O374)</f>
        <v/>
      </c>
      <c r="D444" s="203" t="str">
        <f>IF(DATA!P374="","",DATA!P374)</f>
        <v/>
      </c>
      <c r="E444" s="13"/>
      <c r="F444" s="5" t="str">
        <f t="shared" si="74"/>
        <v/>
      </c>
      <c r="G444" s="1"/>
      <c r="H444" s="77">
        <f>IF(G444="",0,VLOOKUP(G444,REFCE!A:D,2,FALSE))</f>
        <v>0</v>
      </c>
      <c r="I444" s="77" t="str">
        <f t="shared" si="75"/>
        <v/>
      </c>
    </row>
    <row r="445" spans="1:9" x14ac:dyDescent="0.25">
      <c r="A445" s="203" t="str">
        <f>IF(DATA!M375="","",DATA!M375)</f>
        <v/>
      </c>
      <c r="B445" s="203" t="str">
        <f>IF(DATA!N375="","",DATA!N375)</f>
        <v/>
      </c>
      <c r="C445" s="203" t="str">
        <f>IF(DATA!O375="","",DATA!O375)</f>
        <v/>
      </c>
      <c r="D445" s="203" t="str">
        <f>IF(DATA!P375="","",DATA!P375)</f>
        <v/>
      </c>
      <c r="E445" s="13"/>
      <c r="F445" s="5" t="str">
        <f t="shared" si="74"/>
        <v/>
      </c>
      <c r="G445" s="1"/>
      <c r="H445" s="77">
        <f>IF(G445="",0,VLOOKUP(G445,REFCE!A:D,2,FALSE))</f>
        <v>0</v>
      </c>
      <c r="I445" s="77" t="str">
        <f t="shared" si="75"/>
        <v/>
      </c>
    </row>
    <row r="446" spans="1:9" x14ac:dyDescent="0.25">
      <c r="A446" s="203" t="str">
        <f>IF(DATA!M376="","",DATA!M376)</f>
        <v/>
      </c>
      <c r="B446" s="203" t="str">
        <f>IF(DATA!N376="","",DATA!N376)</f>
        <v/>
      </c>
      <c r="C446" s="203" t="str">
        <f>IF(DATA!O376="","",DATA!O376)</f>
        <v/>
      </c>
      <c r="D446" s="203" t="str">
        <f>IF(DATA!P376="","",DATA!P376)</f>
        <v/>
      </c>
      <c r="E446" s="13"/>
      <c r="F446" s="5" t="str">
        <f t="shared" si="74"/>
        <v/>
      </c>
      <c r="G446" s="1"/>
      <c r="H446" s="77">
        <f>IF(G446="",0,VLOOKUP(G446,REFCE!A:D,2,FALSE))</f>
        <v>0</v>
      </c>
      <c r="I446" s="77" t="str">
        <f t="shared" si="75"/>
        <v/>
      </c>
    </row>
    <row r="447" spans="1:9" x14ac:dyDescent="0.25">
      <c r="A447" s="203" t="str">
        <f>IF(DATA!M377="","",DATA!M377)</f>
        <v/>
      </c>
      <c r="B447" s="203" t="str">
        <f>IF(DATA!N377="","",DATA!N377)</f>
        <v/>
      </c>
      <c r="C447" s="203" t="str">
        <f>IF(DATA!O377="","",DATA!O377)</f>
        <v/>
      </c>
      <c r="D447" s="203" t="str">
        <f>IF(DATA!P377="","",DATA!P377)</f>
        <v/>
      </c>
      <c r="E447" s="13"/>
      <c r="F447" s="5" t="str">
        <f t="shared" si="74"/>
        <v/>
      </c>
      <c r="G447" s="1"/>
      <c r="H447" s="77">
        <f>IF(G447="",0,VLOOKUP(G447,REFCE!A:D,2,FALSE))</f>
        <v>0</v>
      </c>
      <c r="I447" s="77" t="str">
        <f t="shared" si="75"/>
        <v/>
      </c>
    </row>
    <row r="448" spans="1:9" x14ac:dyDescent="0.25">
      <c r="A448" s="203" t="str">
        <f>IF(DATA!M378="","",DATA!M378)</f>
        <v/>
      </c>
      <c r="B448" s="203" t="str">
        <f>IF(DATA!N378="","",DATA!N378)</f>
        <v/>
      </c>
      <c r="C448" s="203" t="str">
        <f>IF(DATA!O378="","",DATA!O378)</f>
        <v/>
      </c>
      <c r="D448" s="203" t="str">
        <f>IF(DATA!P378="","",DATA!P378)</f>
        <v/>
      </c>
      <c r="E448" s="13"/>
      <c r="F448" s="5" t="str">
        <f t="shared" si="74"/>
        <v/>
      </c>
      <c r="G448" s="1"/>
      <c r="H448" s="77">
        <f>IF(G448="",0,VLOOKUP(G448,REFCE!A:D,2,FALSE))</f>
        <v>0</v>
      </c>
      <c r="I448" s="77" t="str">
        <f t="shared" si="75"/>
        <v/>
      </c>
    </row>
    <row r="449" spans="1:9" x14ac:dyDescent="0.25">
      <c r="A449" s="203" t="str">
        <f>IF(DATA!M379="","",DATA!M379)</f>
        <v/>
      </c>
      <c r="B449" s="203" t="str">
        <f>IF(DATA!N379="","",DATA!N379)</f>
        <v/>
      </c>
      <c r="C449" s="203" t="str">
        <f>IF(DATA!O379="","",DATA!O379)</f>
        <v/>
      </c>
      <c r="D449" s="203" t="str">
        <f>IF(DATA!P379="","",DATA!P379)</f>
        <v/>
      </c>
      <c r="E449" s="13"/>
      <c r="F449" s="5" t="str">
        <f t="shared" si="74"/>
        <v/>
      </c>
      <c r="G449" s="1"/>
      <c r="H449" s="77">
        <f>IF(G449="",0,VLOOKUP(G449,REFCE!A:D,2,FALSE))</f>
        <v>0</v>
      </c>
      <c r="I449" s="77" t="str">
        <f t="shared" si="75"/>
        <v/>
      </c>
    </row>
    <row r="450" spans="1:9" x14ac:dyDescent="0.25">
      <c r="A450" s="203" t="str">
        <f>IF(DATA!M380="","",DATA!M380)</f>
        <v/>
      </c>
      <c r="B450" s="203" t="str">
        <f>IF(DATA!N380="","",DATA!N380)</f>
        <v/>
      </c>
      <c r="C450" s="203" t="str">
        <f>IF(DATA!O380="","",DATA!O380)</f>
        <v/>
      </c>
      <c r="D450" s="203" t="str">
        <f>IF(DATA!P380="","",DATA!P380)</f>
        <v/>
      </c>
      <c r="E450" s="13"/>
      <c r="F450" s="5" t="str">
        <f t="shared" si="74"/>
        <v/>
      </c>
      <c r="G450" s="1"/>
      <c r="H450" s="77">
        <f>IF(G450="",0,VLOOKUP(G450,REFCE!A:D,2,FALSE))</f>
        <v>0</v>
      </c>
      <c r="I450" s="77" t="str">
        <f t="shared" si="75"/>
        <v/>
      </c>
    </row>
    <row r="451" spans="1:9" x14ac:dyDescent="0.25">
      <c r="A451" s="203" t="str">
        <f>IF(DATA!M381="","",DATA!M381)</f>
        <v/>
      </c>
      <c r="B451" s="203" t="str">
        <f>IF(DATA!N381="","",DATA!N381)</f>
        <v/>
      </c>
      <c r="C451" s="203" t="str">
        <f>IF(DATA!O381="","",DATA!O381)</f>
        <v/>
      </c>
      <c r="D451" s="203" t="str">
        <f>IF(DATA!P381="","",DATA!P381)</f>
        <v/>
      </c>
      <c r="E451" s="13"/>
      <c r="F451" s="5" t="str">
        <f t="shared" si="74"/>
        <v/>
      </c>
      <c r="G451" s="1"/>
      <c r="H451" s="77">
        <f>IF(G451="",0,VLOOKUP(G451,REFCE!A:D,2,FALSE))</f>
        <v>0</v>
      </c>
      <c r="I451" s="77" t="str">
        <f t="shared" si="75"/>
        <v/>
      </c>
    </row>
    <row r="452" spans="1:9" x14ac:dyDescent="0.25">
      <c r="A452" s="203" t="str">
        <f>IF(DATA!M382="","",DATA!M382)</f>
        <v/>
      </c>
      <c r="B452" s="203" t="str">
        <f>IF(DATA!N382="","",DATA!N382)</f>
        <v/>
      </c>
      <c r="C452" s="203" t="str">
        <f>IF(DATA!O382="","",DATA!O382)</f>
        <v/>
      </c>
      <c r="D452" s="203" t="str">
        <f>IF(DATA!P382="","",DATA!P382)</f>
        <v/>
      </c>
      <c r="E452" s="13"/>
      <c r="F452" s="5" t="str">
        <f t="shared" si="74"/>
        <v/>
      </c>
      <c r="G452" s="1"/>
      <c r="H452" s="77">
        <f>IF(G452="",0,VLOOKUP(G452,REFCE!A:D,2,FALSE))</f>
        <v>0</v>
      </c>
      <c r="I452" s="77" t="str">
        <f t="shared" si="75"/>
        <v/>
      </c>
    </row>
    <row r="453" spans="1:9" x14ac:dyDescent="0.25">
      <c r="A453" s="203" t="str">
        <f>IF(DATA!M383="","",DATA!M383)</f>
        <v/>
      </c>
      <c r="B453" s="203" t="str">
        <f>IF(DATA!N383="","",DATA!N383)</f>
        <v/>
      </c>
      <c r="C453" s="203" t="str">
        <f>IF(DATA!O383="","",DATA!O383)</f>
        <v/>
      </c>
      <c r="D453" s="203" t="str">
        <f>IF(DATA!P383="","",DATA!P383)</f>
        <v/>
      </c>
      <c r="E453" s="13"/>
      <c r="F453" s="5" t="str">
        <f t="shared" si="74"/>
        <v/>
      </c>
      <c r="G453" s="1"/>
      <c r="H453" s="77">
        <f>IF(G453="",0,VLOOKUP(G453,REFCE!A:D,2,FALSE))</f>
        <v>0</v>
      </c>
      <c r="I453" s="77" t="str">
        <f t="shared" si="75"/>
        <v/>
      </c>
    </row>
    <row r="454" spans="1:9" x14ac:dyDescent="0.25">
      <c r="A454" s="203" t="str">
        <f>IF(DATA!M384="","",DATA!M384)</f>
        <v/>
      </c>
      <c r="B454" s="203" t="str">
        <f>IF(DATA!N384="","",DATA!N384)</f>
        <v/>
      </c>
      <c r="C454" s="203" t="str">
        <f>IF(DATA!O384="","",DATA!O384)</f>
        <v/>
      </c>
      <c r="D454" s="203" t="str">
        <f>IF(DATA!P384="","",DATA!P384)</f>
        <v/>
      </c>
      <c r="E454" s="13"/>
      <c r="F454" s="5" t="str">
        <f t="shared" si="74"/>
        <v/>
      </c>
      <c r="G454" s="1"/>
      <c r="H454" s="77">
        <f>IF(G454="",0,VLOOKUP(G454,REFCE!A:D,2,FALSE))</f>
        <v>0</v>
      </c>
      <c r="I454" s="77" t="str">
        <f t="shared" si="75"/>
        <v/>
      </c>
    </row>
    <row r="455" spans="1:9" x14ac:dyDescent="0.25">
      <c r="A455" s="203" t="str">
        <f>IF(DATA!M385="","",DATA!M385)</f>
        <v/>
      </c>
      <c r="B455" s="203" t="str">
        <f>IF(DATA!N385="","",DATA!N385)</f>
        <v/>
      </c>
      <c r="C455" s="203" t="str">
        <f>IF(DATA!O385="","",DATA!O385)</f>
        <v/>
      </c>
      <c r="D455" s="203" t="str">
        <f>IF(DATA!P385="","",DATA!P385)</f>
        <v/>
      </c>
      <c r="E455" s="13"/>
      <c r="F455" s="5" t="str">
        <f t="shared" si="74"/>
        <v/>
      </c>
      <c r="G455" s="1"/>
      <c r="H455" s="77">
        <f>IF(G455="",0,VLOOKUP(G455,REFCE!A:D,2,FALSE))</f>
        <v>0</v>
      </c>
      <c r="I455" s="77" t="str">
        <f t="shared" si="75"/>
        <v/>
      </c>
    </row>
    <row r="456" spans="1:9" x14ac:dyDescent="0.25">
      <c r="A456" s="203" t="str">
        <f>IF(DATA!M386="","",DATA!M386)</f>
        <v/>
      </c>
      <c r="B456" s="203" t="str">
        <f>IF(DATA!N386="","",DATA!N386)</f>
        <v/>
      </c>
      <c r="C456" s="203" t="str">
        <f>IF(DATA!O386="","",DATA!O386)</f>
        <v/>
      </c>
      <c r="D456" s="203" t="str">
        <f>IF(DATA!P386="","",DATA!P386)</f>
        <v/>
      </c>
      <c r="E456" s="13"/>
      <c r="F456" s="5" t="str">
        <f t="shared" si="74"/>
        <v/>
      </c>
      <c r="G456" s="1"/>
      <c r="H456" s="77">
        <f>IF(G456="",0,VLOOKUP(G456,REFCE!A:D,2,FALSE))</f>
        <v>0</v>
      </c>
      <c r="I456" s="77" t="str">
        <f t="shared" si="75"/>
        <v/>
      </c>
    </row>
    <row r="457" spans="1:9" x14ac:dyDescent="0.25">
      <c r="A457" s="203" t="str">
        <f>IF(DATA!M387="","",DATA!M387)</f>
        <v/>
      </c>
      <c r="B457" s="203" t="str">
        <f>IF(DATA!N387="","",DATA!N387)</f>
        <v/>
      </c>
      <c r="C457" s="203" t="str">
        <f>IF(DATA!O387="","",DATA!O387)</f>
        <v/>
      </c>
      <c r="D457" s="203" t="str">
        <f>IF(DATA!P387="","",DATA!P387)</f>
        <v/>
      </c>
      <c r="E457" s="13"/>
      <c r="F457" s="5" t="str">
        <f t="shared" si="74"/>
        <v/>
      </c>
      <c r="G457" s="1"/>
      <c r="H457" s="77">
        <f>IF(G457="",0,VLOOKUP(G457,REFCE!A:D,2,FALSE))</f>
        <v>0</v>
      </c>
      <c r="I457" s="77" t="str">
        <f t="shared" si="75"/>
        <v/>
      </c>
    </row>
    <row r="458" spans="1:9" x14ac:dyDescent="0.25">
      <c r="A458" s="203" t="str">
        <f>IF(DATA!M388="","",DATA!M388)</f>
        <v/>
      </c>
      <c r="B458" s="203" t="str">
        <f>IF(DATA!N388="","",DATA!N388)</f>
        <v/>
      </c>
      <c r="C458" s="203" t="str">
        <f>IF(DATA!O388="","",DATA!O388)</f>
        <v/>
      </c>
      <c r="D458" s="203" t="str">
        <f>IF(DATA!P388="","",DATA!P388)</f>
        <v/>
      </c>
      <c r="E458" s="13"/>
      <c r="F458" s="5" t="str">
        <f t="shared" si="74"/>
        <v/>
      </c>
      <c r="G458" s="1"/>
      <c r="H458" s="77">
        <f>IF(G458="",0,VLOOKUP(G458,REFCE!A:D,2,FALSE))</f>
        <v>0</v>
      </c>
      <c r="I458" s="77" t="str">
        <f t="shared" si="75"/>
        <v/>
      </c>
    </row>
    <row r="459" spans="1:9" x14ac:dyDescent="0.25">
      <c r="A459" s="203" t="str">
        <f>IF(DATA!M389="","",DATA!M389)</f>
        <v/>
      </c>
      <c r="B459" s="203" t="str">
        <f>IF(DATA!N389="","",DATA!N389)</f>
        <v/>
      </c>
      <c r="C459" s="203" t="str">
        <f>IF(DATA!O389="","",DATA!O389)</f>
        <v/>
      </c>
      <c r="D459" s="203" t="str">
        <f>IF(DATA!P389="","",DATA!P389)</f>
        <v/>
      </c>
      <c r="E459" s="13"/>
      <c r="F459" s="5" t="str">
        <f t="shared" si="74"/>
        <v/>
      </c>
      <c r="G459" s="1"/>
      <c r="H459" s="77">
        <f>IF(G459="",0,VLOOKUP(G459,REFCE!A:D,2,FALSE))</f>
        <v>0</v>
      </c>
      <c r="I459" s="77" t="str">
        <f t="shared" si="75"/>
        <v/>
      </c>
    </row>
    <row r="460" spans="1:9" x14ac:dyDescent="0.25">
      <c r="A460" s="203" t="str">
        <f>IF(DATA!M390="","",DATA!M390)</f>
        <v/>
      </c>
      <c r="B460" s="203" t="str">
        <f>IF(DATA!N390="","",DATA!N390)</f>
        <v/>
      </c>
      <c r="C460" s="203" t="str">
        <f>IF(DATA!O390="","",DATA!O390)</f>
        <v/>
      </c>
      <c r="D460" s="203" t="str">
        <f>IF(DATA!P390="","",DATA!P390)</f>
        <v/>
      </c>
      <c r="E460" s="13"/>
      <c r="F460" s="5" t="str">
        <f t="shared" si="74"/>
        <v/>
      </c>
      <c r="G460" s="1"/>
      <c r="H460" s="77">
        <f>IF(G460="",0,VLOOKUP(G460,REFCE!A:D,2,FALSE))</f>
        <v>0</v>
      </c>
      <c r="I460" s="77" t="str">
        <f t="shared" si="75"/>
        <v/>
      </c>
    </row>
    <row r="461" spans="1:9" x14ac:dyDescent="0.25">
      <c r="A461" s="203" t="str">
        <f>IF(DATA!M391="","",DATA!M391)</f>
        <v/>
      </c>
      <c r="B461" s="203" t="str">
        <f>IF(DATA!N391="","",DATA!N391)</f>
        <v/>
      </c>
      <c r="C461" s="203" t="str">
        <f>IF(DATA!O391="","",DATA!O391)</f>
        <v/>
      </c>
      <c r="D461" s="203" t="str">
        <f>IF(DATA!P391="","",DATA!P391)</f>
        <v/>
      </c>
      <c r="E461" s="13"/>
      <c r="F461" s="5" t="str">
        <f t="shared" si="74"/>
        <v/>
      </c>
      <c r="G461" s="1"/>
      <c r="H461" s="77">
        <f>IF(G461="",0,VLOOKUP(G461,REFCE!A:D,2,FALSE))</f>
        <v>0</v>
      </c>
      <c r="I461" s="77" t="str">
        <f t="shared" si="75"/>
        <v/>
      </c>
    </row>
    <row r="462" spans="1:9" x14ac:dyDescent="0.25">
      <c r="A462" s="203" t="str">
        <f>IF(DATA!M392="","",DATA!M392)</f>
        <v/>
      </c>
      <c r="B462" s="203" t="str">
        <f>IF(DATA!N392="","",DATA!N392)</f>
        <v/>
      </c>
      <c r="C462" s="203" t="str">
        <f>IF(DATA!O392="","",DATA!O392)</f>
        <v/>
      </c>
      <c r="D462" s="203" t="str">
        <f>IF(DATA!P392="","",DATA!P392)</f>
        <v/>
      </c>
      <c r="E462" s="13"/>
      <c r="F462" s="5" t="str">
        <f t="shared" ref="F462:F525" si="76">IF(D462="","",D462*E462)</f>
        <v/>
      </c>
      <c r="G462" s="1"/>
      <c r="H462" s="77">
        <f>IF(G462="",0,VLOOKUP(G462,REFCE!A:D,2,FALSE))</f>
        <v>0</v>
      </c>
      <c r="I462" s="77" t="str">
        <f t="shared" ref="I462:I525" si="77">IF(F462="","",F462*H462)</f>
        <v/>
      </c>
    </row>
    <row r="463" spans="1:9" x14ac:dyDescent="0.25">
      <c r="A463" s="203" t="str">
        <f>IF(DATA!M393="","",DATA!M393)</f>
        <v/>
      </c>
      <c r="B463" s="203" t="str">
        <f>IF(DATA!N393="","",DATA!N393)</f>
        <v/>
      </c>
      <c r="C463" s="203" t="str">
        <f>IF(DATA!O393="","",DATA!O393)</f>
        <v/>
      </c>
      <c r="D463" s="203" t="str">
        <f>IF(DATA!P393="","",DATA!P393)</f>
        <v/>
      </c>
      <c r="E463" s="13"/>
      <c r="F463" s="5" t="str">
        <f t="shared" si="76"/>
        <v/>
      </c>
      <c r="G463" s="1"/>
      <c r="H463" s="77">
        <f>IF(G463="",0,VLOOKUP(G463,REFCE!A:D,2,FALSE))</f>
        <v>0</v>
      </c>
      <c r="I463" s="77" t="str">
        <f t="shared" si="77"/>
        <v/>
      </c>
    </row>
    <row r="464" spans="1:9" x14ac:dyDescent="0.25">
      <c r="A464" s="203" t="str">
        <f>IF(DATA!M394="","",DATA!M394)</f>
        <v/>
      </c>
      <c r="B464" s="203" t="str">
        <f>IF(DATA!N394="","",DATA!N394)</f>
        <v/>
      </c>
      <c r="C464" s="203" t="str">
        <f>IF(DATA!O394="","",DATA!O394)</f>
        <v/>
      </c>
      <c r="D464" s="203" t="str">
        <f>IF(DATA!P394="","",DATA!P394)</f>
        <v/>
      </c>
      <c r="E464" s="13"/>
      <c r="F464" s="5" t="str">
        <f t="shared" si="76"/>
        <v/>
      </c>
      <c r="G464" s="1"/>
      <c r="H464" s="77">
        <f>IF(G464="",0,VLOOKUP(G464,REFCE!A:D,2,FALSE))</f>
        <v>0</v>
      </c>
      <c r="I464" s="77" t="str">
        <f t="shared" si="77"/>
        <v/>
      </c>
    </row>
    <row r="465" spans="1:9" x14ac:dyDescent="0.25">
      <c r="A465" s="203" t="str">
        <f>IF(DATA!M395="","",DATA!M395)</f>
        <v/>
      </c>
      <c r="B465" s="203" t="str">
        <f>IF(DATA!N395="","",DATA!N395)</f>
        <v/>
      </c>
      <c r="C465" s="203" t="str">
        <f>IF(DATA!O395="","",DATA!O395)</f>
        <v/>
      </c>
      <c r="D465" s="203" t="str">
        <f>IF(DATA!P395="","",DATA!P395)</f>
        <v/>
      </c>
      <c r="E465" s="13"/>
      <c r="F465" s="5" t="str">
        <f t="shared" si="76"/>
        <v/>
      </c>
      <c r="G465" s="1"/>
      <c r="H465" s="77">
        <f>IF(G465="",0,VLOOKUP(G465,REFCE!A:D,2,FALSE))</f>
        <v>0</v>
      </c>
      <c r="I465" s="77" t="str">
        <f t="shared" si="77"/>
        <v/>
      </c>
    </row>
    <row r="466" spans="1:9" x14ac:dyDescent="0.25">
      <c r="A466" s="203" t="str">
        <f>IF(DATA!M396="","",DATA!M396)</f>
        <v/>
      </c>
      <c r="B466" s="203" t="str">
        <f>IF(DATA!N396="","",DATA!N396)</f>
        <v/>
      </c>
      <c r="C466" s="203" t="str">
        <f>IF(DATA!O396="","",DATA!O396)</f>
        <v/>
      </c>
      <c r="D466" s="203" t="str">
        <f>IF(DATA!P396="","",DATA!P396)</f>
        <v/>
      </c>
      <c r="E466" s="13"/>
      <c r="F466" s="5" t="str">
        <f t="shared" si="76"/>
        <v/>
      </c>
      <c r="G466" s="1"/>
      <c r="H466" s="77">
        <f>IF(G466="",0,VLOOKUP(G466,REFCE!A:D,2,FALSE))</f>
        <v>0</v>
      </c>
      <c r="I466" s="77" t="str">
        <f t="shared" si="77"/>
        <v/>
      </c>
    </row>
    <row r="467" spans="1:9" x14ac:dyDescent="0.25">
      <c r="A467" s="203" t="str">
        <f>IF(DATA!M397="","",DATA!M397)</f>
        <v/>
      </c>
      <c r="B467" s="203" t="str">
        <f>IF(DATA!N397="","",DATA!N397)</f>
        <v/>
      </c>
      <c r="C467" s="203" t="str">
        <f>IF(DATA!O397="","",DATA!O397)</f>
        <v/>
      </c>
      <c r="D467" s="203" t="str">
        <f>IF(DATA!P397="","",DATA!P397)</f>
        <v/>
      </c>
      <c r="E467" s="13"/>
      <c r="F467" s="5" t="str">
        <f t="shared" si="76"/>
        <v/>
      </c>
      <c r="G467" s="1"/>
      <c r="H467" s="77">
        <f>IF(G467="",0,VLOOKUP(G467,REFCE!A:D,2,FALSE))</f>
        <v>0</v>
      </c>
      <c r="I467" s="77" t="str">
        <f t="shared" si="77"/>
        <v/>
      </c>
    </row>
    <row r="468" spans="1:9" x14ac:dyDescent="0.25">
      <c r="A468" s="203" t="str">
        <f>IF(DATA!M398="","",DATA!M398)</f>
        <v/>
      </c>
      <c r="B468" s="203" t="str">
        <f>IF(DATA!N398="","",DATA!N398)</f>
        <v/>
      </c>
      <c r="C468" s="203" t="str">
        <f>IF(DATA!O398="","",DATA!O398)</f>
        <v/>
      </c>
      <c r="D468" s="203" t="str">
        <f>IF(DATA!P398="","",DATA!P398)</f>
        <v/>
      </c>
      <c r="E468" s="13"/>
      <c r="F468" s="5" t="str">
        <f t="shared" si="76"/>
        <v/>
      </c>
      <c r="G468" s="1"/>
      <c r="H468" s="77">
        <f>IF(G468="",0,VLOOKUP(G468,REFCE!A:D,2,FALSE))</f>
        <v>0</v>
      </c>
      <c r="I468" s="77" t="str">
        <f t="shared" si="77"/>
        <v/>
      </c>
    </row>
    <row r="469" spans="1:9" x14ac:dyDescent="0.25">
      <c r="A469" s="203" t="str">
        <f>IF(DATA!M399="","",DATA!M399)</f>
        <v/>
      </c>
      <c r="B469" s="203" t="str">
        <f>IF(DATA!N399="","",DATA!N399)</f>
        <v/>
      </c>
      <c r="C469" s="203" t="str">
        <f>IF(DATA!O399="","",DATA!O399)</f>
        <v/>
      </c>
      <c r="D469" s="203" t="str">
        <f>IF(DATA!P399="","",DATA!P399)</f>
        <v/>
      </c>
      <c r="E469" s="13"/>
      <c r="F469" s="5" t="str">
        <f t="shared" si="76"/>
        <v/>
      </c>
      <c r="G469" s="1"/>
      <c r="H469" s="77">
        <f>IF(G469="",0,VLOOKUP(G469,REFCE!A:D,2,FALSE))</f>
        <v>0</v>
      </c>
      <c r="I469" s="77" t="str">
        <f t="shared" si="77"/>
        <v/>
      </c>
    </row>
    <row r="470" spans="1:9" x14ac:dyDescent="0.25">
      <c r="A470" s="203" t="str">
        <f>IF(DATA!M400="","",DATA!M400)</f>
        <v/>
      </c>
      <c r="B470" s="203" t="str">
        <f>IF(DATA!N400="","",DATA!N400)</f>
        <v/>
      </c>
      <c r="C470" s="203" t="str">
        <f>IF(DATA!O400="","",DATA!O400)</f>
        <v/>
      </c>
      <c r="D470" s="203" t="str">
        <f>IF(DATA!P400="","",DATA!P400)</f>
        <v/>
      </c>
      <c r="E470" s="13"/>
      <c r="F470" s="5" t="str">
        <f t="shared" si="76"/>
        <v/>
      </c>
      <c r="G470" s="1"/>
      <c r="H470" s="77">
        <f>IF(G470="",0,VLOOKUP(G470,REFCE!A:D,2,FALSE))</f>
        <v>0</v>
      </c>
      <c r="I470" s="77" t="str">
        <f t="shared" si="77"/>
        <v/>
      </c>
    </row>
    <row r="471" spans="1:9" x14ac:dyDescent="0.25">
      <c r="A471" s="203" t="str">
        <f>IF(DATA!M401="","",DATA!M401)</f>
        <v/>
      </c>
      <c r="B471" s="203" t="str">
        <f>IF(DATA!N401="","",DATA!N401)</f>
        <v/>
      </c>
      <c r="C471" s="203" t="str">
        <f>IF(DATA!O401="","",DATA!O401)</f>
        <v/>
      </c>
      <c r="D471" s="203" t="str">
        <f>IF(DATA!P401="","",DATA!P401)</f>
        <v/>
      </c>
      <c r="E471" s="13"/>
      <c r="F471" s="5" t="str">
        <f t="shared" si="76"/>
        <v/>
      </c>
      <c r="G471" s="1"/>
      <c r="H471" s="77">
        <f>IF(G471="",0,VLOOKUP(G471,REFCE!A:D,2,FALSE))</f>
        <v>0</v>
      </c>
      <c r="I471" s="77" t="str">
        <f t="shared" si="77"/>
        <v/>
      </c>
    </row>
    <row r="472" spans="1:9" x14ac:dyDescent="0.25">
      <c r="A472" s="203" t="str">
        <f>IF(DATA!M402="","",DATA!M402)</f>
        <v/>
      </c>
      <c r="B472" s="203" t="str">
        <f>IF(DATA!N402="","",DATA!N402)</f>
        <v/>
      </c>
      <c r="C472" s="203" t="str">
        <f>IF(DATA!O402="","",DATA!O402)</f>
        <v/>
      </c>
      <c r="D472" s="203" t="str">
        <f>IF(DATA!P402="","",DATA!P402)</f>
        <v/>
      </c>
      <c r="E472" s="13"/>
      <c r="F472" s="5" t="str">
        <f t="shared" si="76"/>
        <v/>
      </c>
      <c r="G472" s="1"/>
      <c r="H472" s="77">
        <f>IF(G472="",0,VLOOKUP(G472,REFCE!A:D,2,FALSE))</f>
        <v>0</v>
      </c>
      <c r="I472" s="77" t="str">
        <f t="shared" si="77"/>
        <v/>
      </c>
    </row>
    <row r="473" spans="1:9" x14ac:dyDescent="0.25">
      <c r="A473" s="203" t="str">
        <f>IF(DATA!M403="","",DATA!M403)</f>
        <v/>
      </c>
      <c r="B473" s="203" t="str">
        <f>IF(DATA!N403="","",DATA!N403)</f>
        <v/>
      </c>
      <c r="C473" s="203" t="str">
        <f>IF(DATA!O403="","",DATA!O403)</f>
        <v/>
      </c>
      <c r="D473" s="203" t="str">
        <f>IF(DATA!P403="","",DATA!P403)</f>
        <v/>
      </c>
      <c r="E473" s="13"/>
      <c r="F473" s="5" t="str">
        <f t="shared" si="76"/>
        <v/>
      </c>
      <c r="G473" s="1"/>
      <c r="H473" s="77">
        <f>IF(G473="",0,VLOOKUP(G473,REFCE!A:D,2,FALSE))</f>
        <v>0</v>
      </c>
      <c r="I473" s="77" t="str">
        <f t="shared" si="77"/>
        <v/>
      </c>
    </row>
    <row r="474" spans="1:9" x14ac:dyDescent="0.25">
      <c r="A474" s="203" t="str">
        <f>IF(DATA!M404="","",DATA!M404)</f>
        <v/>
      </c>
      <c r="B474" s="203" t="str">
        <f>IF(DATA!N404="","",DATA!N404)</f>
        <v/>
      </c>
      <c r="C474" s="203" t="str">
        <f>IF(DATA!O404="","",DATA!O404)</f>
        <v/>
      </c>
      <c r="D474" s="203" t="str">
        <f>IF(DATA!P404="","",DATA!P404)</f>
        <v/>
      </c>
      <c r="E474" s="13"/>
      <c r="F474" s="5" t="str">
        <f t="shared" si="76"/>
        <v/>
      </c>
      <c r="G474" s="1"/>
      <c r="H474" s="77">
        <f>IF(G474="",0,VLOOKUP(G474,REFCE!A:D,2,FALSE))</f>
        <v>0</v>
      </c>
      <c r="I474" s="77" t="str">
        <f t="shared" si="77"/>
        <v/>
      </c>
    </row>
    <row r="475" spans="1:9" x14ac:dyDescent="0.25">
      <c r="A475" s="203" t="str">
        <f>IF(DATA!M405="","",DATA!M405)</f>
        <v/>
      </c>
      <c r="B475" s="203" t="str">
        <f>IF(DATA!N405="","",DATA!N405)</f>
        <v/>
      </c>
      <c r="C475" s="203" t="str">
        <f>IF(DATA!O405="","",DATA!O405)</f>
        <v/>
      </c>
      <c r="D475" s="203" t="str">
        <f>IF(DATA!P405="","",DATA!P405)</f>
        <v/>
      </c>
      <c r="E475" s="13"/>
      <c r="F475" s="5" t="str">
        <f t="shared" si="76"/>
        <v/>
      </c>
      <c r="G475" s="1"/>
      <c r="H475" s="77">
        <f>IF(G475="",0,VLOOKUP(G475,REFCE!A:D,2,FALSE))</f>
        <v>0</v>
      </c>
      <c r="I475" s="77" t="str">
        <f t="shared" si="77"/>
        <v/>
      </c>
    </row>
    <row r="476" spans="1:9" x14ac:dyDescent="0.25">
      <c r="A476" s="203" t="str">
        <f>IF(DATA!M406="","",DATA!M406)</f>
        <v/>
      </c>
      <c r="B476" s="203" t="str">
        <f>IF(DATA!N406="","",DATA!N406)</f>
        <v/>
      </c>
      <c r="C476" s="203" t="str">
        <f>IF(DATA!O406="","",DATA!O406)</f>
        <v/>
      </c>
      <c r="D476" s="203" t="str">
        <f>IF(DATA!P406="","",DATA!P406)</f>
        <v/>
      </c>
      <c r="E476" s="13"/>
      <c r="F476" s="5" t="str">
        <f t="shared" si="76"/>
        <v/>
      </c>
      <c r="G476" s="1"/>
      <c r="H476" s="77">
        <f>IF(G476="",0,VLOOKUP(G476,REFCE!A:D,2,FALSE))</f>
        <v>0</v>
      </c>
      <c r="I476" s="77" t="str">
        <f t="shared" si="77"/>
        <v/>
      </c>
    </row>
    <row r="477" spans="1:9" x14ac:dyDescent="0.25">
      <c r="A477" s="203" t="str">
        <f>IF(DATA!M407="","",DATA!M407)</f>
        <v/>
      </c>
      <c r="B477" s="203" t="str">
        <f>IF(DATA!N407="","",DATA!N407)</f>
        <v/>
      </c>
      <c r="C477" s="203" t="str">
        <f>IF(DATA!O407="","",DATA!O407)</f>
        <v/>
      </c>
      <c r="D477" s="203" t="str">
        <f>IF(DATA!P407="","",DATA!P407)</f>
        <v/>
      </c>
      <c r="E477" s="13"/>
      <c r="F477" s="5" t="str">
        <f t="shared" si="76"/>
        <v/>
      </c>
      <c r="G477" s="1"/>
      <c r="H477" s="77">
        <f>IF(G477="",0,VLOOKUP(G477,REFCE!A:D,2,FALSE))</f>
        <v>0</v>
      </c>
      <c r="I477" s="77" t="str">
        <f t="shared" si="77"/>
        <v/>
      </c>
    </row>
    <row r="478" spans="1:9" x14ac:dyDescent="0.25">
      <c r="A478" s="203" t="str">
        <f>IF(DATA!M408="","",DATA!M408)</f>
        <v/>
      </c>
      <c r="B478" s="203" t="str">
        <f>IF(DATA!N408="","",DATA!N408)</f>
        <v/>
      </c>
      <c r="C478" s="203" t="str">
        <f>IF(DATA!O408="","",DATA!O408)</f>
        <v/>
      </c>
      <c r="D478" s="203" t="str">
        <f>IF(DATA!P408="","",DATA!P408)</f>
        <v/>
      </c>
      <c r="E478" s="13"/>
      <c r="F478" s="5" t="str">
        <f t="shared" si="76"/>
        <v/>
      </c>
      <c r="G478" s="1"/>
      <c r="H478" s="77">
        <f>IF(G478="",0,VLOOKUP(G478,REFCE!A:D,2,FALSE))</f>
        <v>0</v>
      </c>
      <c r="I478" s="77" t="str">
        <f t="shared" si="77"/>
        <v/>
      </c>
    </row>
    <row r="479" spans="1:9" x14ac:dyDescent="0.25">
      <c r="A479" s="203" t="str">
        <f>IF(DATA!M409="","",DATA!M409)</f>
        <v/>
      </c>
      <c r="B479" s="203" t="str">
        <f>IF(DATA!N409="","",DATA!N409)</f>
        <v/>
      </c>
      <c r="C479" s="203" t="str">
        <f>IF(DATA!O409="","",DATA!O409)</f>
        <v/>
      </c>
      <c r="D479" s="203" t="str">
        <f>IF(DATA!P409="","",DATA!P409)</f>
        <v/>
      </c>
      <c r="E479" s="13"/>
      <c r="F479" s="5" t="str">
        <f t="shared" si="76"/>
        <v/>
      </c>
      <c r="G479" s="1"/>
      <c r="H479" s="77">
        <f>IF(G479="",0,VLOOKUP(G479,REFCE!A:D,2,FALSE))</f>
        <v>0</v>
      </c>
      <c r="I479" s="77" t="str">
        <f t="shared" si="77"/>
        <v/>
      </c>
    </row>
    <row r="480" spans="1:9" x14ac:dyDescent="0.25">
      <c r="A480" s="203" t="str">
        <f>IF(DATA!M410="","",DATA!M410)</f>
        <v/>
      </c>
      <c r="B480" s="203" t="str">
        <f>IF(DATA!N410="","",DATA!N410)</f>
        <v/>
      </c>
      <c r="C480" s="203" t="str">
        <f>IF(DATA!O410="","",DATA!O410)</f>
        <v/>
      </c>
      <c r="D480" s="203" t="str">
        <f>IF(DATA!P410="","",DATA!P410)</f>
        <v/>
      </c>
      <c r="E480" s="13"/>
      <c r="F480" s="5" t="str">
        <f t="shared" si="76"/>
        <v/>
      </c>
      <c r="G480" s="1"/>
      <c r="H480" s="77">
        <f>IF(G480="",0,VLOOKUP(G480,REFCE!A:D,2,FALSE))</f>
        <v>0</v>
      </c>
      <c r="I480" s="77" t="str">
        <f t="shared" si="77"/>
        <v/>
      </c>
    </row>
    <row r="481" spans="1:9" x14ac:dyDescent="0.25">
      <c r="A481" s="203" t="str">
        <f>IF(DATA!M411="","",DATA!M411)</f>
        <v/>
      </c>
      <c r="B481" s="203" t="str">
        <f>IF(DATA!N411="","",DATA!N411)</f>
        <v/>
      </c>
      <c r="C481" s="203" t="str">
        <f>IF(DATA!O411="","",DATA!O411)</f>
        <v/>
      </c>
      <c r="D481" s="203" t="str">
        <f>IF(DATA!P411="","",DATA!P411)</f>
        <v/>
      </c>
      <c r="E481" s="13"/>
      <c r="F481" s="5" t="str">
        <f t="shared" si="76"/>
        <v/>
      </c>
      <c r="G481" s="1"/>
      <c r="H481" s="77">
        <f>IF(G481="",0,VLOOKUP(G481,REFCE!A:D,2,FALSE))</f>
        <v>0</v>
      </c>
      <c r="I481" s="77" t="str">
        <f t="shared" si="77"/>
        <v/>
      </c>
    </row>
    <row r="482" spans="1:9" x14ac:dyDescent="0.25">
      <c r="A482" s="203" t="str">
        <f>IF(DATA!M412="","",DATA!M412)</f>
        <v/>
      </c>
      <c r="B482" s="203" t="str">
        <f>IF(DATA!N412="","",DATA!N412)</f>
        <v/>
      </c>
      <c r="C482" s="203" t="str">
        <f>IF(DATA!O412="","",DATA!O412)</f>
        <v/>
      </c>
      <c r="D482" s="203" t="str">
        <f>IF(DATA!P412="","",DATA!P412)</f>
        <v/>
      </c>
      <c r="E482" s="13"/>
      <c r="F482" s="5" t="str">
        <f t="shared" si="76"/>
        <v/>
      </c>
      <c r="G482" s="1"/>
      <c r="H482" s="77">
        <f>IF(G482="",0,VLOOKUP(G482,REFCE!A:D,2,FALSE))</f>
        <v>0</v>
      </c>
      <c r="I482" s="77" t="str">
        <f t="shared" si="77"/>
        <v/>
      </c>
    </row>
    <row r="483" spans="1:9" x14ac:dyDescent="0.25">
      <c r="A483" s="203" t="str">
        <f>IF(DATA!M413="","",DATA!M413)</f>
        <v/>
      </c>
      <c r="B483" s="203" t="str">
        <f>IF(DATA!N413="","",DATA!N413)</f>
        <v/>
      </c>
      <c r="C483" s="203" t="str">
        <f>IF(DATA!O413="","",DATA!O413)</f>
        <v/>
      </c>
      <c r="D483" s="203" t="str">
        <f>IF(DATA!P413="","",DATA!P413)</f>
        <v/>
      </c>
      <c r="E483" s="13"/>
      <c r="F483" s="5" t="str">
        <f t="shared" si="76"/>
        <v/>
      </c>
      <c r="G483" s="1"/>
      <c r="H483" s="77">
        <f>IF(G483="",0,VLOOKUP(G483,REFCE!A:D,2,FALSE))</f>
        <v>0</v>
      </c>
      <c r="I483" s="77" t="str">
        <f t="shared" si="77"/>
        <v/>
      </c>
    </row>
    <row r="484" spans="1:9" x14ac:dyDescent="0.25">
      <c r="A484" s="203" t="str">
        <f>IF(DATA!M414="","",DATA!M414)</f>
        <v/>
      </c>
      <c r="B484" s="203" t="str">
        <f>IF(DATA!N414="","",DATA!N414)</f>
        <v/>
      </c>
      <c r="C484" s="203" t="str">
        <f>IF(DATA!O414="","",DATA!O414)</f>
        <v/>
      </c>
      <c r="D484" s="203" t="str">
        <f>IF(DATA!P414="","",DATA!P414)</f>
        <v/>
      </c>
      <c r="E484" s="13"/>
      <c r="F484" s="5" t="str">
        <f t="shared" si="76"/>
        <v/>
      </c>
      <c r="G484" s="1"/>
      <c r="H484" s="77">
        <f>IF(G484="",0,VLOOKUP(G484,REFCE!A:D,2,FALSE))</f>
        <v>0</v>
      </c>
      <c r="I484" s="77" t="str">
        <f t="shared" si="77"/>
        <v/>
      </c>
    </row>
    <row r="485" spans="1:9" x14ac:dyDescent="0.25">
      <c r="A485" s="203" t="str">
        <f>IF(DATA!M415="","",DATA!M415)</f>
        <v/>
      </c>
      <c r="B485" s="203" t="str">
        <f>IF(DATA!N415="","",DATA!N415)</f>
        <v/>
      </c>
      <c r="C485" s="203" t="str">
        <f>IF(DATA!O415="","",DATA!O415)</f>
        <v/>
      </c>
      <c r="D485" s="203" t="str">
        <f>IF(DATA!P415="","",DATA!P415)</f>
        <v/>
      </c>
      <c r="E485" s="13"/>
      <c r="F485" s="5" t="str">
        <f t="shared" si="76"/>
        <v/>
      </c>
      <c r="G485" s="1"/>
      <c r="H485" s="77">
        <f>IF(G485="",0,VLOOKUP(G485,REFCE!A:D,2,FALSE))</f>
        <v>0</v>
      </c>
      <c r="I485" s="77" t="str">
        <f t="shared" si="77"/>
        <v/>
      </c>
    </row>
    <row r="486" spans="1:9" x14ac:dyDescent="0.25">
      <c r="A486" s="203" t="str">
        <f>IF(DATA!M416="","",DATA!M416)</f>
        <v/>
      </c>
      <c r="B486" s="203" t="str">
        <f>IF(DATA!N416="","",DATA!N416)</f>
        <v/>
      </c>
      <c r="C486" s="203" t="str">
        <f>IF(DATA!O416="","",DATA!O416)</f>
        <v/>
      </c>
      <c r="D486" s="203" t="str">
        <f>IF(DATA!P416="","",DATA!P416)</f>
        <v/>
      </c>
      <c r="E486" s="13"/>
      <c r="F486" s="5" t="str">
        <f t="shared" si="76"/>
        <v/>
      </c>
      <c r="G486" s="1"/>
      <c r="H486" s="77">
        <f>IF(G486="",0,VLOOKUP(G486,REFCE!A:D,2,FALSE))</f>
        <v>0</v>
      </c>
      <c r="I486" s="77" t="str">
        <f t="shared" si="77"/>
        <v/>
      </c>
    </row>
    <row r="487" spans="1:9" x14ac:dyDescent="0.25">
      <c r="A487" s="203" t="str">
        <f>IF(DATA!M417="","",DATA!M417)</f>
        <v/>
      </c>
      <c r="B487" s="203" t="str">
        <f>IF(DATA!N417="","",DATA!N417)</f>
        <v/>
      </c>
      <c r="C487" s="203" t="str">
        <f>IF(DATA!O417="","",DATA!O417)</f>
        <v/>
      </c>
      <c r="D487" s="203" t="str">
        <f>IF(DATA!P417="","",DATA!P417)</f>
        <v/>
      </c>
      <c r="E487" s="13"/>
      <c r="F487" s="5" t="str">
        <f t="shared" si="76"/>
        <v/>
      </c>
      <c r="G487" s="1"/>
      <c r="H487" s="77">
        <f>IF(G487="",0,VLOOKUP(G487,REFCE!A:D,2,FALSE))</f>
        <v>0</v>
      </c>
      <c r="I487" s="77" t="str">
        <f t="shared" si="77"/>
        <v/>
      </c>
    </row>
    <row r="488" spans="1:9" x14ac:dyDescent="0.25">
      <c r="A488" s="203" t="str">
        <f>IF(DATA!M418="","",DATA!M418)</f>
        <v/>
      </c>
      <c r="B488" s="203" t="str">
        <f>IF(DATA!N418="","",DATA!N418)</f>
        <v/>
      </c>
      <c r="C488" s="203" t="str">
        <f>IF(DATA!O418="","",DATA!O418)</f>
        <v/>
      </c>
      <c r="D488" s="203" t="str">
        <f>IF(DATA!P418="","",DATA!P418)</f>
        <v/>
      </c>
      <c r="E488" s="13"/>
      <c r="F488" s="5" t="str">
        <f t="shared" si="76"/>
        <v/>
      </c>
      <c r="G488" s="1"/>
      <c r="H488" s="77">
        <f>IF(G488="",0,VLOOKUP(G488,REFCE!A:D,2,FALSE))</f>
        <v>0</v>
      </c>
      <c r="I488" s="77" t="str">
        <f t="shared" si="77"/>
        <v/>
      </c>
    </row>
    <row r="489" spans="1:9" x14ac:dyDescent="0.25">
      <c r="A489" s="203" t="str">
        <f>IF(DATA!M419="","",DATA!M419)</f>
        <v/>
      </c>
      <c r="B489" s="203" t="str">
        <f>IF(DATA!N419="","",DATA!N419)</f>
        <v/>
      </c>
      <c r="C489" s="203" t="str">
        <f>IF(DATA!O419="","",DATA!O419)</f>
        <v/>
      </c>
      <c r="D489" s="203" t="str">
        <f>IF(DATA!P419="","",DATA!P419)</f>
        <v/>
      </c>
      <c r="E489" s="13"/>
      <c r="F489" s="5" t="str">
        <f t="shared" si="76"/>
        <v/>
      </c>
      <c r="G489" s="1"/>
      <c r="H489" s="77">
        <f>IF(G489="",0,VLOOKUP(G489,REFCE!A:D,2,FALSE))</f>
        <v>0</v>
      </c>
      <c r="I489" s="77" t="str">
        <f t="shared" si="77"/>
        <v/>
      </c>
    </row>
    <row r="490" spans="1:9" x14ac:dyDescent="0.25">
      <c r="A490" s="203" t="str">
        <f>IF(DATA!M420="","",DATA!M420)</f>
        <v/>
      </c>
      <c r="B490" s="203" t="str">
        <f>IF(DATA!N420="","",DATA!N420)</f>
        <v/>
      </c>
      <c r="C490" s="203" t="str">
        <f>IF(DATA!O420="","",DATA!O420)</f>
        <v/>
      </c>
      <c r="D490" s="203" t="str">
        <f>IF(DATA!P420="","",DATA!P420)</f>
        <v/>
      </c>
      <c r="E490" s="13"/>
      <c r="F490" s="5" t="str">
        <f t="shared" si="76"/>
        <v/>
      </c>
      <c r="G490" s="1"/>
      <c r="H490" s="77">
        <f>IF(G490="",0,VLOOKUP(G490,REFCE!A:D,2,FALSE))</f>
        <v>0</v>
      </c>
      <c r="I490" s="77" t="str">
        <f t="shared" si="77"/>
        <v/>
      </c>
    </row>
    <row r="491" spans="1:9" x14ac:dyDescent="0.25">
      <c r="A491" s="203" t="str">
        <f>IF(DATA!M421="","",DATA!M421)</f>
        <v/>
      </c>
      <c r="B491" s="203" t="str">
        <f>IF(DATA!N421="","",DATA!N421)</f>
        <v/>
      </c>
      <c r="C491" s="203" t="str">
        <f>IF(DATA!O421="","",DATA!O421)</f>
        <v/>
      </c>
      <c r="D491" s="203" t="str">
        <f>IF(DATA!P421="","",DATA!P421)</f>
        <v/>
      </c>
      <c r="E491" s="13"/>
      <c r="F491" s="5" t="str">
        <f t="shared" si="76"/>
        <v/>
      </c>
      <c r="G491" s="1"/>
      <c r="H491" s="77">
        <f>IF(G491="",0,VLOOKUP(G491,REFCE!A:D,2,FALSE))</f>
        <v>0</v>
      </c>
      <c r="I491" s="77" t="str">
        <f t="shared" si="77"/>
        <v/>
      </c>
    </row>
    <row r="492" spans="1:9" x14ac:dyDescent="0.25">
      <c r="A492" s="203" t="str">
        <f>IF(DATA!M422="","",DATA!M422)</f>
        <v/>
      </c>
      <c r="B492" s="203" t="str">
        <f>IF(DATA!N422="","",DATA!N422)</f>
        <v/>
      </c>
      <c r="C492" s="203" t="str">
        <f>IF(DATA!O422="","",DATA!O422)</f>
        <v/>
      </c>
      <c r="D492" s="203" t="str">
        <f>IF(DATA!P422="","",DATA!P422)</f>
        <v/>
      </c>
      <c r="E492" s="13"/>
      <c r="F492" s="5" t="str">
        <f t="shared" si="76"/>
        <v/>
      </c>
      <c r="G492" s="1"/>
      <c r="H492" s="77">
        <f>IF(G492="",0,VLOOKUP(G492,REFCE!A:D,2,FALSE))</f>
        <v>0</v>
      </c>
      <c r="I492" s="77" t="str">
        <f t="shared" si="77"/>
        <v/>
      </c>
    </row>
    <row r="493" spans="1:9" x14ac:dyDescent="0.25">
      <c r="A493" s="203" t="str">
        <f>IF(DATA!M423="","",DATA!M423)</f>
        <v/>
      </c>
      <c r="B493" s="203" t="str">
        <f>IF(DATA!N423="","",DATA!N423)</f>
        <v/>
      </c>
      <c r="C493" s="203" t="str">
        <f>IF(DATA!O423="","",DATA!O423)</f>
        <v/>
      </c>
      <c r="D493" s="203" t="str">
        <f>IF(DATA!P423="","",DATA!P423)</f>
        <v/>
      </c>
      <c r="E493" s="13"/>
      <c r="F493" s="5" t="str">
        <f t="shared" si="76"/>
        <v/>
      </c>
      <c r="G493" s="1"/>
      <c r="H493" s="77">
        <f>IF(G493="",0,VLOOKUP(G493,REFCE!A:D,2,FALSE))</f>
        <v>0</v>
      </c>
      <c r="I493" s="77" t="str">
        <f t="shared" si="77"/>
        <v/>
      </c>
    </row>
    <row r="494" spans="1:9" x14ac:dyDescent="0.25">
      <c r="A494" s="203" t="str">
        <f>IF(DATA!M424="","",DATA!M424)</f>
        <v/>
      </c>
      <c r="B494" s="203" t="str">
        <f>IF(DATA!N424="","",DATA!N424)</f>
        <v/>
      </c>
      <c r="C494" s="203" t="str">
        <f>IF(DATA!O424="","",DATA!O424)</f>
        <v/>
      </c>
      <c r="D494" s="203" t="str">
        <f>IF(DATA!P424="","",DATA!P424)</f>
        <v/>
      </c>
      <c r="E494" s="13"/>
      <c r="F494" s="5" t="str">
        <f t="shared" si="76"/>
        <v/>
      </c>
      <c r="G494" s="1"/>
      <c r="H494" s="77">
        <f>IF(G494="",0,VLOOKUP(G494,REFCE!A:D,2,FALSE))</f>
        <v>0</v>
      </c>
      <c r="I494" s="77" t="str">
        <f t="shared" si="77"/>
        <v/>
      </c>
    </row>
    <row r="495" spans="1:9" x14ac:dyDescent="0.25">
      <c r="A495" s="203" t="str">
        <f>IF(DATA!M425="","",DATA!M425)</f>
        <v/>
      </c>
      <c r="B495" s="203" t="str">
        <f>IF(DATA!N425="","",DATA!N425)</f>
        <v/>
      </c>
      <c r="C495" s="203" t="str">
        <f>IF(DATA!O425="","",DATA!O425)</f>
        <v/>
      </c>
      <c r="D495" s="203" t="str">
        <f>IF(DATA!P425="","",DATA!P425)</f>
        <v/>
      </c>
      <c r="E495" s="13"/>
      <c r="F495" s="5" t="str">
        <f t="shared" si="76"/>
        <v/>
      </c>
      <c r="G495" s="1"/>
      <c r="H495" s="77">
        <f>IF(G495="",0,VLOOKUP(G495,REFCE!A:D,2,FALSE))</f>
        <v>0</v>
      </c>
      <c r="I495" s="77" t="str">
        <f t="shared" si="77"/>
        <v/>
      </c>
    </row>
    <row r="496" spans="1:9" x14ac:dyDescent="0.25">
      <c r="A496" s="203" t="str">
        <f>IF(DATA!M426="","",DATA!M426)</f>
        <v/>
      </c>
      <c r="B496" s="203" t="str">
        <f>IF(DATA!N426="","",DATA!N426)</f>
        <v/>
      </c>
      <c r="C496" s="203" t="str">
        <f>IF(DATA!O426="","",DATA!O426)</f>
        <v/>
      </c>
      <c r="D496" s="203" t="str">
        <f>IF(DATA!P426="","",DATA!P426)</f>
        <v/>
      </c>
      <c r="E496" s="13"/>
      <c r="F496" s="5" t="str">
        <f t="shared" si="76"/>
        <v/>
      </c>
      <c r="G496" s="1"/>
      <c r="H496" s="77">
        <f>IF(G496="",0,VLOOKUP(G496,REFCE!A:D,2,FALSE))</f>
        <v>0</v>
      </c>
      <c r="I496" s="77" t="str">
        <f t="shared" si="77"/>
        <v/>
      </c>
    </row>
    <row r="497" spans="1:9" x14ac:dyDescent="0.25">
      <c r="A497" s="203" t="str">
        <f>IF(DATA!M427="","",DATA!M427)</f>
        <v/>
      </c>
      <c r="B497" s="203" t="str">
        <f>IF(DATA!N427="","",DATA!N427)</f>
        <v/>
      </c>
      <c r="C497" s="203" t="str">
        <f>IF(DATA!O427="","",DATA!O427)</f>
        <v/>
      </c>
      <c r="D497" s="203" t="str">
        <f>IF(DATA!P427="","",DATA!P427)</f>
        <v/>
      </c>
      <c r="E497" s="13"/>
      <c r="F497" s="5" t="str">
        <f t="shared" si="76"/>
        <v/>
      </c>
      <c r="G497" s="1"/>
      <c r="H497" s="77">
        <f>IF(G497="",0,VLOOKUP(G497,REFCE!A:D,2,FALSE))</f>
        <v>0</v>
      </c>
      <c r="I497" s="77" t="str">
        <f t="shared" si="77"/>
        <v/>
      </c>
    </row>
    <row r="498" spans="1:9" x14ac:dyDescent="0.25">
      <c r="A498" s="203" t="str">
        <f>IF(DATA!M428="","",DATA!M428)</f>
        <v/>
      </c>
      <c r="B498" s="203" t="str">
        <f>IF(DATA!N428="","",DATA!N428)</f>
        <v/>
      </c>
      <c r="C498" s="203" t="str">
        <f>IF(DATA!O428="","",DATA!O428)</f>
        <v/>
      </c>
      <c r="D498" s="203" t="str">
        <f>IF(DATA!P428="","",DATA!P428)</f>
        <v/>
      </c>
      <c r="E498" s="13"/>
      <c r="F498" s="5" t="str">
        <f t="shared" si="76"/>
        <v/>
      </c>
      <c r="G498" s="1"/>
      <c r="H498" s="77">
        <f>IF(G498="",0,VLOOKUP(G498,REFCE!A:D,2,FALSE))</f>
        <v>0</v>
      </c>
      <c r="I498" s="77" t="str">
        <f t="shared" si="77"/>
        <v/>
      </c>
    </row>
    <row r="499" spans="1:9" x14ac:dyDescent="0.25">
      <c r="A499" s="203" t="str">
        <f>IF(DATA!M429="","",DATA!M429)</f>
        <v/>
      </c>
      <c r="B499" s="203" t="str">
        <f>IF(DATA!N429="","",DATA!N429)</f>
        <v/>
      </c>
      <c r="C499" s="203" t="str">
        <f>IF(DATA!O429="","",DATA!O429)</f>
        <v/>
      </c>
      <c r="D499" s="203" t="str">
        <f>IF(DATA!P429="","",DATA!P429)</f>
        <v/>
      </c>
      <c r="E499" s="13"/>
      <c r="F499" s="5" t="str">
        <f t="shared" si="76"/>
        <v/>
      </c>
      <c r="G499" s="1"/>
      <c r="H499" s="77">
        <f>IF(G499="",0,VLOOKUP(G499,REFCE!A:D,2,FALSE))</f>
        <v>0</v>
      </c>
      <c r="I499" s="77" t="str">
        <f t="shared" si="77"/>
        <v/>
      </c>
    </row>
    <row r="500" spans="1:9" x14ac:dyDescent="0.25">
      <c r="A500" s="203" t="str">
        <f>IF(DATA!M430="","",DATA!M430)</f>
        <v/>
      </c>
      <c r="B500" s="203" t="str">
        <f>IF(DATA!N430="","",DATA!N430)</f>
        <v/>
      </c>
      <c r="C500" s="203" t="str">
        <f>IF(DATA!O430="","",DATA!O430)</f>
        <v/>
      </c>
      <c r="D500" s="203" t="str">
        <f>IF(DATA!P430="","",DATA!P430)</f>
        <v/>
      </c>
      <c r="E500" s="13"/>
      <c r="F500" s="5" t="str">
        <f t="shared" si="76"/>
        <v/>
      </c>
      <c r="G500" s="1"/>
      <c r="H500" s="77">
        <f>IF(G500="",0,VLOOKUP(G500,REFCE!A:D,2,FALSE))</f>
        <v>0</v>
      </c>
      <c r="I500" s="77" t="str">
        <f t="shared" si="77"/>
        <v/>
      </c>
    </row>
    <row r="501" spans="1:9" x14ac:dyDescent="0.25">
      <c r="A501" s="203" t="str">
        <f>IF(DATA!M431="","",DATA!M431)</f>
        <v/>
      </c>
      <c r="B501" s="203" t="str">
        <f>IF(DATA!N431="","",DATA!N431)</f>
        <v/>
      </c>
      <c r="C501" s="203" t="str">
        <f>IF(DATA!O431="","",DATA!O431)</f>
        <v/>
      </c>
      <c r="D501" s="203" t="str">
        <f>IF(DATA!P431="","",DATA!P431)</f>
        <v/>
      </c>
      <c r="E501" s="13"/>
      <c r="F501" s="5" t="str">
        <f t="shared" si="76"/>
        <v/>
      </c>
      <c r="G501" s="1"/>
      <c r="H501" s="77">
        <f>IF(G501="",0,VLOOKUP(G501,REFCE!A:D,2,FALSE))</f>
        <v>0</v>
      </c>
      <c r="I501" s="77" t="str">
        <f t="shared" si="77"/>
        <v/>
      </c>
    </row>
    <row r="502" spans="1:9" x14ac:dyDescent="0.25">
      <c r="A502" s="203" t="str">
        <f>IF(DATA!M432="","",DATA!M432)</f>
        <v/>
      </c>
      <c r="B502" s="203" t="str">
        <f>IF(DATA!N432="","",DATA!N432)</f>
        <v/>
      </c>
      <c r="C502" s="203" t="str">
        <f>IF(DATA!O432="","",DATA!O432)</f>
        <v/>
      </c>
      <c r="D502" s="203" t="str">
        <f>IF(DATA!P432="","",DATA!P432)</f>
        <v/>
      </c>
      <c r="E502" s="13"/>
      <c r="F502" s="5" t="str">
        <f t="shared" si="76"/>
        <v/>
      </c>
      <c r="G502" s="1"/>
      <c r="H502" s="77">
        <f>IF(G502="",0,VLOOKUP(G502,REFCE!A:D,2,FALSE))</f>
        <v>0</v>
      </c>
      <c r="I502" s="77" t="str">
        <f t="shared" si="77"/>
        <v/>
      </c>
    </row>
    <row r="503" spans="1:9" x14ac:dyDescent="0.25">
      <c r="A503" s="203" t="str">
        <f>IF(DATA!M433="","",DATA!M433)</f>
        <v/>
      </c>
      <c r="B503" s="203" t="str">
        <f>IF(DATA!N433="","",DATA!N433)</f>
        <v/>
      </c>
      <c r="C503" s="203" t="str">
        <f>IF(DATA!O433="","",DATA!O433)</f>
        <v/>
      </c>
      <c r="D503" s="203" t="str">
        <f>IF(DATA!P433="","",DATA!P433)</f>
        <v/>
      </c>
      <c r="E503" s="13"/>
      <c r="F503" s="5" t="str">
        <f t="shared" si="76"/>
        <v/>
      </c>
      <c r="G503" s="1"/>
      <c r="H503" s="77">
        <f>IF(G503="",0,VLOOKUP(G503,REFCE!A:D,2,FALSE))</f>
        <v>0</v>
      </c>
      <c r="I503" s="77" t="str">
        <f t="shared" si="77"/>
        <v/>
      </c>
    </row>
    <row r="504" spans="1:9" x14ac:dyDescent="0.25">
      <c r="A504" s="203" t="str">
        <f>IF(DATA!M434="","",DATA!M434)</f>
        <v/>
      </c>
      <c r="B504" s="203" t="str">
        <f>IF(DATA!N434="","",DATA!N434)</f>
        <v/>
      </c>
      <c r="C504" s="203" t="str">
        <f>IF(DATA!O434="","",DATA!O434)</f>
        <v/>
      </c>
      <c r="D504" s="203" t="str">
        <f>IF(DATA!P434="","",DATA!P434)</f>
        <v/>
      </c>
      <c r="E504" s="13"/>
      <c r="F504" s="5" t="str">
        <f t="shared" si="76"/>
        <v/>
      </c>
      <c r="G504" s="1"/>
      <c r="H504" s="77">
        <f>IF(G504="",0,VLOOKUP(G504,REFCE!A:D,2,FALSE))</f>
        <v>0</v>
      </c>
      <c r="I504" s="77" t="str">
        <f t="shared" si="77"/>
        <v/>
      </c>
    </row>
    <row r="505" spans="1:9" x14ac:dyDescent="0.25">
      <c r="A505" s="203" t="str">
        <f>IF(DATA!M435="","",DATA!M435)</f>
        <v/>
      </c>
      <c r="B505" s="203" t="str">
        <f>IF(DATA!N435="","",DATA!N435)</f>
        <v/>
      </c>
      <c r="C505" s="203" t="str">
        <f>IF(DATA!O435="","",DATA!O435)</f>
        <v/>
      </c>
      <c r="D505" s="203" t="str">
        <f>IF(DATA!P435="","",DATA!P435)</f>
        <v/>
      </c>
      <c r="E505" s="13"/>
      <c r="F505" s="5" t="str">
        <f t="shared" si="76"/>
        <v/>
      </c>
      <c r="G505" s="1"/>
      <c r="H505" s="77">
        <f>IF(G505="",0,VLOOKUP(G505,REFCE!A:D,2,FALSE))</f>
        <v>0</v>
      </c>
      <c r="I505" s="77" t="str">
        <f t="shared" si="77"/>
        <v/>
      </c>
    </row>
    <row r="506" spans="1:9" x14ac:dyDescent="0.25">
      <c r="A506" s="203" t="str">
        <f>IF(DATA!M436="","",DATA!M436)</f>
        <v/>
      </c>
      <c r="B506" s="203" t="str">
        <f>IF(DATA!N436="","",DATA!N436)</f>
        <v/>
      </c>
      <c r="C506" s="203" t="str">
        <f>IF(DATA!O436="","",DATA!O436)</f>
        <v/>
      </c>
      <c r="D506" s="203" t="str">
        <f>IF(DATA!P436="","",DATA!P436)</f>
        <v/>
      </c>
      <c r="E506" s="13"/>
      <c r="F506" s="5" t="str">
        <f t="shared" si="76"/>
        <v/>
      </c>
      <c r="G506" s="1"/>
      <c r="H506" s="77">
        <f>IF(G506="",0,VLOOKUP(G506,REFCE!A:D,2,FALSE))</f>
        <v>0</v>
      </c>
      <c r="I506" s="77" t="str">
        <f t="shared" si="77"/>
        <v/>
      </c>
    </row>
    <row r="507" spans="1:9" x14ac:dyDescent="0.25">
      <c r="A507" s="203" t="str">
        <f>IF(DATA!M437="","",DATA!M437)</f>
        <v/>
      </c>
      <c r="B507" s="203" t="str">
        <f>IF(DATA!N437="","",DATA!N437)</f>
        <v/>
      </c>
      <c r="C507" s="203" t="str">
        <f>IF(DATA!O437="","",DATA!O437)</f>
        <v/>
      </c>
      <c r="D507" s="203" t="str">
        <f>IF(DATA!P437="","",DATA!P437)</f>
        <v/>
      </c>
      <c r="E507" s="13"/>
      <c r="F507" s="5" t="str">
        <f t="shared" si="76"/>
        <v/>
      </c>
      <c r="G507" s="1"/>
      <c r="H507" s="77">
        <f>IF(G507="",0,VLOOKUP(G507,REFCE!A:D,2,FALSE))</f>
        <v>0</v>
      </c>
      <c r="I507" s="77" t="str">
        <f t="shared" si="77"/>
        <v/>
      </c>
    </row>
    <row r="508" spans="1:9" x14ac:dyDescent="0.25">
      <c r="A508" s="203" t="str">
        <f>IF(DATA!M438="","",DATA!M438)</f>
        <v/>
      </c>
      <c r="B508" s="203" t="str">
        <f>IF(DATA!N438="","",DATA!N438)</f>
        <v/>
      </c>
      <c r="C508" s="203" t="str">
        <f>IF(DATA!O438="","",DATA!O438)</f>
        <v/>
      </c>
      <c r="D508" s="203" t="str">
        <f>IF(DATA!P438="","",DATA!P438)</f>
        <v/>
      </c>
      <c r="E508" s="13"/>
      <c r="F508" s="5" t="str">
        <f t="shared" si="76"/>
        <v/>
      </c>
      <c r="G508" s="1"/>
      <c r="H508" s="77">
        <f>IF(G508="",0,VLOOKUP(G508,REFCE!A:D,2,FALSE))</f>
        <v>0</v>
      </c>
      <c r="I508" s="77" t="str">
        <f t="shared" si="77"/>
        <v/>
      </c>
    </row>
    <row r="509" spans="1:9" x14ac:dyDescent="0.25">
      <c r="A509" s="203" t="str">
        <f>IF(DATA!M439="","",DATA!M439)</f>
        <v/>
      </c>
      <c r="B509" s="203" t="str">
        <f>IF(DATA!N439="","",DATA!N439)</f>
        <v/>
      </c>
      <c r="C509" s="203" t="str">
        <f>IF(DATA!O439="","",DATA!O439)</f>
        <v/>
      </c>
      <c r="D509" s="203" t="str">
        <f>IF(DATA!P439="","",DATA!P439)</f>
        <v/>
      </c>
      <c r="E509" s="13"/>
      <c r="F509" s="5" t="str">
        <f t="shared" si="76"/>
        <v/>
      </c>
      <c r="G509" s="1"/>
      <c r="H509" s="77">
        <f>IF(G509="",0,VLOOKUP(G509,REFCE!A:D,2,FALSE))</f>
        <v>0</v>
      </c>
      <c r="I509" s="77" t="str">
        <f t="shared" si="77"/>
        <v/>
      </c>
    </row>
    <row r="510" spans="1:9" x14ac:dyDescent="0.25">
      <c r="A510" s="203" t="str">
        <f>IF(DATA!M440="","",DATA!M440)</f>
        <v/>
      </c>
      <c r="B510" s="203" t="str">
        <f>IF(DATA!N440="","",DATA!N440)</f>
        <v/>
      </c>
      <c r="C510" s="203" t="str">
        <f>IF(DATA!O440="","",DATA!O440)</f>
        <v/>
      </c>
      <c r="D510" s="203" t="str">
        <f>IF(DATA!P440="","",DATA!P440)</f>
        <v/>
      </c>
      <c r="E510" s="13"/>
      <c r="F510" s="5" t="str">
        <f t="shared" si="76"/>
        <v/>
      </c>
      <c r="G510" s="1"/>
      <c r="H510" s="77">
        <f>IF(G510="",0,VLOOKUP(G510,REFCE!A:D,2,FALSE))</f>
        <v>0</v>
      </c>
      <c r="I510" s="77" t="str">
        <f t="shared" si="77"/>
        <v/>
      </c>
    </row>
    <row r="511" spans="1:9" x14ac:dyDescent="0.25">
      <c r="A511" s="203" t="str">
        <f>IF(DATA!M441="","",DATA!M441)</f>
        <v/>
      </c>
      <c r="B511" s="203" t="str">
        <f>IF(DATA!N441="","",DATA!N441)</f>
        <v/>
      </c>
      <c r="C511" s="203" t="str">
        <f>IF(DATA!O441="","",DATA!O441)</f>
        <v/>
      </c>
      <c r="D511" s="203" t="str">
        <f>IF(DATA!P441="","",DATA!P441)</f>
        <v/>
      </c>
      <c r="E511" s="13"/>
      <c r="F511" s="5" t="str">
        <f t="shared" si="76"/>
        <v/>
      </c>
      <c r="G511" s="1"/>
      <c r="H511" s="77">
        <f>IF(G511="",0,VLOOKUP(G511,REFCE!A:D,2,FALSE))</f>
        <v>0</v>
      </c>
      <c r="I511" s="77" t="str">
        <f t="shared" si="77"/>
        <v/>
      </c>
    </row>
    <row r="512" spans="1:9" x14ac:dyDescent="0.25">
      <c r="A512" s="203" t="str">
        <f>IF(DATA!M442="","",DATA!M442)</f>
        <v/>
      </c>
      <c r="B512" s="203" t="str">
        <f>IF(DATA!N442="","",DATA!N442)</f>
        <v/>
      </c>
      <c r="C512" s="203" t="str">
        <f>IF(DATA!O442="","",DATA!O442)</f>
        <v/>
      </c>
      <c r="D512" s="203" t="str">
        <f>IF(DATA!P442="","",DATA!P442)</f>
        <v/>
      </c>
      <c r="E512" s="13"/>
      <c r="F512" s="5" t="str">
        <f t="shared" si="76"/>
        <v/>
      </c>
      <c r="G512" s="1"/>
      <c r="H512" s="77">
        <f>IF(G512="",0,VLOOKUP(G512,REFCE!A:D,2,FALSE))</f>
        <v>0</v>
      </c>
      <c r="I512" s="77" t="str">
        <f t="shared" si="77"/>
        <v/>
      </c>
    </row>
    <row r="513" spans="1:9" x14ac:dyDescent="0.25">
      <c r="A513" s="203" t="str">
        <f>IF(DATA!M443="","",DATA!M443)</f>
        <v/>
      </c>
      <c r="B513" s="203" t="str">
        <f>IF(DATA!N443="","",DATA!N443)</f>
        <v/>
      </c>
      <c r="C513" s="203" t="str">
        <f>IF(DATA!O443="","",DATA!O443)</f>
        <v/>
      </c>
      <c r="D513" s="203" t="str">
        <f>IF(DATA!P443="","",DATA!P443)</f>
        <v/>
      </c>
      <c r="E513" s="13"/>
      <c r="F513" s="5" t="str">
        <f t="shared" si="76"/>
        <v/>
      </c>
      <c r="G513" s="1"/>
      <c r="H513" s="77">
        <f>IF(G513="",0,VLOOKUP(G513,REFCE!A:D,2,FALSE))</f>
        <v>0</v>
      </c>
      <c r="I513" s="77" t="str">
        <f t="shared" si="77"/>
        <v/>
      </c>
    </row>
    <row r="514" spans="1:9" x14ac:dyDescent="0.25">
      <c r="A514" s="203" t="str">
        <f>IF(DATA!M444="","",DATA!M444)</f>
        <v/>
      </c>
      <c r="B514" s="203" t="str">
        <f>IF(DATA!N444="","",DATA!N444)</f>
        <v/>
      </c>
      <c r="C514" s="203" t="str">
        <f>IF(DATA!O444="","",DATA!O444)</f>
        <v/>
      </c>
      <c r="D514" s="203" t="str">
        <f>IF(DATA!P444="","",DATA!P444)</f>
        <v/>
      </c>
      <c r="E514" s="13"/>
      <c r="F514" s="5" t="str">
        <f t="shared" si="76"/>
        <v/>
      </c>
      <c r="G514" s="1"/>
      <c r="H514" s="77">
        <f>IF(G514="",0,VLOOKUP(G514,REFCE!A:D,2,FALSE))</f>
        <v>0</v>
      </c>
      <c r="I514" s="77" t="str">
        <f t="shared" si="77"/>
        <v/>
      </c>
    </row>
    <row r="515" spans="1:9" x14ac:dyDescent="0.25">
      <c r="A515" s="203" t="str">
        <f>IF(DATA!M445="","",DATA!M445)</f>
        <v/>
      </c>
      <c r="B515" s="203" t="str">
        <f>IF(DATA!N445="","",DATA!N445)</f>
        <v/>
      </c>
      <c r="C515" s="203" t="str">
        <f>IF(DATA!O445="","",DATA!O445)</f>
        <v/>
      </c>
      <c r="D515" s="203" t="str">
        <f>IF(DATA!P445="","",DATA!P445)</f>
        <v/>
      </c>
      <c r="E515" s="13"/>
      <c r="F515" s="5" t="str">
        <f t="shared" si="76"/>
        <v/>
      </c>
      <c r="G515" s="1"/>
      <c r="H515" s="77">
        <f>IF(G515="",0,VLOOKUP(G515,REFCE!A:D,2,FALSE))</f>
        <v>0</v>
      </c>
      <c r="I515" s="77" t="str">
        <f t="shared" si="77"/>
        <v/>
      </c>
    </row>
    <row r="516" spans="1:9" x14ac:dyDescent="0.25">
      <c r="A516" s="203" t="str">
        <f>IF(DATA!M446="","",DATA!M446)</f>
        <v/>
      </c>
      <c r="B516" s="203" t="str">
        <f>IF(DATA!N446="","",DATA!N446)</f>
        <v/>
      </c>
      <c r="C516" s="203" t="str">
        <f>IF(DATA!O446="","",DATA!O446)</f>
        <v/>
      </c>
      <c r="D516" s="203" t="str">
        <f>IF(DATA!P446="","",DATA!P446)</f>
        <v/>
      </c>
      <c r="E516" s="13"/>
      <c r="F516" s="5" t="str">
        <f t="shared" si="76"/>
        <v/>
      </c>
      <c r="G516" s="1"/>
      <c r="H516" s="77">
        <f>IF(G516="",0,VLOOKUP(G516,REFCE!A:D,2,FALSE))</f>
        <v>0</v>
      </c>
      <c r="I516" s="77" t="str">
        <f t="shared" si="77"/>
        <v/>
      </c>
    </row>
    <row r="517" spans="1:9" x14ac:dyDescent="0.25">
      <c r="A517" s="203" t="str">
        <f>IF(DATA!M447="","",DATA!M447)</f>
        <v/>
      </c>
      <c r="B517" s="203" t="str">
        <f>IF(DATA!N447="","",DATA!N447)</f>
        <v/>
      </c>
      <c r="C517" s="203" t="str">
        <f>IF(DATA!O447="","",DATA!O447)</f>
        <v/>
      </c>
      <c r="D517" s="203" t="str">
        <f>IF(DATA!P447="","",DATA!P447)</f>
        <v/>
      </c>
      <c r="E517" s="13"/>
      <c r="F517" s="5" t="str">
        <f t="shared" si="76"/>
        <v/>
      </c>
      <c r="G517" s="1"/>
      <c r="H517" s="77">
        <f>IF(G517="",0,VLOOKUP(G517,REFCE!A:D,2,FALSE))</f>
        <v>0</v>
      </c>
      <c r="I517" s="77" t="str">
        <f t="shared" si="77"/>
        <v/>
      </c>
    </row>
    <row r="518" spans="1:9" x14ac:dyDescent="0.25">
      <c r="A518" s="203" t="str">
        <f>IF(DATA!M448="","",DATA!M448)</f>
        <v/>
      </c>
      <c r="B518" s="203" t="str">
        <f>IF(DATA!N448="","",DATA!N448)</f>
        <v/>
      </c>
      <c r="C518" s="203" t="str">
        <f>IF(DATA!O448="","",DATA!O448)</f>
        <v/>
      </c>
      <c r="D518" s="203" t="str">
        <f>IF(DATA!P448="","",DATA!P448)</f>
        <v/>
      </c>
      <c r="E518" s="13"/>
      <c r="F518" s="5" t="str">
        <f t="shared" si="76"/>
        <v/>
      </c>
      <c r="G518" s="1"/>
      <c r="H518" s="77">
        <f>IF(G518="",0,VLOOKUP(G518,REFCE!A:D,2,FALSE))</f>
        <v>0</v>
      </c>
      <c r="I518" s="77" t="str">
        <f t="shared" si="77"/>
        <v/>
      </c>
    </row>
    <row r="519" spans="1:9" x14ac:dyDescent="0.25">
      <c r="A519" s="203" t="str">
        <f>IF(DATA!M449="","",DATA!M449)</f>
        <v/>
      </c>
      <c r="B519" s="203" t="str">
        <f>IF(DATA!N449="","",DATA!N449)</f>
        <v/>
      </c>
      <c r="C519" s="203" t="str">
        <f>IF(DATA!O449="","",DATA!O449)</f>
        <v/>
      </c>
      <c r="D519" s="203" t="str">
        <f>IF(DATA!P449="","",DATA!P449)</f>
        <v/>
      </c>
      <c r="E519" s="13"/>
      <c r="F519" s="5" t="str">
        <f t="shared" si="76"/>
        <v/>
      </c>
      <c r="G519" s="1"/>
      <c r="H519" s="77">
        <f>IF(G519="",0,VLOOKUP(G519,REFCE!A:D,2,FALSE))</f>
        <v>0</v>
      </c>
      <c r="I519" s="77" t="str">
        <f t="shared" si="77"/>
        <v/>
      </c>
    </row>
    <row r="520" spans="1:9" x14ac:dyDescent="0.25">
      <c r="A520" s="203" t="str">
        <f>IF(DATA!M450="","",DATA!M450)</f>
        <v/>
      </c>
      <c r="B520" s="203" t="str">
        <f>IF(DATA!N450="","",DATA!N450)</f>
        <v/>
      </c>
      <c r="C520" s="203" t="str">
        <f>IF(DATA!O450="","",DATA!O450)</f>
        <v/>
      </c>
      <c r="D520" s="203" t="str">
        <f>IF(DATA!P450="","",DATA!P450)</f>
        <v/>
      </c>
      <c r="E520" s="13"/>
      <c r="F520" s="5" t="str">
        <f t="shared" si="76"/>
        <v/>
      </c>
      <c r="G520" s="1"/>
      <c r="H520" s="77">
        <f>IF(G520="",0,VLOOKUP(G520,REFCE!A:D,2,FALSE))</f>
        <v>0</v>
      </c>
      <c r="I520" s="77" t="str">
        <f t="shared" si="77"/>
        <v/>
      </c>
    </row>
    <row r="521" spans="1:9" x14ac:dyDescent="0.25">
      <c r="A521" s="203" t="str">
        <f>IF(DATA!M451="","",DATA!M451)</f>
        <v/>
      </c>
      <c r="B521" s="203" t="str">
        <f>IF(DATA!N451="","",DATA!N451)</f>
        <v/>
      </c>
      <c r="C521" s="203" t="str">
        <f>IF(DATA!O451="","",DATA!O451)</f>
        <v/>
      </c>
      <c r="D521" s="203" t="str">
        <f>IF(DATA!P451="","",DATA!P451)</f>
        <v/>
      </c>
      <c r="E521" s="13"/>
      <c r="F521" s="5" t="str">
        <f t="shared" si="76"/>
        <v/>
      </c>
      <c r="G521" s="1"/>
      <c r="H521" s="77">
        <f>IF(G521="",0,VLOOKUP(G521,REFCE!A:D,2,FALSE))</f>
        <v>0</v>
      </c>
      <c r="I521" s="77" t="str">
        <f t="shared" si="77"/>
        <v/>
      </c>
    </row>
    <row r="522" spans="1:9" x14ac:dyDescent="0.25">
      <c r="A522" s="203" t="str">
        <f>IF(DATA!M452="","",DATA!M452)</f>
        <v/>
      </c>
      <c r="B522" s="203" t="str">
        <f>IF(DATA!N452="","",DATA!N452)</f>
        <v/>
      </c>
      <c r="C522" s="203" t="str">
        <f>IF(DATA!O452="","",DATA!O452)</f>
        <v/>
      </c>
      <c r="D522" s="203" t="str">
        <f>IF(DATA!P452="","",DATA!P452)</f>
        <v/>
      </c>
      <c r="E522" s="13"/>
      <c r="F522" s="5" t="str">
        <f t="shared" si="76"/>
        <v/>
      </c>
      <c r="G522" s="1"/>
      <c r="H522" s="77">
        <f>IF(G522="",0,VLOOKUP(G522,REFCE!A:D,2,FALSE))</f>
        <v>0</v>
      </c>
      <c r="I522" s="77" t="str">
        <f t="shared" si="77"/>
        <v/>
      </c>
    </row>
    <row r="523" spans="1:9" x14ac:dyDescent="0.25">
      <c r="A523" s="203" t="str">
        <f>IF(DATA!M453="","",DATA!M453)</f>
        <v/>
      </c>
      <c r="B523" s="203" t="str">
        <f>IF(DATA!N453="","",DATA!N453)</f>
        <v/>
      </c>
      <c r="C523" s="203" t="str">
        <f>IF(DATA!O453="","",DATA!O453)</f>
        <v/>
      </c>
      <c r="D523" s="203" t="str">
        <f>IF(DATA!P453="","",DATA!P453)</f>
        <v/>
      </c>
      <c r="E523" s="13"/>
      <c r="F523" s="5" t="str">
        <f t="shared" si="76"/>
        <v/>
      </c>
      <c r="G523" s="1"/>
      <c r="H523" s="77">
        <f>IF(G523="",0,VLOOKUP(G523,REFCE!A:D,2,FALSE))</f>
        <v>0</v>
      </c>
      <c r="I523" s="77" t="str">
        <f t="shared" si="77"/>
        <v/>
      </c>
    </row>
    <row r="524" spans="1:9" x14ac:dyDescent="0.25">
      <c r="A524" s="203" t="str">
        <f>IF(DATA!M454="","",DATA!M454)</f>
        <v/>
      </c>
      <c r="B524" s="203" t="str">
        <f>IF(DATA!N454="","",DATA!N454)</f>
        <v/>
      </c>
      <c r="C524" s="203" t="str">
        <f>IF(DATA!O454="","",DATA!O454)</f>
        <v/>
      </c>
      <c r="D524" s="203" t="str">
        <f>IF(DATA!P454="","",DATA!P454)</f>
        <v/>
      </c>
      <c r="E524" s="13"/>
      <c r="F524" s="5" t="str">
        <f t="shared" si="76"/>
        <v/>
      </c>
      <c r="G524" s="1"/>
      <c r="H524" s="77">
        <f>IF(G524="",0,VLOOKUP(G524,REFCE!A:D,2,FALSE))</f>
        <v>0</v>
      </c>
      <c r="I524" s="77" t="str">
        <f t="shared" si="77"/>
        <v/>
      </c>
    </row>
    <row r="525" spans="1:9" x14ac:dyDescent="0.25">
      <c r="A525" s="203" t="str">
        <f>IF(DATA!M455="","",DATA!M455)</f>
        <v/>
      </c>
      <c r="B525" s="203" t="str">
        <f>IF(DATA!N455="","",DATA!N455)</f>
        <v/>
      </c>
      <c r="C525" s="203" t="str">
        <f>IF(DATA!O455="","",DATA!O455)</f>
        <v/>
      </c>
      <c r="D525" s="203" t="str">
        <f>IF(DATA!P455="","",DATA!P455)</f>
        <v/>
      </c>
      <c r="E525" s="13"/>
      <c r="F525" s="5" t="str">
        <f t="shared" si="76"/>
        <v/>
      </c>
      <c r="G525" s="1"/>
      <c r="H525" s="77">
        <f>IF(G525="",0,VLOOKUP(G525,REFCE!A:D,2,FALSE))</f>
        <v>0</v>
      </c>
      <c r="I525" s="77" t="str">
        <f t="shared" si="77"/>
        <v/>
      </c>
    </row>
    <row r="526" spans="1:9" x14ac:dyDescent="0.25">
      <c r="A526" s="203" t="str">
        <f>IF(DATA!M456="","",DATA!M456)</f>
        <v/>
      </c>
      <c r="B526" s="203" t="str">
        <f>IF(DATA!N456="","",DATA!N456)</f>
        <v/>
      </c>
      <c r="C526" s="203" t="str">
        <f>IF(DATA!O456="","",DATA!O456)</f>
        <v/>
      </c>
      <c r="D526" s="203" t="str">
        <f>IF(DATA!P456="","",DATA!P456)</f>
        <v/>
      </c>
      <c r="E526" s="13"/>
      <c r="F526" s="5" t="str">
        <f t="shared" ref="F526:F589" si="78">IF(D526="","",D526*E526)</f>
        <v/>
      </c>
      <c r="G526" s="1"/>
      <c r="H526" s="77">
        <f>IF(G526="",0,VLOOKUP(G526,REFCE!A:D,2,FALSE))</f>
        <v>0</v>
      </c>
      <c r="I526" s="77" t="str">
        <f t="shared" ref="I526:I589" si="79">IF(F526="","",F526*H526)</f>
        <v/>
      </c>
    </row>
    <row r="527" spans="1:9" x14ac:dyDescent="0.25">
      <c r="A527" s="203" t="str">
        <f>IF(DATA!M457="","",DATA!M457)</f>
        <v/>
      </c>
      <c r="B527" s="203" t="str">
        <f>IF(DATA!N457="","",DATA!N457)</f>
        <v/>
      </c>
      <c r="C527" s="203" t="str">
        <f>IF(DATA!O457="","",DATA!O457)</f>
        <v/>
      </c>
      <c r="D527" s="203" t="str">
        <f>IF(DATA!P457="","",DATA!P457)</f>
        <v/>
      </c>
      <c r="E527" s="13"/>
      <c r="F527" s="5" t="str">
        <f t="shared" si="78"/>
        <v/>
      </c>
      <c r="G527" s="1"/>
      <c r="H527" s="77">
        <f>IF(G527="",0,VLOOKUP(G527,REFCE!A:D,2,FALSE))</f>
        <v>0</v>
      </c>
      <c r="I527" s="77" t="str">
        <f t="shared" si="79"/>
        <v/>
      </c>
    </row>
    <row r="528" spans="1:9" x14ac:dyDescent="0.25">
      <c r="A528" s="203" t="str">
        <f>IF(DATA!M458="","",DATA!M458)</f>
        <v/>
      </c>
      <c r="B528" s="203" t="str">
        <f>IF(DATA!N458="","",DATA!N458)</f>
        <v/>
      </c>
      <c r="C528" s="203" t="str">
        <f>IF(DATA!O458="","",DATA!O458)</f>
        <v/>
      </c>
      <c r="D528" s="203" t="str">
        <f>IF(DATA!P458="","",DATA!P458)</f>
        <v/>
      </c>
      <c r="E528" s="13"/>
      <c r="F528" s="5" t="str">
        <f t="shared" si="78"/>
        <v/>
      </c>
      <c r="G528" s="1"/>
      <c r="H528" s="77">
        <f>IF(G528="",0,VLOOKUP(G528,REFCE!A:D,2,FALSE))</f>
        <v>0</v>
      </c>
      <c r="I528" s="77" t="str">
        <f t="shared" si="79"/>
        <v/>
      </c>
    </row>
    <row r="529" spans="1:9" x14ac:dyDescent="0.25">
      <c r="A529" s="203" t="str">
        <f>IF(DATA!M459="","",DATA!M459)</f>
        <v/>
      </c>
      <c r="B529" s="203" t="str">
        <f>IF(DATA!N459="","",DATA!N459)</f>
        <v/>
      </c>
      <c r="C529" s="203" t="str">
        <f>IF(DATA!O459="","",DATA!O459)</f>
        <v/>
      </c>
      <c r="D529" s="203" t="str">
        <f>IF(DATA!P459="","",DATA!P459)</f>
        <v/>
      </c>
      <c r="E529" s="13"/>
      <c r="F529" s="5" t="str">
        <f t="shared" si="78"/>
        <v/>
      </c>
      <c r="G529" s="1"/>
      <c r="H529" s="77">
        <f>IF(G529="",0,VLOOKUP(G529,REFCE!A:D,2,FALSE))</f>
        <v>0</v>
      </c>
      <c r="I529" s="77" t="str">
        <f t="shared" si="79"/>
        <v/>
      </c>
    </row>
    <row r="530" spans="1:9" x14ac:dyDescent="0.25">
      <c r="A530" s="203" t="str">
        <f>IF(DATA!M460="","",DATA!M460)</f>
        <v/>
      </c>
      <c r="B530" s="203" t="str">
        <f>IF(DATA!N460="","",DATA!N460)</f>
        <v/>
      </c>
      <c r="C530" s="203" t="str">
        <f>IF(DATA!O460="","",DATA!O460)</f>
        <v/>
      </c>
      <c r="D530" s="203" t="str">
        <f>IF(DATA!P460="","",DATA!P460)</f>
        <v/>
      </c>
      <c r="E530" s="13"/>
      <c r="F530" s="5" t="str">
        <f t="shared" si="78"/>
        <v/>
      </c>
      <c r="G530" s="1"/>
      <c r="H530" s="77">
        <f>IF(G530="",0,VLOOKUP(G530,REFCE!A:D,2,FALSE))</f>
        <v>0</v>
      </c>
      <c r="I530" s="77" t="str">
        <f t="shared" si="79"/>
        <v/>
      </c>
    </row>
    <row r="531" spans="1:9" x14ac:dyDescent="0.25">
      <c r="A531" s="203" t="str">
        <f>IF(DATA!M461="","",DATA!M461)</f>
        <v/>
      </c>
      <c r="B531" s="203" t="str">
        <f>IF(DATA!N461="","",DATA!N461)</f>
        <v/>
      </c>
      <c r="C531" s="203" t="str">
        <f>IF(DATA!O461="","",DATA!O461)</f>
        <v/>
      </c>
      <c r="D531" s="203" t="str">
        <f>IF(DATA!P461="","",DATA!P461)</f>
        <v/>
      </c>
      <c r="E531" s="13"/>
      <c r="F531" s="5" t="str">
        <f t="shared" si="78"/>
        <v/>
      </c>
      <c r="G531" s="1"/>
      <c r="H531" s="77">
        <f>IF(G531="",0,VLOOKUP(G531,REFCE!A:D,2,FALSE))</f>
        <v>0</v>
      </c>
      <c r="I531" s="77" t="str">
        <f t="shared" si="79"/>
        <v/>
      </c>
    </row>
    <row r="532" spans="1:9" x14ac:dyDescent="0.25">
      <c r="A532" s="203" t="str">
        <f>IF(DATA!M462="","",DATA!M462)</f>
        <v/>
      </c>
      <c r="B532" s="203" t="str">
        <f>IF(DATA!N462="","",DATA!N462)</f>
        <v/>
      </c>
      <c r="C532" s="203" t="str">
        <f>IF(DATA!O462="","",DATA!O462)</f>
        <v/>
      </c>
      <c r="D532" s="203" t="str">
        <f>IF(DATA!P462="","",DATA!P462)</f>
        <v/>
      </c>
      <c r="E532" s="13"/>
      <c r="F532" s="5" t="str">
        <f t="shared" si="78"/>
        <v/>
      </c>
      <c r="G532" s="1"/>
      <c r="H532" s="77">
        <f>IF(G532="",0,VLOOKUP(G532,REFCE!A:D,2,FALSE))</f>
        <v>0</v>
      </c>
      <c r="I532" s="77" t="str">
        <f t="shared" si="79"/>
        <v/>
      </c>
    </row>
    <row r="533" spans="1:9" x14ac:dyDescent="0.25">
      <c r="A533" s="203" t="str">
        <f>IF(DATA!M463="","",DATA!M463)</f>
        <v/>
      </c>
      <c r="B533" s="203" t="str">
        <f>IF(DATA!N463="","",DATA!N463)</f>
        <v/>
      </c>
      <c r="C533" s="203" t="str">
        <f>IF(DATA!O463="","",DATA!O463)</f>
        <v/>
      </c>
      <c r="D533" s="203" t="str">
        <f>IF(DATA!P463="","",DATA!P463)</f>
        <v/>
      </c>
      <c r="E533" s="13"/>
      <c r="F533" s="5" t="str">
        <f t="shared" si="78"/>
        <v/>
      </c>
      <c r="G533" s="1"/>
      <c r="H533" s="77">
        <f>IF(G533="",0,VLOOKUP(G533,REFCE!A:D,2,FALSE))</f>
        <v>0</v>
      </c>
      <c r="I533" s="77" t="str">
        <f t="shared" si="79"/>
        <v/>
      </c>
    </row>
    <row r="534" spans="1:9" x14ac:dyDescent="0.25">
      <c r="A534" s="203" t="str">
        <f>IF(DATA!M464="","",DATA!M464)</f>
        <v/>
      </c>
      <c r="B534" s="203" t="str">
        <f>IF(DATA!N464="","",DATA!N464)</f>
        <v/>
      </c>
      <c r="C534" s="203" t="str">
        <f>IF(DATA!O464="","",DATA!O464)</f>
        <v/>
      </c>
      <c r="D534" s="203" t="str">
        <f>IF(DATA!P464="","",DATA!P464)</f>
        <v/>
      </c>
      <c r="E534" s="13"/>
      <c r="F534" s="5" t="str">
        <f t="shared" si="78"/>
        <v/>
      </c>
      <c r="G534" s="1"/>
      <c r="H534" s="77">
        <f>IF(G534="",0,VLOOKUP(G534,REFCE!A:D,2,FALSE))</f>
        <v>0</v>
      </c>
      <c r="I534" s="77" t="str">
        <f t="shared" si="79"/>
        <v/>
      </c>
    </row>
    <row r="535" spans="1:9" x14ac:dyDescent="0.25">
      <c r="A535" s="203" t="str">
        <f>IF(DATA!M465="","",DATA!M465)</f>
        <v/>
      </c>
      <c r="B535" s="203" t="str">
        <f>IF(DATA!N465="","",DATA!N465)</f>
        <v/>
      </c>
      <c r="C535" s="203" t="str">
        <f>IF(DATA!O465="","",DATA!O465)</f>
        <v/>
      </c>
      <c r="D535" s="203" t="str">
        <f>IF(DATA!P465="","",DATA!P465)</f>
        <v/>
      </c>
      <c r="E535" s="13"/>
      <c r="F535" s="5" t="str">
        <f t="shared" si="78"/>
        <v/>
      </c>
      <c r="G535" s="1"/>
      <c r="H535" s="77">
        <f>IF(G535="",0,VLOOKUP(G535,REFCE!A:D,2,FALSE))</f>
        <v>0</v>
      </c>
      <c r="I535" s="77" t="str">
        <f t="shared" si="79"/>
        <v/>
      </c>
    </row>
    <row r="536" spans="1:9" x14ac:dyDescent="0.25">
      <c r="A536" s="203" t="str">
        <f>IF(DATA!M466="","",DATA!M466)</f>
        <v/>
      </c>
      <c r="B536" s="203" t="str">
        <f>IF(DATA!N466="","",DATA!N466)</f>
        <v/>
      </c>
      <c r="C536" s="203" t="str">
        <f>IF(DATA!O466="","",DATA!O466)</f>
        <v/>
      </c>
      <c r="D536" s="203" t="str">
        <f>IF(DATA!P466="","",DATA!P466)</f>
        <v/>
      </c>
      <c r="E536" s="13"/>
      <c r="F536" s="5" t="str">
        <f t="shared" si="78"/>
        <v/>
      </c>
      <c r="G536" s="1"/>
      <c r="H536" s="77">
        <f>IF(G536="",0,VLOOKUP(G536,REFCE!A:D,2,FALSE))</f>
        <v>0</v>
      </c>
      <c r="I536" s="77" t="str">
        <f t="shared" si="79"/>
        <v/>
      </c>
    </row>
    <row r="537" spans="1:9" x14ac:dyDescent="0.25">
      <c r="A537" s="203" t="str">
        <f>IF(DATA!M467="","",DATA!M467)</f>
        <v/>
      </c>
      <c r="B537" s="203" t="str">
        <f>IF(DATA!N467="","",DATA!N467)</f>
        <v/>
      </c>
      <c r="C537" s="203" t="str">
        <f>IF(DATA!O467="","",DATA!O467)</f>
        <v/>
      </c>
      <c r="D537" s="203" t="str">
        <f>IF(DATA!P467="","",DATA!P467)</f>
        <v/>
      </c>
      <c r="E537" s="13"/>
      <c r="F537" s="5" t="str">
        <f t="shared" si="78"/>
        <v/>
      </c>
      <c r="G537" s="1"/>
      <c r="H537" s="77">
        <f>IF(G537="",0,VLOOKUP(G537,REFCE!A:D,2,FALSE))</f>
        <v>0</v>
      </c>
      <c r="I537" s="77" t="str">
        <f t="shared" si="79"/>
        <v/>
      </c>
    </row>
    <row r="538" spans="1:9" x14ac:dyDescent="0.25">
      <c r="A538" s="203" t="str">
        <f>IF(DATA!M468="","",DATA!M468)</f>
        <v/>
      </c>
      <c r="B538" s="203" t="str">
        <f>IF(DATA!N468="","",DATA!N468)</f>
        <v/>
      </c>
      <c r="C538" s="203" t="str">
        <f>IF(DATA!O468="","",DATA!O468)</f>
        <v/>
      </c>
      <c r="D538" s="203" t="str">
        <f>IF(DATA!P468="","",DATA!P468)</f>
        <v/>
      </c>
      <c r="E538" s="13"/>
      <c r="F538" s="5" t="str">
        <f t="shared" si="78"/>
        <v/>
      </c>
      <c r="G538" s="1"/>
      <c r="H538" s="77">
        <f>IF(G538="",0,VLOOKUP(G538,REFCE!A:D,2,FALSE))</f>
        <v>0</v>
      </c>
      <c r="I538" s="77" t="str">
        <f t="shared" si="79"/>
        <v/>
      </c>
    </row>
    <row r="539" spans="1:9" x14ac:dyDescent="0.25">
      <c r="A539" s="203" t="str">
        <f>IF(DATA!M469="","",DATA!M469)</f>
        <v/>
      </c>
      <c r="B539" s="203" t="str">
        <f>IF(DATA!N469="","",DATA!N469)</f>
        <v/>
      </c>
      <c r="C539" s="203" t="str">
        <f>IF(DATA!O469="","",DATA!O469)</f>
        <v/>
      </c>
      <c r="D539" s="203" t="str">
        <f>IF(DATA!P469="","",DATA!P469)</f>
        <v/>
      </c>
      <c r="E539" s="13"/>
      <c r="F539" s="5" t="str">
        <f t="shared" si="78"/>
        <v/>
      </c>
      <c r="G539" s="1"/>
      <c r="H539" s="77">
        <f>IF(G539="",0,VLOOKUP(G539,REFCE!A:D,2,FALSE))</f>
        <v>0</v>
      </c>
      <c r="I539" s="77" t="str">
        <f t="shared" si="79"/>
        <v/>
      </c>
    </row>
    <row r="540" spans="1:9" x14ac:dyDescent="0.25">
      <c r="A540" s="203" t="str">
        <f>IF(DATA!M470="","",DATA!M470)</f>
        <v/>
      </c>
      <c r="B540" s="203" t="str">
        <f>IF(DATA!N470="","",DATA!N470)</f>
        <v/>
      </c>
      <c r="C540" s="203" t="str">
        <f>IF(DATA!O470="","",DATA!O470)</f>
        <v/>
      </c>
      <c r="D540" s="203" t="str">
        <f>IF(DATA!P470="","",DATA!P470)</f>
        <v/>
      </c>
      <c r="E540" s="13"/>
      <c r="F540" s="5" t="str">
        <f t="shared" si="78"/>
        <v/>
      </c>
      <c r="G540" s="1"/>
      <c r="H540" s="77">
        <f>IF(G540="",0,VLOOKUP(G540,REFCE!A:D,2,FALSE))</f>
        <v>0</v>
      </c>
      <c r="I540" s="77" t="str">
        <f t="shared" si="79"/>
        <v/>
      </c>
    </row>
    <row r="541" spans="1:9" x14ac:dyDescent="0.25">
      <c r="A541" s="203" t="str">
        <f>IF(DATA!M471="","",DATA!M471)</f>
        <v/>
      </c>
      <c r="B541" s="203" t="str">
        <f>IF(DATA!N471="","",DATA!N471)</f>
        <v/>
      </c>
      <c r="C541" s="203" t="str">
        <f>IF(DATA!O471="","",DATA!O471)</f>
        <v/>
      </c>
      <c r="D541" s="203" t="str">
        <f>IF(DATA!P471="","",DATA!P471)</f>
        <v/>
      </c>
      <c r="E541" s="13"/>
      <c r="F541" s="5" t="str">
        <f t="shared" si="78"/>
        <v/>
      </c>
      <c r="G541" s="1"/>
      <c r="H541" s="77">
        <f>IF(G541="",0,VLOOKUP(G541,REFCE!A:D,2,FALSE))</f>
        <v>0</v>
      </c>
      <c r="I541" s="77" t="str">
        <f t="shared" si="79"/>
        <v/>
      </c>
    </row>
    <row r="542" spans="1:9" x14ac:dyDescent="0.25">
      <c r="A542" s="203" t="str">
        <f>IF(DATA!M472="","",DATA!M472)</f>
        <v/>
      </c>
      <c r="B542" s="203" t="str">
        <f>IF(DATA!N472="","",DATA!N472)</f>
        <v/>
      </c>
      <c r="C542" s="203" t="str">
        <f>IF(DATA!O472="","",DATA!O472)</f>
        <v/>
      </c>
      <c r="D542" s="203" t="str">
        <f>IF(DATA!P472="","",DATA!P472)</f>
        <v/>
      </c>
      <c r="E542" s="13"/>
      <c r="F542" s="5" t="str">
        <f t="shared" si="78"/>
        <v/>
      </c>
      <c r="G542" s="1"/>
      <c r="H542" s="77">
        <f>IF(G542="",0,VLOOKUP(G542,REFCE!A:D,2,FALSE))</f>
        <v>0</v>
      </c>
      <c r="I542" s="77" t="str">
        <f t="shared" si="79"/>
        <v/>
      </c>
    </row>
    <row r="543" spans="1:9" x14ac:dyDescent="0.25">
      <c r="A543" s="203" t="str">
        <f>IF(DATA!M473="","",DATA!M473)</f>
        <v/>
      </c>
      <c r="B543" s="203" t="str">
        <f>IF(DATA!N473="","",DATA!N473)</f>
        <v/>
      </c>
      <c r="C543" s="203" t="str">
        <f>IF(DATA!O473="","",DATA!O473)</f>
        <v/>
      </c>
      <c r="D543" s="203" t="str">
        <f>IF(DATA!P473="","",DATA!P473)</f>
        <v/>
      </c>
      <c r="E543" s="13"/>
      <c r="F543" s="5" t="str">
        <f t="shared" si="78"/>
        <v/>
      </c>
      <c r="G543" s="1"/>
      <c r="H543" s="77">
        <f>IF(G543="",0,VLOOKUP(G543,REFCE!A:D,2,FALSE))</f>
        <v>0</v>
      </c>
      <c r="I543" s="77" t="str">
        <f t="shared" si="79"/>
        <v/>
      </c>
    </row>
    <row r="544" spans="1:9" x14ac:dyDescent="0.25">
      <c r="A544" s="203" t="str">
        <f>IF(DATA!M474="","",DATA!M474)</f>
        <v/>
      </c>
      <c r="B544" s="203" t="str">
        <f>IF(DATA!N474="","",DATA!N474)</f>
        <v/>
      </c>
      <c r="C544" s="203" t="str">
        <f>IF(DATA!O474="","",DATA!O474)</f>
        <v/>
      </c>
      <c r="D544" s="203" t="str">
        <f>IF(DATA!P474="","",DATA!P474)</f>
        <v/>
      </c>
      <c r="E544" s="13"/>
      <c r="F544" s="5" t="str">
        <f t="shared" si="78"/>
        <v/>
      </c>
      <c r="G544" s="1"/>
      <c r="H544" s="77">
        <f>IF(G544="",0,VLOOKUP(G544,REFCE!A:D,2,FALSE))</f>
        <v>0</v>
      </c>
      <c r="I544" s="77" t="str">
        <f t="shared" si="79"/>
        <v/>
      </c>
    </row>
    <row r="545" spans="1:9" x14ac:dyDescent="0.25">
      <c r="A545" s="203" t="str">
        <f>IF(DATA!M475="","",DATA!M475)</f>
        <v/>
      </c>
      <c r="B545" s="203" t="str">
        <f>IF(DATA!N475="","",DATA!N475)</f>
        <v/>
      </c>
      <c r="C545" s="203" t="str">
        <f>IF(DATA!O475="","",DATA!O475)</f>
        <v/>
      </c>
      <c r="D545" s="203" t="str">
        <f>IF(DATA!P475="","",DATA!P475)</f>
        <v/>
      </c>
      <c r="E545" s="13"/>
      <c r="F545" s="5" t="str">
        <f t="shared" si="78"/>
        <v/>
      </c>
      <c r="G545" s="1"/>
      <c r="H545" s="77">
        <f>IF(G545="",0,VLOOKUP(G545,REFCE!A:D,2,FALSE))</f>
        <v>0</v>
      </c>
      <c r="I545" s="77" t="str">
        <f t="shared" si="79"/>
        <v/>
      </c>
    </row>
    <row r="546" spans="1:9" x14ac:dyDescent="0.25">
      <c r="A546" s="203" t="str">
        <f>IF(DATA!M476="","",DATA!M476)</f>
        <v/>
      </c>
      <c r="B546" s="203" t="str">
        <f>IF(DATA!N476="","",DATA!N476)</f>
        <v/>
      </c>
      <c r="C546" s="203" t="str">
        <f>IF(DATA!O476="","",DATA!O476)</f>
        <v/>
      </c>
      <c r="D546" s="203" t="str">
        <f>IF(DATA!P476="","",DATA!P476)</f>
        <v/>
      </c>
      <c r="E546" s="13"/>
      <c r="F546" s="5" t="str">
        <f t="shared" si="78"/>
        <v/>
      </c>
      <c r="G546" s="1"/>
      <c r="H546" s="77">
        <f>IF(G546="",0,VLOOKUP(G546,REFCE!A:D,2,FALSE))</f>
        <v>0</v>
      </c>
      <c r="I546" s="77" t="str">
        <f t="shared" si="79"/>
        <v/>
      </c>
    </row>
    <row r="547" spans="1:9" x14ac:dyDescent="0.25">
      <c r="A547" s="203" t="str">
        <f>IF(DATA!M477="","",DATA!M477)</f>
        <v/>
      </c>
      <c r="B547" s="203" t="str">
        <f>IF(DATA!N477="","",DATA!N477)</f>
        <v/>
      </c>
      <c r="C547" s="203" t="str">
        <f>IF(DATA!O477="","",DATA!O477)</f>
        <v/>
      </c>
      <c r="D547" s="203" t="str">
        <f>IF(DATA!P477="","",DATA!P477)</f>
        <v/>
      </c>
      <c r="E547" s="13"/>
      <c r="F547" s="5" t="str">
        <f t="shared" si="78"/>
        <v/>
      </c>
      <c r="G547" s="1"/>
      <c r="H547" s="77">
        <f>IF(G547="",0,VLOOKUP(G547,REFCE!A:D,2,FALSE))</f>
        <v>0</v>
      </c>
      <c r="I547" s="77" t="str">
        <f t="shared" si="79"/>
        <v/>
      </c>
    </row>
    <row r="548" spans="1:9" x14ac:dyDescent="0.25">
      <c r="A548" s="203" t="str">
        <f>IF(DATA!M478="","",DATA!M478)</f>
        <v/>
      </c>
      <c r="B548" s="203" t="str">
        <f>IF(DATA!N478="","",DATA!N478)</f>
        <v/>
      </c>
      <c r="C548" s="203" t="str">
        <f>IF(DATA!O478="","",DATA!O478)</f>
        <v/>
      </c>
      <c r="D548" s="203" t="str">
        <f>IF(DATA!P478="","",DATA!P478)</f>
        <v/>
      </c>
      <c r="E548" s="13"/>
      <c r="F548" s="5" t="str">
        <f t="shared" si="78"/>
        <v/>
      </c>
      <c r="G548" s="1"/>
      <c r="H548" s="77">
        <f>IF(G548="",0,VLOOKUP(G548,REFCE!A:D,2,FALSE))</f>
        <v>0</v>
      </c>
      <c r="I548" s="77" t="str">
        <f t="shared" si="79"/>
        <v/>
      </c>
    </row>
    <row r="549" spans="1:9" x14ac:dyDescent="0.25">
      <c r="A549" s="203" t="str">
        <f>IF(DATA!M479="","",DATA!M479)</f>
        <v/>
      </c>
      <c r="B549" s="203" t="str">
        <f>IF(DATA!N479="","",DATA!N479)</f>
        <v/>
      </c>
      <c r="C549" s="203" t="str">
        <f>IF(DATA!O479="","",DATA!O479)</f>
        <v/>
      </c>
      <c r="D549" s="203" t="str">
        <f>IF(DATA!P479="","",DATA!P479)</f>
        <v/>
      </c>
      <c r="E549" s="13"/>
      <c r="F549" s="5" t="str">
        <f t="shared" si="78"/>
        <v/>
      </c>
      <c r="G549" s="1"/>
      <c r="H549" s="77">
        <f>IF(G549="",0,VLOOKUP(G549,REFCE!A:D,2,FALSE))</f>
        <v>0</v>
      </c>
      <c r="I549" s="77" t="str">
        <f t="shared" si="79"/>
        <v/>
      </c>
    </row>
    <row r="550" spans="1:9" x14ac:dyDescent="0.25">
      <c r="A550" s="203" t="str">
        <f>IF(DATA!M480="","",DATA!M480)</f>
        <v/>
      </c>
      <c r="B550" s="203" t="str">
        <f>IF(DATA!N480="","",DATA!N480)</f>
        <v/>
      </c>
      <c r="C550" s="203" t="str">
        <f>IF(DATA!O480="","",DATA!O480)</f>
        <v/>
      </c>
      <c r="D550" s="203" t="str">
        <f>IF(DATA!P480="","",DATA!P480)</f>
        <v/>
      </c>
      <c r="E550" s="13"/>
      <c r="F550" s="5" t="str">
        <f t="shared" si="78"/>
        <v/>
      </c>
      <c r="G550" s="1"/>
      <c r="H550" s="77">
        <f>IF(G550="",0,VLOOKUP(G550,REFCE!A:D,2,FALSE))</f>
        <v>0</v>
      </c>
      <c r="I550" s="77" t="str">
        <f t="shared" si="79"/>
        <v/>
      </c>
    </row>
    <row r="551" spans="1:9" x14ac:dyDescent="0.25">
      <c r="A551" s="203" t="str">
        <f>IF(DATA!M481="","",DATA!M481)</f>
        <v/>
      </c>
      <c r="B551" s="203" t="str">
        <f>IF(DATA!N481="","",DATA!N481)</f>
        <v/>
      </c>
      <c r="C551" s="203" t="str">
        <f>IF(DATA!O481="","",DATA!O481)</f>
        <v/>
      </c>
      <c r="D551" s="203" t="str">
        <f>IF(DATA!P481="","",DATA!P481)</f>
        <v/>
      </c>
      <c r="E551" s="13"/>
      <c r="F551" s="5" t="str">
        <f t="shared" si="78"/>
        <v/>
      </c>
      <c r="G551" s="1"/>
      <c r="H551" s="77">
        <f>IF(G551="",0,VLOOKUP(G551,REFCE!A:D,2,FALSE))</f>
        <v>0</v>
      </c>
      <c r="I551" s="77" t="str">
        <f t="shared" si="79"/>
        <v/>
      </c>
    </row>
    <row r="552" spans="1:9" x14ac:dyDescent="0.25">
      <c r="A552" s="203" t="str">
        <f>IF(DATA!M482="","",DATA!M482)</f>
        <v/>
      </c>
      <c r="B552" s="203" t="str">
        <f>IF(DATA!N482="","",DATA!N482)</f>
        <v/>
      </c>
      <c r="C552" s="203" t="str">
        <f>IF(DATA!O482="","",DATA!O482)</f>
        <v/>
      </c>
      <c r="D552" s="203" t="str">
        <f>IF(DATA!P482="","",DATA!P482)</f>
        <v/>
      </c>
      <c r="E552" s="13"/>
      <c r="F552" s="5" t="str">
        <f t="shared" si="78"/>
        <v/>
      </c>
      <c r="G552" s="1"/>
      <c r="H552" s="77">
        <f>IF(G552="",0,VLOOKUP(G552,REFCE!A:D,2,FALSE))</f>
        <v>0</v>
      </c>
      <c r="I552" s="77" t="str">
        <f t="shared" si="79"/>
        <v/>
      </c>
    </row>
    <row r="553" spans="1:9" x14ac:dyDescent="0.25">
      <c r="A553" s="203" t="str">
        <f>IF(DATA!M483="","",DATA!M483)</f>
        <v/>
      </c>
      <c r="B553" s="203" t="str">
        <f>IF(DATA!N483="","",DATA!N483)</f>
        <v/>
      </c>
      <c r="C553" s="203" t="str">
        <f>IF(DATA!O483="","",DATA!O483)</f>
        <v/>
      </c>
      <c r="D553" s="203" t="str">
        <f>IF(DATA!P483="","",DATA!P483)</f>
        <v/>
      </c>
      <c r="E553" s="13"/>
      <c r="F553" s="5" t="str">
        <f t="shared" si="78"/>
        <v/>
      </c>
      <c r="G553" s="1"/>
      <c r="H553" s="77">
        <f>IF(G553="",0,VLOOKUP(G553,REFCE!A:D,2,FALSE))</f>
        <v>0</v>
      </c>
      <c r="I553" s="77" t="str">
        <f t="shared" si="79"/>
        <v/>
      </c>
    </row>
    <row r="554" spans="1:9" x14ac:dyDescent="0.25">
      <c r="A554" s="203" t="str">
        <f>IF(DATA!M484="","",DATA!M484)</f>
        <v/>
      </c>
      <c r="B554" s="203" t="str">
        <f>IF(DATA!N484="","",DATA!N484)</f>
        <v/>
      </c>
      <c r="C554" s="203" t="str">
        <f>IF(DATA!O484="","",DATA!O484)</f>
        <v/>
      </c>
      <c r="D554" s="203" t="str">
        <f>IF(DATA!P484="","",DATA!P484)</f>
        <v/>
      </c>
      <c r="E554" s="13"/>
      <c r="F554" s="5" t="str">
        <f t="shared" si="78"/>
        <v/>
      </c>
      <c r="G554" s="1"/>
      <c r="H554" s="77">
        <f>IF(G554="",0,VLOOKUP(G554,REFCE!A:D,2,FALSE))</f>
        <v>0</v>
      </c>
      <c r="I554" s="77" t="str">
        <f t="shared" si="79"/>
        <v/>
      </c>
    </row>
    <row r="555" spans="1:9" x14ac:dyDescent="0.25">
      <c r="A555" s="203" t="str">
        <f>IF(DATA!M485="","",DATA!M485)</f>
        <v/>
      </c>
      <c r="B555" s="203" t="str">
        <f>IF(DATA!N485="","",DATA!N485)</f>
        <v/>
      </c>
      <c r="C555" s="203" t="str">
        <f>IF(DATA!O485="","",DATA!O485)</f>
        <v/>
      </c>
      <c r="D555" s="203" t="str">
        <f>IF(DATA!P485="","",DATA!P485)</f>
        <v/>
      </c>
      <c r="E555" s="13"/>
      <c r="F555" s="5" t="str">
        <f t="shared" si="78"/>
        <v/>
      </c>
      <c r="G555" s="1"/>
      <c r="H555" s="77">
        <f>IF(G555="",0,VLOOKUP(G555,REFCE!A:D,2,FALSE))</f>
        <v>0</v>
      </c>
      <c r="I555" s="77" t="str">
        <f t="shared" si="79"/>
        <v/>
      </c>
    </row>
    <row r="556" spans="1:9" x14ac:dyDescent="0.25">
      <c r="A556" s="203" t="str">
        <f>IF(DATA!M486="","",DATA!M486)</f>
        <v/>
      </c>
      <c r="B556" s="203" t="str">
        <f>IF(DATA!N486="","",DATA!N486)</f>
        <v/>
      </c>
      <c r="C556" s="203" t="str">
        <f>IF(DATA!O486="","",DATA!O486)</f>
        <v/>
      </c>
      <c r="D556" s="203" t="str">
        <f>IF(DATA!P486="","",DATA!P486)</f>
        <v/>
      </c>
      <c r="E556" s="13"/>
      <c r="F556" s="5" t="str">
        <f t="shared" si="78"/>
        <v/>
      </c>
      <c r="G556" s="1"/>
      <c r="H556" s="77">
        <f>IF(G556="",0,VLOOKUP(G556,REFCE!A:D,2,FALSE))</f>
        <v>0</v>
      </c>
      <c r="I556" s="77" t="str">
        <f t="shared" si="79"/>
        <v/>
      </c>
    </row>
    <row r="557" spans="1:9" x14ac:dyDescent="0.25">
      <c r="A557" s="203" t="str">
        <f>IF(DATA!M487="","",DATA!M487)</f>
        <v/>
      </c>
      <c r="B557" s="203" t="str">
        <f>IF(DATA!N487="","",DATA!N487)</f>
        <v/>
      </c>
      <c r="C557" s="203" t="str">
        <f>IF(DATA!O487="","",DATA!O487)</f>
        <v/>
      </c>
      <c r="D557" s="203" t="str">
        <f>IF(DATA!P487="","",DATA!P487)</f>
        <v/>
      </c>
      <c r="E557" s="13"/>
      <c r="F557" s="5" t="str">
        <f t="shared" si="78"/>
        <v/>
      </c>
      <c r="G557" s="1"/>
      <c r="H557" s="77">
        <f>IF(G557="",0,VLOOKUP(G557,REFCE!A:D,2,FALSE))</f>
        <v>0</v>
      </c>
      <c r="I557" s="77" t="str">
        <f t="shared" si="79"/>
        <v/>
      </c>
    </row>
    <row r="558" spans="1:9" x14ac:dyDescent="0.25">
      <c r="A558" s="203" t="str">
        <f>IF(DATA!M488="","",DATA!M488)</f>
        <v/>
      </c>
      <c r="B558" s="203" t="str">
        <f>IF(DATA!N488="","",DATA!N488)</f>
        <v/>
      </c>
      <c r="C558" s="203" t="str">
        <f>IF(DATA!O488="","",DATA!O488)</f>
        <v/>
      </c>
      <c r="D558" s="203" t="str">
        <f>IF(DATA!P488="","",DATA!P488)</f>
        <v/>
      </c>
      <c r="E558" s="13"/>
      <c r="F558" s="5" t="str">
        <f t="shared" si="78"/>
        <v/>
      </c>
      <c r="G558" s="1"/>
      <c r="H558" s="77">
        <f>IF(G558="",0,VLOOKUP(G558,REFCE!A:D,2,FALSE))</f>
        <v>0</v>
      </c>
      <c r="I558" s="77" t="str">
        <f t="shared" si="79"/>
        <v/>
      </c>
    </row>
    <row r="559" spans="1:9" x14ac:dyDescent="0.25">
      <c r="A559" s="203" t="str">
        <f>IF(DATA!M489="","",DATA!M489)</f>
        <v/>
      </c>
      <c r="B559" s="203" t="str">
        <f>IF(DATA!N489="","",DATA!N489)</f>
        <v/>
      </c>
      <c r="C559" s="203" t="str">
        <f>IF(DATA!O489="","",DATA!O489)</f>
        <v/>
      </c>
      <c r="D559" s="203" t="str">
        <f>IF(DATA!P489="","",DATA!P489)</f>
        <v/>
      </c>
      <c r="E559" s="13"/>
      <c r="F559" s="5" t="str">
        <f t="shared" si="78"/>
        <v/>
      </c>
      <c r="G559" s="1"/>
      <c r="H559" s="77">
        <f>IF(G559="",0,VLOOKUP(G559,REFCE!A:D,2,FALSE))</f>
        <v>0</v>
      </c>
      <c r="I559" s="77" t="str">
        <f t="shared" si="79"/>
        <v/>
      </c>
    </row>
    <row r="560" spans="1:9" x14ac:dyDescent="0.25">
      <c r="A560" s="203" t="str">
        <f>IF(DATA!M490="","",DATA!M490)</f>
        <v/>
      </c>
      <c r="B560" s="203" t="str">
        <f>IF(DATA!N490="","",DATA!N490)</f>
        <v/>
      </c>
      <c r="C560" s="203" t="str">
        <f>IF(DATA!O490="","",DATA!O490)</f>
        <v/>
      </c>
      <c r="D560" s="203" t="str">
        <f>IF(DATA!P490="","",DATA!P490)</f>
        <v/>
      </c>
      <c r="E560" s="13"/>
      <c r="F560" s="5" t="str">
        <f t="shared" si="78"/>
        <v/>
      </c>
      <c r="G560" s="1"/>
      <c r="H560" s="77">
        <f>IF(G560="",0,VLOOKUP(G560,REFCE!A:D,2,FALSE))</f>
        <v>0</v>
      </c>
      <c r="I560" s="77" t="str">
        <f t="shared" si="79"/>
        <v/>
      </c>
    </row>
    <row r="561" spans="1:9" x14ac:dyDescent="0.25">
      <c r="A561" s="203" t="str">
        <f>IF(DATA!M491="","",DATA!M491)</f>
        <v/>
      </c>
      <c r="B561" s="203" t="str">
        <f>IF(DATA!N491="","",DATA!N491)</f>
        <v/>
      </c>
      <c r="C561" s="203" t="str">
        <f>IF(DATA!O491="","",DATA!O491)</f>
        <v/>
      </c>
      <c r="D561" s="203" t="str">
        <f>IF(DATA!P491="","",DATA!P491)</f>
        <v/>
      </c>
      <c r="E561" s="13"/>
      <c r="F561" s="5" t="str">
        <f t="shared" si="78"/>
        <v/>
      </c>
      <c r="G561" s="1"/>
      <c r="H561" s="77">
        <f>IF(G561="",0,VLOOKUP(G561,REFCE!A:D,2,FALSE))</f>
        <v>0</v>
      </c>
      <c r="I561" s="77" t="str">
        <f t="shared" si="79"/>
        <v/>
      </c>
    </row>
    <row r="562" spans="1:9" x14ac:dyDescent="0.25">
      <c r="A562" s="203" t="str">
        <f>IF(DATA!M492="","",DATA!M492)</f>
        <v/>
      </c>
      <c r="B562" s="203" t="str">
        <f>IF(DATA!N492="","",DATA!N492)</f>
        <v/>
      </c>
      <c r="C562" s="203" t="str">
        <f>IF(DATA!O492="","",DATA!O492)</f>
        <v/>
      </c>
      <c r="D562" s="203" t="str">
        <f>IF(DATA!P492="","",DATA!P492)</f>
        <v/>
      </c>
      <c r="E562" s="13"/>
      <c r="F562" s="5" t="str">
        <f t="shared" si="78"/>
        <v/>
      </c>
      <c r="G562" s="1"/>
      <c r="H562" s="77">
        <f>IF(G562="",0,VLOOKUP(G562,REFCE!A:D,2,FALSE))</f>
        <v>0</v>
      </c>
      <c r="I562" s="77" t="str">
        <f t="shared" si="79"/>
        <v/>
      </c>
    </row>
    <row r="563" spans="1:9" x14ac:dyDescent="0.25">
      <c r="A563" s="203" t="str">
        <f>IF(DATA!M493="","",DATA!M493)</f>
        <v/>
      </c>
      <c r="B563" s="203" t="str">
        <f>IF(DATA!N493="","",DATA!N493)</f>
        <v/>
      </c>
      <c r="C563" s="203" t="str">
        <f>IF(DATA!O493="","",DATA!O493)</f>
        <v/>
      </c>
      <c r="D563" s="203" t="str">
        <f>IF(DATA!P493="","",DATA!P493)</f>
        <v/>
      </c>
      <c r="E563" s="13"/>
      <c r="F563" s="5" t="str">
        <f t="shared" si="78"/>
        <v/>
      </c>
      <c r="G563" s="1"/>
      <c r="H563" s="77">
        <f>IF(G563="",0,VLOOKUP(G563,REFCE!A:D,2,FALSE))</f>
        <v>0</v>
      </c>
      <c r="I563" s="77" t="str">
        <f t="shared" si="79"/>
        <v/>
      </c>
    </row>
    <row r="564" spans="1:9" x14ac:dyDescent="0.25">
      <c r="A564" s="203" t="str">
        <f>IF(DATA!M494="","",DATA!M494)</f>
        <v/>
      </c>
      <c r="B564" s="203" t="str">
        <f>IF(DATA!N494="","",DATA!N494)</f>
        <v/>
      </c>
      <c r="C564" s="203" t="str">
        <f>IF(DATA!O494="","",DATA!O494)</f>
        <v/>
      </c>
      <c r="D564" s="203" t="str">
        <f>IF(DATA!P494="","",DATA!P494)</f>
        <v/>
      </c>
      <c r="E564" s="13"/>
      <c r="F564" s="5" t="str">
        <f t="shared" si="78"/>
        <v/>
      </c>
      <c r="G564" s="1"/>
      <c r="H564" s="77">
        <f>IF(G564="",0,VLOOKUP(G564,REFCE!A:D,2,FALSE))</f>
        <v>0</v>
      </c>
      <c r="I564" s="77" t="str">
        <f t="shared" si="79"/>
        <v/>
      </c>
    </row>
    <row r="565" spans="1:9" x14ac:dyDescent="0.25">
      <c r="A565" s="203" t="str">
        <f>IF(DATA!M495="","",DATA!M495)</f>
        <v/>
      </c>
      <c r="B565" s="203" t="str">
        <f>IF(DATA!N495="","",DATA!N495)</f>
        <v/>
      </c>
      <c r="C565" s="203" t="str">
        <f>IF(DATA!O495="","",DATA!O495)</f>
        <v/>
      </c>
      <c r="D565" s="203" t="str">
        <f>IF(DATA!P495="","",DATA!P495)</f>
        <v/>
      </c>
      <c r="E565" s="13"/>
      <c r="F565" s="5" t="str">
        <f t="shared" si="78"/>
        <v/>
      </c>
      <c r="G565" s="1"/>
      <c r="H565" s="77">
        <f>IF(G565="",0,VLOOKUP(G565,REFCE!A:D,2,FALSE))</f>
        <v>0</v>
      </c>
      <c r="I565" s="77" t="str">
        <f t="shared" si="79"/>
        <v/>
      </c>
    </row>
    <row r="566" spans="1:9" x14ac:dyDescent="0.25">
      <c r="A566" s="203" t="str">
        <f>IF(DATA!M496="","",DATA!M496)</f>
        <v/>
      </c>
      <c r="B566" s="203" t="str">
        <f>IF(DATA!N496="","",DATA!N496)</f>
        <v/>
      </c>
      <c r="C566" s="203" t="str">
        <f>IF(DATA!O496="","",DATA!O496)</f>
        <v/>
      </c>
      <c r="D566" s="203" t="str">
        <f>IF(DATA!P496="","",DATA!P496)</f>
        <v/>
      </c>
      <c r="E566" s="13"/>
      <c r="F566" s="5" t="str">
        <f t="shared" si="78"/>
        <v/>
      </c>
      <c r="G566" s="1"/>
      <c r="H566" s="77">
        <f>IF(G566="",0,VLOOKUP(G566,REFCE!A:D,2,FALSE))</f>
        <v>0</v>
      </c>
      <c r="I566" s="77" t="str">
        <f t="shared" si="79"/>
        <v/>
      </c>
    </row>
    <row r="567" spans="1:9" x14ac:dyDescent="0.25">
      <c r="A567" s="203" t="str">
        <f>IF(DATA!M497="","",DATA!M497)</f>
        <v/>
      </c>
      <c r="B567" s="203" t="str">
        <f>IF(DATA!N497="","",DATA!N497)</f>
        <v/>
      </c>
      <c r="C567" s="203" t="str">
        <f>IF(DATA!O497="","",DATA!O497)</f>
        <v/>
      </c>
      <c r="D567" s="203" t="str">
        <f>IF(DATA!P497="","",DATA!P497)</f>
        <v/>
      </c>
      <c r="E567" s="13"/>
      <c r="F567" s="5" t="str">
        <f t="shared" si="78"/>
        <v/>
      </c>
      <c r="G567" s="1"/>
      <c r="H567" s="77">
        <f>IF(G567="",0,VLOOKUP(G567,REFCE!A:D,2,FALSE))</f>
        <v>0</v>
      </c>
      <c r="I567" s="77" t="str">
        <f t="shared" si="79"/>
        <v/>
      </c>
    </row>
    <row r="568" spans="1:9" x14ac:dyDescent="0.25">
      <c r="A568" s="203" t="str">
        <f>IF(DATA!M498="","",DATA!M498)</f>
        <v/>
      </c>
      <c r="B568" s="203" t="str">
        <f>IF(DATA!N498="","",DATA!N498)</f>
        <v/>
      </c>
      <c r="C568" s="203" t="str">
        <f>IF(DATA!O498="","",DATA!O498)</f>
        <v/>
      </c>
      <c r="D568" s="203" t="str">
        <f>IF(DATA!P498="","",DATA!P498)</f>
        <v/>
      </c>
      <c r="E568" s="13"/>
      <c r="F568" s="5" t="str">
        <f t="shared" si="78"/>
        <v/>
      </c>
      <c r="G568" s="1"/>
      <c r="H568" s="77">
        <f>IF(G568="",0,VLOOKUP(G568,REFCE!A:D,2,FALSE))</f>
        <v>0</v>
      </c>
      <c r="I568" s="77" t="str">
        <f t="shared" si="79"/>
        <v/>
      </c>
    </row>
    <row r="569" spans="1:9" x14ac:dyDescent="0.25">
      <c r="A569" s="203" t="str">
        <f>IF(DATA!M499="","",DATA!M499)</f>
        <v/>
      </c>
      <c r="B569" s="203" t="str">
        <f>IF(DATA!N499="","",DATA!N499)</f>
        <v/>
      </c>
      <c r="C569" s="203" t="str">
        <f>IF(DATA!O499="","",DATA!O499)</f>
        <v/>
      </c>
      <c r="D569" s="203" t="str">
        <f>IF(DATA!P499="","",DATA!P499)</f>
        <v/>
      </c>
      <c r="E569" s="13"/>
      <c r="F569" s="5" t="str">
        <f t="shared" si="78"/>
        <v/>
      </c>
      <c r="G569" s="1"/>
      <c r="H569" s="77">
        <f>IF(G569="",0,VLOOKUP(G569,REFCE!A:D,2,FALSE))</f>
        <v>0</v>
      </c>
      <c r="I569" s="77" t="str">
        <f t="shared" si="79"/>
        <v/>
      </c>
    </row>
    <row r="570" spans="1:9" x14ac:dyDescent="0.25">
      <c r="A570" s="203" t="str">
        <f>IF(DATA!M500="","",DATA!M500)</f>
        <v/>
      </c>
      <c r="B570" s="203" t="str">
        <f>IF(DATA!N500="","",DATA!N500)</f>
        <v/>
      </c>
      <c r="C570" s="203" t="str">
        <f>IF(DATA!O500="","",DATA!O500)</f>
        <v/>
      </c>
      <c r="D570" s="203" t="str">
        <f>IF(DATA!P500="","",DATA!P500)</f>
        <v/>
      </c>
      <c r="E570" s="13"/>
      <c r="F570" s="5" t="str">
        <f t="shared" si="78"/>
        <v/>
      </c>
      <c r="G570" s="1"/>
      <c r="H570" s="77">
        <f>IF(G570="",0,VLOOKUP(G570,REFCE!A:D,2,FALSE))</f>
        <v>0</v>
      </c>
      <c r="I570" s="77" t="str">
        <f t="shared" si="79"/>
        <v/>
      </c>
    </row>
    <row r="571" spans="1:9" x14ac:dyDescent="0.25">
      <c r="A571" s="203" t="str">
        <f>IF(DATA!M501="","",DATA!M501)</f>
        <v/>
      </c>
      <c r="B571" s="203" t="str">
        <f>IF(DATA!N501="","",DATA!N501)</f>
        <v/>
      </c>
      <c r="C571" s="203" t="str">
        <f>IF(DATA!O501="","",DATA!O501)</f>
        <v/>
      </c>
      <c r="D571" s="203" t="str">
        <f>IF(DATA!P501="","",DATA!P501)</f>
        <v/>
      </c>
      <c r="E571" s="13"/>
      <c r="F571" s="5" t="str">
        <f t="shared" si="78"/>
        <v/>
      </c>
      <c r="G571" s="1"/>
      <c r="H571" s="77">
        <f>IF(G571="",0,VLOOKUP(G571,REFCE!A:D,2,FALSE))</f>
        <v>0</v>
      </c>
      <c r="I571" s="77" t="str">
        <f t="shared" si="79"/>
        <v/>
      </c>
    </row>
    <row r="572" spans="1:9" x14ac:dyDescent="0.25">
      <c r="A572" s="203" t="str">
        <f>IF(DATA!M502="","",DATA!M502)</f>
        <v/>
      </c>
      <c r="B572" s="203" t="str">
        <f>IF(DATA!N502="","",DATA!N502)</f>
        <v/>
      </c>
      <c r="C572" s="203" t="str">
        <f>IF(DATA!O502="","",DATA!O502)</f>
        <v/>
      </c>
      <c r="D572" s="203" t="str">
        <f>IF(DATA!P502="","",DATA!P502)</f>
        <v/>
      </c>
      <c r="E572" s="13"/>
      <c r="F572" s="5" t="str">
        <f t="shared" si="78"/>
        <v/>
      </c>
      <c r="G572" s="1"/>
      <c r="H572" s="77">
        <f>IF(G572="",0,VLOOKUP(G572,REFCE!A:D,2,FALSE))</f>
        <v>0</v>
      </c>
      <c r="I572" s="77" t="str">
        <f t="shared" si="79"/>
        <v/>
      </c>
    </row>
    <row r="573" spans="1:9" x14ac:dyDescent="0.25">
      <c r="A573" s="203" t="str">
        <f>IF(DATA!M503="","",DATA!M503)</f>
        <v/>
      </c>
      <c r="B573" s="203" t="str">
        <f>IF(DATA!N503="","",DATA!N503)</f>
        <v/>
      </c>
      <c r="C573" s="203" t="str">
        <f>IF(DATA!O503="","",DATA!O503)</f>
        <v/>
      </c>
      <c r="D573" s="203" t="str">
        <f>IF(DATA!P503="","",DATA!P503)</f>
        <v/>
      </c>
      <c r="E573" s="13"/>
      <c r="F573" s="5" t="str">
        <f t="shared" si="78"/>
        <v/>
      </c>
      <c r="G573" s="1"/>
      <c r="H573" s="77">
        <f>IF(G573="",0,VLOOKUP(G573,REFCE!A:D,2,FALSE))</f>
        <v>0</v>
      </c>
      <c r="I573" s="77" t="str">
        <f t="shared" si="79"/>
        <v/>
      </c>
    </row>
    <row r="574" spans="1:9" x14ac:dyDescent="0.25">
      <c r="A574" s="203" t="str">
        <f>IF(DATA!M504="","",DATA!M504)</f>
        <v/>
      </c>
      <c r="B574" s="203" t="str">
        <f>IF(DATA!N504="","",DATA!N504)</f>
        <v/>
      </c>
      <c r="C574" s="203" t="str">
        <f>IF(DATA!O504="","",DATA!O504)</f>
        <v/>
      </c>
      <c r="D574" s="203" t="str">
        <f>IF(DATA!P504="","",DATA!P504)</f>
        <v/>
      </c>
      <c r="E574" s="13"/>
      <c r="F574" s="5" t="str">
        <f t="shared" si="78"/>
        <v/>
      </c>
      <c r="G574" s="1"/>
      <c r="H574" s="77">
        <f>IF(G574="",0,VLOOKUP(G574,REFCE!A:D,2,FALSE))</f>
        <v>0</v>
      </c>
      <c r="I574" s="77" t="str">
        <f t="shared" si="79"/>
        <v/>
      </c>
    </row>
    <row r="575" spans="1:9" x14ac:dyDescent="0.25">
      <c r="A575" s="203" t="str">
        <f>IF(DATA!M505="","",DATA!M505)</f>
        <v/>
      </c>
      <c r="B575" s="203" t="str">
        <f>IF(DATA!N505="","",DATA!N505)</f>
        <v/>
      </c>
      <c r="C575" s="203" t="str">
        <f>IF(DATA!O505="","",DATA!O505)</f>
        <v/>
      </c>
      <c r="D575" s="203" t="str">
        <f>IF(DATA!P505="","",DATA!P505)</f>
        <v/>
      </c>
      <c r="E575" s="13"/>
      <c r="F575" s="5" t="str">
        <f t="shared" si="78"/>
        <v/>
      </c>
      <c r="G575" s="1"/>
      <c r="H575" s="77">
        <f>IF(G575="",0,VLOOKUP(G575,REFCE!A:D,2,FALSE))</f>
        <v>0</v>
      </c>
      <c r="I575" s="77" t="str">
        <f t="shared" si="79"/>
        <v/>
      </c>
    </row>
    <row r="576" spans="1:9" x14ac:dyDescent="0.25">
      <c r="A576" s="203" t="str">
        <f>IF(DATA!M506="","",DATA!M506)</f>
        <v/>
      </c>
      <c r="B576" s="203" t="str">
        <f>IF(DATA!N506="","",DATA!N506)</f>
        <v/>
      </c>
      <c r="C576" s="203" t="str">
        <f>IF(DATA!O506="","",DATA!O506)</f>
        <v/>
      </c>
      <c r="D576" s="203" t="str">
        <f>IF(DATA!P506="","",DATA!P506)</f>
        <v/>
      </c>
      <c r="E576" s="13"/>
      <c r="F576" s="5" t="str">
        <f t="shared" si="78"/>
        <v/>
      </c>
      <c r="G576" s="1"/>
      <c r="H576" s="77">
        <f>IF(G576="",0,VLOOKUP(G576,REFCE!A:D,2,FALSE))</f>
        <v>0</v>
      </c>
      <c r="I576" s="77" t="str">
        <f t="shared" si="79"/>
        <v/>
      </c>
    </row>
    <row r="577" spans="1:9" x14ac:dyDescent="0.25">
      <c r="A577" s="203" t="str">
        <f>IF(DATA!M507="","",DATA!M507)</f>
        <v/>
      </c>
      <c r="B577" s="203" t="str">
        <f>IF(DATA!N507="","",DATA!N507)</f>
        <v/>
      </c>
      <c r="C577" s="203" t="str">
        <f>IF(DATA!O507="","",DATA!O507)</f>
        <v/>
      </c>
      <c r="D577" s="203" t="str">
        <f>IF(DATA!P507="","",DATA!P507)</f>
        <v/>
      </c>
      <c r="E577" s="13"/>
      <c r="F577" s="5" t="str">
        <f t="shared" si="78"/>
        <v/>
      </c>
      <c r="G577" s="1"/>
      <c r="H577" s="77">
        <f>IF(G577="",0,VLOOKUP(G577,REFCE!A:D,2,FALSE))</f>
        <v>0</v>
      </c>
      <c r="I577" s="77" t="str">
        <f t="shared" si="79"/>
        <v/>
      </c>
    </row>
    <row r="578" spans="1:9" x14ac:dyDescent="0.25">
      <c r="A578" s="203" t="str">
        <f>IF(DATA!M508="","",DATA!M508)</f>
        <v/>
      </c>
      <c r="B578" s="203" t="str">
        <f>IF(DATA!N508="","",DATA!N508)</f>
        <v/>
      </c>
      <c r="C578" s="203" t="str">
        <f>IF(DATA!O508="","",DATA!O508)</f>
        <v/>
      </c>
      <c r="D578" s="203" t="str">
        <f>IF(DATA!P508="","",DATA!P508)</f>
        <v/>
      </c>
      <c r="E578" s="13"/>
      <c r="F578" s="5" t="str">
        <f t="shared" si="78"/>
        <v/>
      </c>
      <c r="G578" s="1"/>
      <c r="H578" s="77">
        <f>IF(G578="",0,VLOOKUP(G578,REFCE!A:D,2,FALSE))</f>
        <v>0</v>
      </c>
      <c r="I578" s="77" t="str">
        <f t="shared" si="79"/>
        <v/>
      </c>
    </row>
    <row r="579" spans="1:9" x14ac:dyDescent="0.25">
      <c r="A579" s="203" t="str">
        <f>IF(DATA!M509="","",DATA!M509)</f>
        <v/>
      </c>
      <c r="B579" s="203" t="str">
        <f>IF(DATA!N509="","",DATA!N509)</f>
        <v/>
      </c>
      <c r="C579" s="203" t="str">
        <f>IF(DATA!O509="","",DATA!O509)</f>
        <v/>
      </c>
      <c r="D579" s="203" t="str">
        <f>IF(DATA!P509="","",DATA!P509)</f>
        <v/>
      </c>
      <c r="E579" s="13"/>
      <c r="F579" s="5" t="str">
        <f t="shared" si="78"/>
        <v/>
      </c>
      <c r="G579" s="1"/>
      <c r="H579" s="77">
        <f>IF(G579="",0,VLOOKUP(G579,REFCE!A:D,2,FALSE))</f>
        <v>0</v>
      </c>
      <c r="I579" s="77" t="str">
        <f t="shared" si="79"/>
        <v/>
      </c>
    </row>
    <row r="580" spans="1:9" x14ac:dyDescent="0.25">
      <c r="A580" s="203" t="str">
        <f>IF(DATA!M510="","",DATA!M510)</f>
        <v/>
      </c>
      <c r="B580" s="203" t="str">
        <f>IF(DATA!N510="","",DATA!N510)</f>
        <v/>
      </c>
      <c r="C580" s="203" t="str">
        <f>IF(DATA!O510="","",DATA!O510)</f>
        <v/>
      </c>
      <c r="D580" s="203" t="str">
        <f>IF(DATA!P510="","",DATA!P510)</f>
        <v/>
      </c>
      <c r="E580" s="13"/>
      <c r="F580" s="5" t="str">
        <f t="shared" si="78"/>
        <v/>
      </c>
      <c r="G580" s="1"/>
      <c r="H580" s="77">
        <f>IF(G580="",0,VLOOKUP(G580,REFCE!A:D,2,FALSE))</f>
        <v>0</v>
      </c>
      <c r="I580" s="77" t="str">
        <f t="shared" si="79"/>
        <v/>
      </c>
    </row>
    <row r="581" spans="1:9" x14ac:dyDescent="0.25">
      <c r="A581" s="203" t="str">
        <f>IF(DATA!M511="","",DATA!M511)</f>
        <v/>
      </c>
      <c r="B581" s="203" t="str">
        <f>IF(DATA!N511="","",DATA!N511)</f>
        <v/>
      </c>
      <c r="C581" s="203" t="str">
        <f>IF(DATA!O511="","",DATA!O511)</f>
        <v/>
      </c>
      <c r="D581" s="203" t="str">
        <f>IF(DATA!P511="","",DATA!P511)</f>
        <v/>
      </c>
      <c r="E581" s="13"/>
      <c r="F581" s="5" t="str">
        <f t="shared" si="78"/>
        <v/>
      </c>
      <c r="G581" s="1"/>
      <c r="H581" s="77">
        <f>IF(G581="",0,VLOOKUP(G581,REFCE!A:D,2,FALSE))</f>
        <v>0</v>
      </c>
      <c r="I581" s="77" t="str">
        <f t="shared" si="79"/>
        <v/>
      </c>
    </row>
    <row r="582" spans="1:9" x14ac:dyDescent="0.25">
      <c r="A582" s="203" t="str">
        <f>IF(DATA!M512="","",DATA!M512)</f>
        <v/>
      </c>
      <c r="B582" s="203" t="str">
        <f>IF(DATA!N512="","",DATA!N512)</f>
        <v/>
      </c>
      <c r="C582" s="203" t="str">
        <f>IF(DATA!O512="","",DATA!O512)</f>
        <v/>
      </c>
      <c r="D582" s="203" t="str">
        <f>IF(DATA!P512="","",DATA!P512)</f>
        <v/>
      </c>
      <c r="E582" s="13"/>
      <c r="F582" s="5" t="str">
        <f t="shared" si="78"/>
        <v/>
      </c>
      <c r="G582" s="1"/>
      <c r="H582" s="77">
        <f>IF(G582="",0,VLOOKUP(G582,REFCE!A:D,2,FALSE))</f>
        <v>0</v>
      </c>
      <c r="I582" s="77" t="str">
        <f t="shared" si="79"/>
        <v/>
      </c>
    </row>
    <row r="583" spans="1:9" x14ac:dyDescent="0.25">
      <c r="A583" s="203" t="str">
        <f>IF(DATA!M513="","",DATA!M513)</f>
        <v/>
      </c>
      <c r="B583" s="203" t="str">
        <f>IF(DATA!N513="","",DATA!N513)</f>
        <v/>
      </c>
      <c r="C583" s="203" t="str">
        <f>IF(DATA!O513="","",DATA!O513)</f>
        <v/>
      </c>
      <c r="D583" s="203" t="str">
        <f>IF(DATA!P513="","",DATA!P513)</f>
        <v/>
      </c>
      <c r="E583" s="13"/>
      <c r="F583" s="5" t="str">
        <f t="shared" si="78"/>
        <v/>
      </c>
      <c r="G583" s="1"/>
      <c r="H583" s="77">
        <f>IF(G583="",0,VLOOKUP(G583,REFCE!A:D,2,FALSE))</f>
        <v>0</v>
      </c>
      <c r="I583" s="77" t="str">
        <f t="shared" si="79"/>
        <v/>
      </c>
    </row>
    <row r="584" spans="1:9" x14ac:dyDescent="0.25">
      <c r="A584" s="203" t="str">
        <f>IF(DATA!M514="","",DATA!M514)</f>
        <v/>
      </c>
      <c r="B584" s="203" t="str">
        <f>IF(DATA!N514="","",DATA!N514)</f>
        <v/>
      </c>
      <c r="C584" s="203" t="str">
        <f>IF(DATA!O514="","",DATA!O514)</f>
        <v/>
      </c>
      <c r="D584" s="203" t="str">
        <f>IF(DATA!P514="","",DATA!P514)</f>
        <v/>
      </c>
      <c r="E584" s="13"/>
      <c r="F584" s="5" t="str">
        <f t="shared" si="78"/>
        <v/>
      </c>
      <c r="G584" s="1"/>
      <c r="H584" s="77">
        <f>IF(G584="",0,VLOOKUP(G584,REFCE!A:D,2,FALSE))</f>
        <v>0</v>
      </c>
      <c r="I584" s="77" t="str">
        <f t="shared" si="79"/>
        <v/>
      </c>
    </row>
    <row r="585" spans="1:9" x14ac:dyDescent="0.25">
      <c r="A585" s="203" t="str">
        <f>IF(DATA!M515="","",DATA!M515)</f>
        <v/>
      </c>
      <c r="B585" s="203" t="str">
        <f>IF(DATA!N515="","",DATA!N515)</f>
        <v/>
      </c>
      <c r="C585" s="203" t="str">
        <f>IF(DATA!O515="","",DATA!O515)</f>
        <v/>
      </c>
      <c r="D585" s="203" t="str">
        <f>IF(DATA!P515="","",DATA!P515)</f>
        <v/>
      </c>
      <c r="E585" s="13"/>
      <c r="F585" s="5" t="str">
        <f t="shared" si="78"/>
        <v/>
      </c>
      <c r="G585" s="1"/>
      <c r="H585" s="77">
        <f>IF(G585="",0,VLOOKUP(G585,REFCE!A:D,2,FALSE))</f>
        <v>0</v>
      </c>
      <c r="I585" s="77" t="str">
        <f t="shared" si="79"/>
        <v/>
      </c>
    </row>
    <row r="586" spans="1:9" x14ac:dyDescent="0.25">
      <c r="A586" s="203" t="str">
        <f>IF(DATA!M516="","",DATA!M516)</f>
        <v/>
      </c>
      <c r="B586" s="203" t="str">
        <f>IF(DATA!N516="","",DATA!N516)</f>
        <v/>
      </c>
      <c r="C586" s="203" t="str">
        <f>IF(DATA!O516="","",DATA!O516)</f>
        <v/>
      </c>
      <c r="D586" s="203" t="str">
        <f>IF(DATA!P516="","",DATA!P516)</f>
        <v/>
      </c>
      <c r="E586" s="13"/>
      <c r="F586" s="5" t="str">
        <f t="shared" si="78"/>
        <v/>
      </c>
      <c r="G586" s="1"/>
      <c r="H586" s="77">
        <f>IF(G586="",0,VLOOKUP(G586,REFCE!A:D,2,FALSE))</f>
        <v>0</v>
      </c>
      <c r="I586" s="77" t="str">
        <f t="shared" si="79"/>
        <v/>
      </c>
    </row>
    <row r="587" spans="1:9" x14ac:dyDescent="0.25">
      <c r="A587" s="203" t="str">
        <f>IF(DATA!M517="","",DATA!M517)</f>
        <v/>
      </c>
      <c r="B587" s="203" t="str">
        <f>IF(DATA!N517="","",DATA!N517)</f>
        <v/>
      </c>
      <c r="C587" s="203" t="str">
        <f>IF(DATA!O517="","",DATA!O517)</f>
        <v/>
      </c>
      <c r="D587" s="203" t="str">
        <f>IF(DATA!P517="","",DATA!P517)</f>
        <v/>
      </c>
      <c r="E587" s="13"/>
      <c r="F587" s="5" t="str">
        <f t="shared" si="78"/>
        <v/>
      </c>
      <c r="G587" s="1"/>
      <c r="H587" s="77">
        <f>IF(G587="",0,VLOOKUP(G587,REFCE!A:D,2,FALSE))</f>
        <v>0</v>
      </c>
      <c r="I587" s="77" t="str">
        <f t="shared" si="79"/>
        <v/>
      </c>
    </row>
    <row r="588" spans="1:9" x14ac:dyDescent="0.25">
      <c r="A588" s="203" t="str">
        <f>IF(DATA!M518="","",DATA!M518)</f>
        <v/>
      </c>
      <c r="B588" s="203" t="str">
        <f>IF(DATA!N518="","",DATA!N518)</f>
        <v/>
      </c>
      <c r="C588" s="203" t="str">
        <f>IF(DATA!O518="","",DATA!O518)</f>
        <v/>
      </c>
      <c r="D588" s="203" t="str">
        <f>IF(DATA!P518="","",DATA!P518)</f>
        <v/>
      </c>
      <c r="E588" s="13"/>
      <c r="F588" s="5" t="str">
        <f t="shared" si="78"/>
        <v/>
      </c>
      <c r="G588" s="1"/>
      <c r="H588" s="77">
        <f>IF(G588="",0,VLOOKUP(G588,REFCE!A:D,2,FALSE))</f>
        <v>0</v>
      </c>
      <c r="I588" s="77" t="str">
        <f t="shared" si="79"/>
        <v/>
      </c>
    </row>
    <row r="589" spans="1:9" x14ac:dyDescent="0.25">
      <c r="A589" s="203" t="str">
        <f>IF(DATA!M519="","",DATA!M519)</f>
        <v/>
      </c>
      <c r="B589" s="203" t="str">
        <f>IF(DATA!N519="","",DATA!N519)</f>
        <v/>
      </c>
      <c r="C589" s="203" t="str">
        <f>IF(DATA!O519="","",DATA!O519)</f>
        <v/>
      </c>
      <c r="D589" s="203" t="str">
        <f>IF(DATA!P519="","",DATA!P519)</f>
        <v/>
      </c>
      <c r="E589" s="13"/>
      <c r="F589" s="5" t="str">
        <f t="shared" si="78"/>
        <v/>
      </c>
      <c r="G589" s="1"/>
      <c r="H589" s="77">
        <f>IF(G589="",0,VLOOKUP(G589,REFCE!A:D,2,FALSE))</f>
        <v>0</v>
      </c>
      <c r="I589" s="77" t="str">
        <f t="shared" si="79"/>
        <v/>
      </c>
    </row>
    <row r="590" spans="1:9" x14ac:dyDescent="0.25">
      <c r="A590" s="203" t="str">
        <f>IF(DATA!M520="","",DATA!M520)</f>
        <v/>
      </c>
      <c r="B590" s="203" t="str">
        <f>IF(DATA!N520="","",DATA!N520)</f>
        <v/>
      </c>
      <c r="C590" s="203" t="str">
        <f>IF(DATA!O520="","",DATA!O520)</f>
        <v/>
      </c>
      <c r="D590" s="203" t="str">
        <f>IF(DATA!P520="","",DATA!P520)</f>
        <v/>
      </c>
      <c r="E590" s="13"/>
      <c r="F590" s="5" t="str">
        <f t="shared" ref="F590:F653" si="80">IF(D590="","",D590*E590)</f>
        <v/>
      </c>
      <c r="G590" s="1"/>
      <c r="H590" s="77">
        <f>IF(G590="",0,VLOOKUP(G590,REFCE!A:D,2,FALSE))</f>
        <v>0</v>
      </c>
      <c r="I590" s="77" t="str">
        <f t="shared" ref="I590:I653" si="81">IF(F590="","",F590*H590)</f>
        <v/>
      </c>
    </row>
    <row r="591" spans="1:9" x14ac:dyDescent="0.25">
      <c r="A591" s="203" t="str">
        <f>IF(DATA!M521="","",DATA!M521)</f>
        <v/>
      </c>
      <c r="B591" s="203" t="str">
        <f>IF(DATA!N521="","",DATA!N521)</f>
        <v/>
      </c>
      <c r="C591" s="203" t="str">
        <f>IF(DATA!O521="","",DATA!O521)</f>
        <v/>
      </c>
      <c r="D591" s="203" t="str">
        <f>IF(DATA!P521="","",DATA!P521)</f>
        <v/>
      </c>
      <c r="E591" s="13"/>
      <c r="F591" s="5" t="str">
        <f t="shared" si="80"/>
        <v/>
      </c>
      <c r="G591" s="1"/>
      <c r="H591" s="77">
        <f>IF(G591="",0,VLOOKUP(G591,REFCE!A:D,2,FALSE))</f>
        <v>0</v>
      </c>
      <c r="I591" s="77" t="str">
        <f t="shared" si="81"/>
        <v/>
      </c>
    </row>
    <row r="592" spans="1:9" x14ac:dyDescent="0.25">
      <c r="A592" s="203" t="str">
        <f>IF(DATA!M522="","",DATA!M522)</f>
        <v/>
      </c>
      <c r="B592" s="203" t="str">
        <f>IF(DATA!N522="","",DATA!N522)</f>
        <v/>
      </c>
      <c r="C592" s="203" t="str">
        <f>IF(DATA!O522="","",DATA!O522)</f>
        <v/>
      </c>
      <c r="D592" s="203" t="str">
        <f>IF(DATA!P522="","",DATA!P522)</f>
        <v/>
      </c>
      <c r="E592" s="13"/>
      <c r="F592" s="5" t="str">
        <f t="shared" si="80"/>
        <v/>
      </c>
      <c r="G592" s="1"/>
      <c r="H592" s="77">
        <f>IF(G592="",0,VLOOKUP(G592,REFCE!A:D,2,FALSE))</f>
        <v>0</v>
      </c>
      <c r="I592" s="77" t="str">
        <f t="shared" si="81"/>
        <v/>
      </c>
    </row>
    <row r="593" spans="1:9" x14ac:dyDescent="0.25">
      <c r="A593" s="203" t="str">
        <f>IF(DATA!M523="","",DATA!M523)</f>
        <v/>
      </c>
      <c r="B593" s="203" t="str">
        <f>IF(DATA!N523="","",DATA!N523)</f>
        <v/>
      </c>
      <c r="C593" s="203" t="str">
        <f>IF(DATA!O523="","",DATA!O523)</f>
        <v/>
      </c>
      <c r="D593" s="203" t="str">
        <f>IF(DATA!P523="","",DATA!P523)</f>
        <v/>
      </c>
      <c r="E593" s="13"/>
      <c r="F593" s="5" t="str">
        <f t="shared" si="80"/>
        <v/>
      </c>
      <c r="G593" s="1"/>
      <c r="H593" s="77">
        <f>IF(G593="",0,VLOOKUP(G593,REFCE!A:D,2,FALSE))</f>
        <v>0</v>
      </c>
      <c r="I593" s="77" t="str">
        <f t="shared" si="81"/>
        <v/>
      </c>
    </row>
    <row r="594" spans="1:9" x14ac:dyDescent="0.25">
      <c r="A594" s="203" t="str">
        <f>IF(DATA!M524="","",DATA!M524)</f>
        <v/>
      </c>
      <c r="B594" s="203" t="str">
        <f>IF(DATA!N524="","",DATA!N524)</f>
        <v/>
      </c>
      <c r="C594" s="203" t="str">
        <f>IF(DATA!O524="","",DATA!O524)</f>
        <v/>
      </c>
      <c r="D594" s="203" t="str">
        <f>IF(DATA!P524="","",DATA!P524)</f>
        <v/>
      </c>
      <c r="E594" s="13"/>
      <c r="F594" s="5" t="str">
        <f t="shared" si="80"/>
        <v/>
      </c>
      <c r="G594" s="1"/>
      <c r="H594" s="77">
        <f>IF(G594="",0,VLOOKUP(G594,REFCE!A:D,2,FALSE))</f>
        <v>0</v>
      </c>
      <c r="I594" s="77" t="str">
        <f t="shared" si="81"/>
        <v/>
      </c>
    </row>
    <row r="595" spans="1:9" x14ac:dyDescent="0.25">
      <c r="A595" s="203" t="str">
        <f>IF(DATA!M525="","",DATA!M525)</f>
        <v/>
      </c>
      <c r="B595" s="203" t="str">
        <f>IF(DATA!N525="","",DATA!N525)</f>
        <v/>
      </c>
      <c r="C595" s="203" t="str">
        <f>IF(DATA!O525="","",DATA!O525)</f>
        <v/>
      </c>
      <c r="D595" s="203" t="str">
        <f>IF(DATA!P525="","",DATA!P525)</f>
        <v/>
      </c>
      <c r="E595" s="13"/>
      <c r="F595" s="5" t="str">
        <f t="shared" si="80"/>
        <v/>
      </c>
      <c r="G595" s="1"/>
      <c r="H595" s="77">
        <f>IF(G595="",0,VLOOKUP(G595,REFCE!A:D,2,FALSE))</f>
        <v>0</v>
      </c>
      <c r="I595" s="77" t="str">
        <f t="shared" si="81"/>
        <v/>
      </c>
    </row>
    <row r="596" spans="1:9" x14ac:dyDescent="0.25">
      <c r="A596" s="203" t="str">
        <f>IF(DATA!M526="","",DATA!M526)</f>
        <v/>
      </c>
      <c r="B596" s="203" t="str">
        <f>IF(DATA!N526="","",DATA!N526)</f>
        <v/>
      </c>
      <c r="C596" s="203" t="str">
        <f>IF(DATA!O526="","",DATA!O526)</f>
        <v/>
      </c>
      <c r="D596" s="203" t="str">
        <f>IF(DATA!P526="","",DATA!P526)</f>
        <v/>
      </c>
      <c r="E596" s="13"/>
      <c r="F596" s="5" t="str">
        <f t="shared" si="80"/>
        <v/>
      </c>
      <c r="G596" s="1"/>
      <c r="H596" s="77">
        <f>IF(G596="",0,VLOOKUP(G596,REFCE!A:D,2,FALSE))</f>
        <v>0</v>
      </c>
      <c r="I596" s="77" t="str">
        <f t="shared" si="81"/>
        <v/>
      </c>
    </row>
    <row r="597" spans="1:9" x14ac:dyDescent="0.25">
      <c r="A597" s="203" t="str">
        <f>IF(DATA!M527="","",DATA!M527)</f>
        <v/>
      </c>
      <c r="B597" s="203" t="str">
        <f>IF(DATA!N527="","",DATA!N527)</f>
        <v/>
      </c>
      <c r="C597" s="203" t="str">
        <f>IF(DATA!O527="","",DATA!O527)</f>
        <v/>
      </c>
      <c r="D597" s="203" t="str">
        <f>IF(DATA!P527="","",DATA!P527)</f>
        <v/>
      </c>
      <c r="E597" s="13"/>
      <c r="F597" s="5" t="str">
        <f t="shared" si="80"/>
        <v/>
      </c>
      <c r="G597" s="1"/>
      <c r="H597" s="77">
        <f>IF(G597="",0,VLOOKUP(G597,REFCE!A:D,2,FALSE))</f>
        <v>0</v>
      </c>
      <c r="I597" s="77" t="str">
        <f t="shared" si="81"/>
        <v/>
      </c>
    </row>
    <row r="598" spans="1:9" x14ac:dyDescent="0.25">
      <c r="A598" s="203" t="str">
        <f>IF(DATA!M528="","",DATA!M528)</f>
        <v/>
      </c>
      <c r="B598" s="203" t="str">
        <f>IF(DATA!N528="","",DATA!N528)</f>
        <v/>
      </c>
      <c r="C598" s="203" t="str">
        <f>IF(DATA!O528="","",DATA!O528)</f>
        <v/>
      </c>
      <c r="D598" s="203" t="str">
        <f>IF(DATA!P528="","",DATA!P528)</f>
        <v/>
      </c>
      <c r="E598" s="13"/>
      <c r="F598" s="5" t="str">
        <f t="shared" si="80"/>
        <v/>
      </c>
      <c r="G598" s="1"/>
      <c r="H598" s="77">
        <f>IF(G598="",0,VLOOKUP(G598,REFCE!A:D,2,FALSE))</f>
        <v>0</v>
      </c>
      <c r="I598" s="77" t="str">
        <f t="shared" si="81"/>
        <v/>
      </c>
    </row>
    <row r="599" spans="1:9" x14ac:dyDescent="0.25">
      <c r="A599" s="203" t="str">
        <f>IF(DATA!M529="","",DATA!M529)</f>
        <v/>
      </c>
      <c r="B599" s="203" t="str">
        <f>IF(DATA!N529="","",DATA!N529)</f>
        <v/>
      </c>
      <c r="C599" s="203" t="str">
        <f>IF(DATA!O529="","",DATA!O529)</f>
        <v/>
      </c>
      <c r="D599" s="203" t="str">
        <f>IF(DATA!P529="","",DATA!P529)</f>
        <v/>
      </c>
      <c r="E599" s="13"/>
      <c r="F599" s="5" t="str">
        <f t="shared" si="80"/>
        <v/>
      </c>
      <c r="G599" s="1"/>
      <c r="H599" s="77">
        <f>IF(G599="",0,VLOOKUP(G599,REFCE!A:D,2,FALSE))</f>
        <v>0</v>
      </c>
      <c r="I599" s="77" t="str">
        <f t="shared" si="81"/>
        <v/>
      </c>
    </row>
    <row r="600" spans="1:9" x14ac:dyDescent="0.25">
      <c r="A600" s="203" t="str">
        <f>IF(DATA!M530="","",DATA!M530)</f>
        <v/>
      </c>
      <c r="B600" s="203" t="str">
        <f>IF(DATA!N530="","",DATA!N530)</f>
        <v/>
      </c>
      <c r="C600" s="203" t="str">
        <f>IF(DATA!O530="","",DATA!O530)</f>
        <v/>
      </c>
      <c r="D600" s="203" t="str">
        <f>IF(DATA!P530="","",DATA!P530)</f>
        <v/>
      </c>
      <c r="E600" s="13"/>
      <c r="F600" s="5" t="str">
        <f t="shared" si="80"/>
        <v/>
      </c>
      <c r="G600" s="1"/>
      <c r="H600" s="77">
        <f>IF(G600="",0,VLOOKUP(G600,REFCE!A:D,2,FALSE))</f>
        <v>0</v>
      </c>
      <c r="I600" s="77" t="str">
        <f t="shared" si="81"/>
        <v/>
      </c>
    </row>
    <row r="601" spans="1:9" x14ac:dyDescent="0.25">
      <c r="A601" s="203" t="str">
        <f>IF(DATA!M531="","",DATA!M531)</f>
        <v/>
      </c>
      <c r="B601" s="203" t="str">
        <f>IF(DATA!N531="","",DATA!N531)</f>
        <v/>
      </c>
      <c r="C601" s="203" t="str">
        <f>IF(DATA!O531="","",DATA!O531)</f>
        <v/>
      </c>
      <c r="D601" s="203" t="str">
        <f>IF(DATA!P531="","",DATA!P531)</f>
        <v/>
      </c>
      <c r="E601" s="13"/>
      <c r="F601" s="5" t="str">
        <f t="shared" si="80"/>
        <v/>
      </c>
      <c r="G601" s="1"/>
      <c r="H601" s="77">
        <f>IF(G601="",0,VLOOKUP(G601,REFCE!A:D,2,FALSE))</f>
        <v>0</v>
      </c>
      <c r="I601" s="77" t="str">
        <f t="shared" si="81"/>
        <v/>
      </c>
    </row>
    <row r="602" spans="1:9" x14ac:dyDescent="0.25">
      <c r="A602" s="203" t="str">
        <f>IF(DATA!M532="","",DATA!M532)</f>
        <v/>
      </c>
      <c r="B602" s="203" t="str">
        <f>IF(DATA!N532="","",DATA!N532)</f>
        <v/>
      </c>
      <c r="C602" s="203" t="str">
        <f>IF(DATA!O532="","",DATA!O532)</f>
        <v/>
      </c>
      <c r="D602" s="203" t="str">
        <f>IF(DATA!P532="","",DATA!P532)</f>
        <v/>
      </c>
      <c r="E602" s="13"/>
      <c r="F602" s="5" t="str">
        <f t="shared" si="80"/>
        <v/>
      </c>
      <c r="G602" s="1"/>
      <c r="H602" s="77">
        <f>IF(G602="",0,VLOOKUP(G602,REFCE!A:D,2,FALSE))</f>
        <v>0</v>
      </c>
      <c r="I602" s="77" t="str">
        <f t="shared" si="81"/>
        <v/>
      </c>
    </row>
    <row r="603" spans="1:9" x14ac:dyDescent="0.25">
      <c r="A603" s="203" t="str">
        <f>IF(DATA!M533="","",DATA!M533)</f>
        <v/>
      </c>
      <c r="B603" s="203" t="str">
        <f>IF(DATA!N533="","",DATA!N533)</f>
        <v/>
      </c>
      <c r="C603" s="203" t="str">
        <f>IF(DATA!O533="","",DATA!O533)</f>
        <v/>
      </c>
      <c r="D603" s="203" t="str">
        <f>IF(DATA!P533="","",DATA!P533)</f>
        <v/>
      </c>
      <c r="E603" s="13"/>
      <c r="F603" s="5" t="str">
        <f t="shared" si="80"/>
        <v/>
      </c>
      <c r="G603" s="1"/>
      <c r="H603" s="77">
        <f>IF(G603="",0,VLOOKUP(G603,REFCE!A:D,2,FALSE))</f>
        <v>0</v>
      </c>
      <c r="I603" s="77" t="str">
        <f t="shared" si="81"/>
        <v/>
      </c>
    </row>
    <row r="604" spans="1:9" x14ac:dyDescent="0.25">
      <c r="A604" s="203" t="str">
        <f>IF(DATA!M534="","",DATA!M534)</f>
        <v/>
      </c>
      <c r="B604" s="203" t="str">
        <f>IF(DATA!N534="","",DATA!N534)</f>
        <v/>
      </c>
      <c r="C604" s="203" t="str">
        <f>IF(DATA!O534="","",DATA!O534)</f>
        <v/>
      </c>
      <c r="D604" s="203" t="str">
        <f>IF(DATA!P534="","",DATA!P534)</f>
        <v/>
      </c>
      <c r="E604" s="13"/>
      <c r="F604" s="5" t="str">
        <f t="shared" si="80"/>
        <v/>
      </c>
      <c r="G604" s="1"/>
      <c r="H604" s="77">
        <f>IF(G604="",0,VLOOKUP(G604,REFCE!A:D,2,FALSE))</f>
        <v>0</v>
      </c>
      <c r="I604" s="77" t="str">
        <f t="shared" si="81"/>
        <v/>
      </c>
    </row>
    <row r="605" spans="1:9" x14ac:dyDescent="0.25">
      <c r="A605" s="203" t="str">
        <f>IF(DATA!M535="","",DATA!M535)</f>
        <v/>
      </c>
      <c r="B605" s="203" t="str">
        <f>IF(DATA!N535="","",DATA!N535)</f>
        <v/>
      </c>
      <c r="C605" s="203" t="str">
        <f>IF(DATA!O535="","",DATA!O535)</f>
        <v/>
      </c>
      <c r="D605" s="203" t="str">
        <f>IF(DATA!P535="","",DATA!P535)</f>
        <v/>
      </c>
      <c r="E605" s="13"/>
      <c r="F605" s="5" t="str">
        <f t="shared" si="80"/>
        <v/>
      </c>
      <c r="G605" s="1"/>
      <c r="H605" s="77">
        <f>IF(G605="",0,VLOOKUP(G605,REFCE!A:D,2,FALSE))</f>
        <v>0</v>
      </c>
      <c r="I605" s="77" t="str">
        <f t="shared" si="81"/>
        <v/>
      </c>
    </row>
    <row r="606" spans="1:9" x14ac:dyDescent="0.25">
      <c r="A606" s="203" t="str">
        <f>IF(DATA!M536="","",DATA!M536)</f>
        <v/>
      </c>
      <c r="B606" s="203" t="str">
        <f>IF(DATA!N536="","",DATA!N536)</f>
        <v/>
      </c>
      <c r="C606" s="203" t="str">
        <f>IF(DATA!O536="","",DATA!O536)</f>
        <v/>
      </c>
      <c r="D606" s="203" t="str">
        <f>IF(DATA!P536="","",DATA!P536)</f>
        <v/>
      </c>
      <c r="E606" s="13"/>
      <c r="F606" s="5" t="str">
        <f t="shared" si="80"/>
        <v/>
      </c>
      <c r="G606" s="1"/>
      <c r="H606" s="77">
        <f>IF(G606="",0,VLOOKUP(G606,REFCE!A:D,2,FALSE))</f>
        <v>0</v>
      </c>
      <c r="I606" s="77" t="str">
        <f t="shared" si="81"/>
        <v/>
      </c>
    </row>
    <row r="607" spans="1:9" x14ac:dyDescent="0.25">
      <c r="A607" s="203" t="str">
        <f>IF(DATA!M537="","",DATA!M537)</f>
        <v/>
      </c>
      <c r="B607" s="203" t="str">
        <f>IF(DATA!N537="","",DATA!N537)</f>
        <v/>
      </c>
      <c r="C607" s="203" t="str">
        <f>IF(DATA!O537="","",DATA!O537)</f>
        <v/>
      </c>
      <c r="D607" s="203" t="str">
        <f>IF(DATA!P537="","",DATA!P537)</f>
        <v/>
      </c>
      <c r="E607" s="13"/>
      <c r="F607" s="5" t="str">
        <f t="shared" si="80"/>
        <v/>
      </c>
      <c r="G607" s="1"/>
      <c r="H607" s="77">
        <f>IF(G607="",0,VLOOKUP(G607,REFCE!A:D,2,FALSE))</f>
        <v>0</v>
      </c>
      <c r="I607" s="77" t="str">
        <f t="shared" si="81"/>
        <v/>
      </c>
    </row>
    <row r="608" spans="1:9" x14ac:dyDescent="0.25">
      <c r="A608" s="203" t="str">
        <f>IF(DATA!M538="","",DATA!M538)</f>
        <v/>
      </c>
      <c r="B608" s="203" t="str">
        <f>IF(DATA!N538="","",DATA!N538)</f>
        <v/>
      </c>
      <c r="C608" s="203" t="str">
        <f>IF(DATA!O538="","",DATA!O538)</f>
        <v/>
      </c>
      <c r="D608" s="203" t="str">
        <f>IF(DATA!P538="","",DATA!P538)</f>
        <v/>
      </c>
      <c r="E608" s="13"/>
      <c r="F608" s="5" t="str">
        <f t="shared" si="80"/>
        <v/>
      </c>
      <c r="G608" s="1"/>
      <c r="H608" s="77">
        <f>IF(G608="",0,VLOOKUP(G608,REFCE!A:D,2,FALSE))</f>
        <v>0</v>
      </c>
      <c r="I608" s="77" t="str">
        <f t="shared" si="81"/>
        <v/>
      </c>
    </row>
    <row r="609" spans="1:9" x14ac:dyDescent="0.25">
      <c r="A609" s="203" t="str">
        <f>IF(DATA!M539="","",DATA!M539)</f>
        <v/>
      </c>
      <c r="B609" s="203" t="str">
        <f>IF(DATA!N539="","",DATA!N539)</f>
        <v/>
      </c>
      <c r="C609" s="203" t="str">
        <f>IF(DATA!O539="","",DATA!O539)</f>
        <v/>
      </c>
      <c r="D609" s="203" t="str">
        <f>IF(DATA!P539="","",DATA!P539)</f>
        <v/>
      </c>
      <c r="E609" s="13"/>
      <c r="F609" s="5" t="str">
        <f t="shared" si="80"/>
        <v/>
      </c>
      <c r="G609" s="1"/>
      <c r="H609" s="77">
        <f>IF(G609="",0,VLOOKUP(G609,REFCE!A:D,2,FALSE))</f>
        <v>0</v>
      </c>
      <c r="I609" s="77" t="str">
        <f t="shared" si="81"/>
        <v/>
      </c>
    </row>
    <row r="610" spans="1:9" x14ac:dyDescent="0.25">
      <c r="A610" s="203" t="str">
        <f>IF(DATA!M540="","",DATA!M540)</f>
        <v/>
      </c>
      <c r="B610" s="203" t="str">
        <f>IF(DATA!N540="","",DATA!N540)</f>
        <v/>
      </c>
      <c r="C610" s="203" t="str">
        <f>IF(DATA!O540="","",DATA!O540)</f>
        <v/>
      </c>
      <c r="D610" s="203" t="str">
        <f>IF(DATA!P540="","",DATA!P540)</f>
        <v/>
      </c>
      <c r="E610" s="13"/>
      <c r="F610" s="5" t="str">
        <f t="shared" si="80"/>
        <v/>
      </c>
      <c r="G610" s="1"/>
      <c r="H610" s="77">
        <f>IF(G610="",0,VLOOKUP(G610,REFCE!A:D,2,FALSE))</f>
        <v>0</v>
      </c>
      <c r="I610" s="77" t="str">
        <f t="shared" si="81"/>
        <v/>
      </c>
    </row>
    <row r="611" spans="1:9" x14ac:dyDescent="0.25">
      <c r="A611" s="203" t="str">
        <f>IF(DATA!M541="","",DATA!M541)</f>
        <v/>
      </c>
      <c r="B611" s="203" t="str">
        <f>IF(DATA!N541="","",DATA!N541)</f>
        <v/>
      </c>
      <c r="C611" s="203" t="str">
        <f>IF(DATA!O541="","",DATA!O541)</f>
        <v/>
      </c>
      <c r="D611" s="203" t="str">
        <f>IF(DATA!P541="","",DATA!P541)</f>
        <v/>
      </c>
      <c r="E611" s="13"/>
      <c r="F611" s="5" t="str">
        <f t="shared" si="80"/>
        <v/>
      </c>
      <c r="G611" s="1"/>
      <c r="H611" s="77">
        <f>IF(G611="",0,VLOOKUP(G611,REFCE!A:D,2,FALSE))</f>
        <v>0</v>
      </c>
      <c r="I611" s="77" t="str">
        <f t="shared" si="81"/>
        <v/>
      </c>
    </row>
    <row r="612" spans="1:9" x14ac:dyDescent="0.25">
      <c r="A612" s="203" t="str">
        <f>IF(DATA!M542="","",DATA!M542)</f>
        <v/>
      </c>
      <c r="B612" s="203" t="str">
        <f>IF(DATA!N542="","",DATA!N542)</f>
        <v/>
      </c>
      <c r="C612" s="203" t="str">
        <f>IF(DATA!O542="","",DATA!O542)</f>
        <v/>
      </c>
      <c r="D612" s="203" t="str">
        <f>IF(DATA!P542="","",DATA!P542)</f>
        <v/>
      </c>
      <c r="E612" s="13"/>
      <c r="F612" s="5" t="str">
        <f t="shared" si="80"/>
        <v/>
      </c>
      <c r="G612" s="1"/>
      <c r="H612" s="77">
        <f>IF(G612="",0,VLOOKUP(G612,REFCE!A:D,2,FALSE))</f>
        <v>0</v>
      </c>
      <c r="I612" s="77" t="str">
        <f t="shared" si="81"/>
        <v/>
      </c>
    </row>
    <row r="613" spans="1:9" x14ac:dyDescent="0.25">
      <c r="A613" s="203" t="str">
        <f>IF(DATA!M543="","",DATA!M543)</f>
        <v/>
      </c>
      <c r="B613" s="203" t="str">
        <f>IF(DATA!N543="","",DATA!N543)</f>
        <v/>
      </c>
      <c r="C613" s="203" t="str">
        <f>IF(DATA!O543="","",DATA!O543)</f>
        <v/>
      </c>
      <c r="D613" s="203" t="str">
        <f>IF(DATA!P543="","",DATA!P543)</f>
        <v/>
      </c>
      <c r="E613" s="13"/>
      <c r="F613" s="5" t="str">
        <f t="shared" si="80"/>
        <v/>
      </c>
      <c r="G613" s="1"/>
      <c r="H613" s="77">
        <f>IF(G613="",0,VLOOKUP(G613,REFCE!A:D,2,FALSE))</f>
        <v>0</v>
      </c>
      <c r="I613" s="77" t="str">
        <f t="shared" si="81"/>
        <v/>
      </c>
    </row>
    <row r="614" spans="1:9" x14ac:dyDescent="0.25">
      <c r="A614" s="203" t="str">
        <f>IF(DATA!M544="","",DATA!M544)</f>
        <v/>
      </c>
      <c r="B614" s="203" t="str">
        <f>IF(DATA!N544="","",DATA!N544)</f>
        <v/>
      </c>
      <c r="C614" s="203" t="str">
        <f>IF(DATA!O544="","",DATA!O544)</f>
        <v/>
      </c>
      <c r="D614" s="203" t="str">
        <f>IF(DATA!P544="","",DATA!P544)</f>
        <v/>
      </c>
      <c r="E614" s="13"/>
      <c r="F614" s="5" t="str">
        <f t="shared" si="80"/>
        <v/>
      </c>
      <c r="G614" s="1"/>
      <c r="H614" s="77">
        <f>IF(G614="",0,VLOOKUP(G614,REFCE!A:D,2,FALSE))</f>
        <v>0</v>
      </c>
      <c r="I614" s="77" t="str">
        <f t="shared" si="81"/>
        <v/>
      </c>
    </row>
    <row r="615" spans="1:9" x14ac:dyDescent="0.25">
      <c r="A615" s="203" t="str">
        <f>IF(DATA!M545="","",DATA!M545)</f>
        <v/>
      </c>
      <c r="B615" s="203" t="str">
        <f>IF(DATA!N545="","",DATA!N545)</f>
        <v/>
      </c>
      <c r="C615" s="203" t="str">
        <f>IF(DATA!O545="","",DATA!O545)</f>
        <v/>
      </c>
      <c r="D615" s="203" t="str">
        <f>IF(DATA!P545="","",DATA!P545)</f>
        <v/>
      </c>
      <c r="E615" s="13"/>
      <c r="F615" s="5" t="str">
        <f t="shared" si="80"/>
        <v/>
      </c>
      <c r="G615" s="1"/>
      <c r="H615" s="77">
        <f>IF(G615="",0,VLOOKUP(G615,REFCE!A:D,2,FALSE))</f>
        <v>0</v>
      </c>
      <c r="I615" s="77" t="str">
        <f t="shared" si="81"/>
        <v/>
      </c>
    </row>
    <row r="616" spans="1:9" x14ac:dyDescent="0.25">
      <c r="A616" s="203" t="str">
        <f>IF(DATA!M546="","",DATA!M546)</f>
        <v/>
      </c>
      <c r="B616" s="203" t="str">
        <f>IF(DATA!N546="","",DATA!N546)</f>
        <v/>
      </c>
      <c r="C616" s="203" t="str">
        <f>IF(DATA!O546="","",DATA!O546)</f>
        <v/>
      </c>
      <c r="D616" s="203" t="str">
        <f>IF(DATA!P546="","",DATA!P546)</f>
        <v/>
      </c>
      <c r="E616" s="13"/>
      <c r="F616" s="5" t="str">
        <f t="shared" si="80"/>
        <v/>
      </c>
      <c r="G616" s="1"/>
      <c r="H616" s="77">
        <f>IF(G616="",0,VLOOKUP(G616,REFCE!A:D,2,FALSE))</f>
        <v>0</v>
      </c>
      <c r="I616" s="77" t="str">
        <f t="shared" si="81"/>
        <v/>
      </c>
    </row>
    <row r="617" spans="1:9" x14ac:dyDescent="0.25">
      <c r="A617" s="203" t="str">
        <f>IF(DATA!M547="","",DATA!M547)</f>
        <v/>
      </c>
      <c r="B617" s="203" t="str">
        <f>IF(DATA!N547="","",DATA!N547)</f>
        <v/>
      </c>
      <c r="C617" s="203" t="str">
        <f>IF(DATA!O547="","",DATA!O547)</f>
        <v/>
      </c>
      <c r="D617" s="203" t="str">
        <f>IF(DATA!P547="","",DATA!P547)</f>
        <v/>
      </c>
      <c r="E617" s="13"/>
      <c r="F617" s="5" t="str">
        <f t="shared" si="80"/>
        <v/>
      </c>
      <c r="G617" s="1"/>
      <c r="H617" s="77">
        <f>IF(G617="",0,VLOOKUP(G617,REFCE!A:D,2,FALSE))</f>
        <v>0</v>
      </c>
      <c r="I617" s="77" t="str">
        <f t="shared" si="81"/>
        <v/>
      </c>
    </row>
    <row r="618" spans="1:9" x14ac:dyDescent="0.25">
      <c r="A618" s="203" t="str">
        <f>IF(DATA!M548="","",DATA!M548)</f>
        <v/>
      </c>
      <c r="B618" s="203" t="str">
        <f>IF(DATA!N548="","",DATA!N548)</f>
        <v/>
      </c>
      <c r="C618" s="203" t="str">
        <f>IF(DATA!O548="","",DATA!O548)</f>
        <v/>
      </c>
      <c r="D618" s="203" t="str">
        <f>IF(DATA!P548="","",DATA!P548)</f>
        <v/>
      </c>
      <c r="E618" s="13"/>
      <c r="F618" s="5" t="str">
        <f t="shared" si="80"/>
        <v/>
      </c>
      <c r="G618" s="1"/>
      <c r="H618" s="77">
        <f>IF(G618="",0,VLOOKUP(G618,REFCE!A:D,2,FALSE))</f>
        <v>0</v>
      </c>
      <c r="I618" s="77" t="str">
        <f t="shared" si="81"/>
        <v/>
      </c>
    </row>
    <row r="619" spans="1:9" x14ac:dyDescent="0.25">
      <c r="A619" s="203" t="str">
        <f>IF(DATA!M549="","",DATA!M549)</f>
        <v/>
      </c>
      <c r="B619" s="203" t="str">
        <f>IF(DATA!N549="","",DATA!N549)</f>
        <v/>
      </c>
      <c r="C619" s="203" t="str">
        <f>IF(DATA!O549="","",DATA!O549)</f>
        <v/>
      </c>
      <c r="D619" s="203" t="str">
        <f>IF(DATA!P549="","",DATA!P549)</f>
        <v/>
      </c>
      <c r="E619" s="13"/>
      <c r="F619" s="5" t="str">
        <f t="shared" si="80"/>
        <v/>
      </c>
      <c r="G619" s="1"/>
      <c r="H619" s="77">
        <f>IF(G619="",0,VLOOKUP(G619,REFCE!A:D,2,FALSE))</f>
        <v>0</v>
      </c>
      <c r="I619" s="77" t="str">
        <f t="shared" si="81"/>
        <v/>
      </c>
    </row>
    <row r="620" spans="1:9" x14ac:dyDescent="0.25">
      <c r="A620" s="203" t="str">
        <f>IF(DATA!M550="","",DATA!M550)</f>
        <v/>
      </c>
      <c r="B620" s="203" t="str">
        <f>IF(DATA!N550="","",DATA!N550)</f>
        <v/>
      </c>
      <c r="C620" s="203" t="str">
        <f>IF(DATA!O550="","",DATA!O550)</f>
        <v/>
      </c>
      <c r="D620" s="203" t="str">
        <f>IF(DATA!P550="","",DATA!P550)</f>
        <v/>
      </c>
      <c r="E620" s="13"/>
      <c r="F620" s="5" t="str">
        <f t="shared" si="80"/>
        <v/>
      </c>
      <c r="G620" s="1"/>
      <c r="H620" s="77">
        <f>IF(G620="",0,VLOOKUP(G620,REFCE!A:D,2,FALSE))</f>
        <v>0</v>
      </c>
      <c r="I620" s="77" t="str">
        <f t="shared" si="81"/>
        <v/>
      </c>
    </row>
    <row r="621" spans="1:9" x14ac:dyDescent="0.25">
      <c r="A621" s="203" t="str">
        <f>IF(DATA!M551="","",DATA!M551)</f>
        <v/>
      </c>
      <c r="B621" s="203" t="str">
        <f>IF(DATA!N551="","",DATA!N551)</f>
        <v/>
      </c>
      <c r="C621" s="203" t="str">
        <f>IF(DATA!O551="","",DATA!O551)</f>
        <v/>
      </c>
      <c r="D621" s="203" t="str">
        <f>IF(DATA!P551="","",DATA!P551)</f>
        <v/>
      </c>
      <c r="E621" s="13"/>
      <c r="F621" s="5" t="str">
        <f t="shared" si="80"/>
        <v/>
      </c>
      <c r="G621" s="1"/>
      <c r="H621" s="77">
        <f>IF(G621="",0,VLOOKUP(G621,REFCE!A:D,2,FALSE))</f>
        <v>0</v>
      </c>
      <c r="I621" s="77" t="str">
        <f t="shared" si="81"/>
        <v/>
      </c>
    </row>
    <row r="622" spans="1:9" x14ac:dyDescent="0.25">
      <c r="A622" s="203" t="str">
        <f>IF(DATA!M552="","",DATA!M552)</f>
        <v/>
      </c>
      <c r="B622" s="203" t="str">
        <f>IF(DATA!N552="","",DATA!N552)</f>
        <v/>
      </c>
      <c r="C622" s="203" t="str">
        <f>IF(DATA!O552="","",DATA!O552)</f>
        <v/>
      </c>
      <c r="D622" s="203" t="str">
        <f>IF(DATA!P552="","",DATA!P552)</f>
        <v/>
      </c>
      <c r="E622" s="13"/>
      <c r="F622" s="5" t="str">
        <f t="shared" si="80"/>
        <v/>
      </c>
      <c r="G622" s="1"/>
      <c r="H622" s="77">
        <f>IF(G622="",0,VLOOKUP(G622,REFCE!A:D,2,FALSE))</f>
        <v>0</v>
      </c>
      <c r="I622" s="77" t="str">
        <f t="shared" si="81"/>
        <v/>
      </c>
    </row>
    <row r="623" spans="1:9" x14ac:dyDescent="0.25">
      <c r="A623" s="203" t="str">
        <f>IF(DATA!M553="","",DATA!M553)</f>
        <v/>
      </c>
      <c r="B623" s="203" t="str">
        <f>IF(DATA!N553="","",DATA!N553)</f>
        <v/>
      </c>
      <c r="C623" s="203" t="str">
        <f>IF(DATA!O553="","",DATA!O553)</f>
        <v/>
      </c>
      <c r="D623" s="203" t="str">
        <f>IF(DATA!P553="","",DATA!P553)</f>
        <v/>
      </c>
      <c r="E623" s="13"/>
      <c r="F623" s="5" t="str">
        <f t="shared" si="80"/>
        <v/>
      </c>
      <c r="G623" s="1"/>
      <c r="H623" s="77">
        <f>IF(G623="",0,VLOOKUP(G623,REFCE!A:D,2,FALSE))</f>
        <v>0</v>
      </c>
      <c r="I623" s="77" t="str">
        <f t="shared" si="81"/>
        <v/>
      </c>
    </row>
    <row r="624" spans="1:9" x14ac:dyDescent="0.25">
      <c r="A624" s="203" t="str">
        <f>IF(DATA!M554="","",DATA!M554)</f>
        <v/>
      </c>
      <c r="B624" s="203" t="str">
        <f>IF(DATA!N554="","",DATA!N554)</f>
        <v/>
      </c>
      <c r="C624" s="203" t="str">
        <f>IF(DATA!O554="","",DATA!O554)</f>
        <v/>
      </c>
      <c r="D624" s="203" t="str">
        <f>IF(DATA!P554="","",DATA!P554)</f>
        <v/>
      </c>
      <c r="E624" s="13"/>
      <c r="F624" s="5" t="str">
        <f t="shared" si="80"/>
        <v/>
      </c>
      <c r="G624" s="1"/>
      <c r="H624" s="77">
        <f>IF(G624="",0,VLOOKUP(G624,REFCE!A:D,2,FALSE))</f>
        <v>0</v>
      </c>
      <c r="I624" s="77" t="str">
        <f t="shared" si="81"/>
        <v/>
      </c>
    </row>
    <row r="625" spans="1:9" x14ac:dyDescent="0.25">
      <c r="A625" s="203" t="str">
        <f>IF(DATA!M555="","",DATA!M555)</f>
        <v/>
      </c>
      <c r="B625" s="203" t="str">
        <f>IF(DATA!N555="","",DATA!N555)</f>
        <v/>
      </c>
      <c r="C625" s="203" t="str">
        <f>IF(DATA!O555="","",DATA!O555)</f>
        <v/>
      </c>
      <c r="D625" s="203" t="str">
        <f>IF(DATA!P555="","",DATA!P555)</f>
        <v/>
      </c>
      <c r="E625" s="13"/>
      <c r="F625" s="5" t="str">
        <f t="shared" si="80"/>
        <v/>
      </c>
      <c r="G625" s="1"/>
      <c r="H625" s="77">
        <f>IF(G625="",0,VLOOKUP(G625,REFCE!A:D,2,FALSE))</f>
        <v>0</v>
      </c>
      <c r="I625" s="77" t="str">
        <f t="shared" si="81"/>
        <v/>
      </c>
    </row>
    <row r="626" spans="1:9" x14ac:dyDescent="0.25">
      <c r="A626" s="203" t="str">
        <f>IF(DATA!M556="","",DATA!M556)</f>
        <v/>
      </c>
      <c r="B626" s="203" t="str">
        <f>IF(DATA!N556="","",DATA!N556)</f>
        <v/>
      </c>
      <c r="C626" s="203" t="str">
        <f>IF(DATA!O556="","",DATA!O556)</f>
        <v/>
      </c>
      <c r="D626" s="203" t="str">
        <f>IF(DATA!P556="","",DATA!P556)</f>
        <v/>
      </c>
      <c r="E626" s="13"/>
      <c r="F626" s="5" t="str">
        <f t="shared" si="80"/>
        <v/>
      </c>
      <c r="G626" s="1"/>
      <c r="H626" s="77">
        <f>IF(G626="",0,VLOOKUP(G626,REFCE!A:D,2,FALSE))</f>
        <v>0</v>
      </c>
      <c r="I626" s="77" t="str">
        <f t="shared" si="81"/>
        <v/>
      </c>
    </row>
    <row r="627" spans="1:9" x14ac:dyDescent="0.25">
      <c r="A627" s="203" t="str">
        <f>IF(DATA!M557="","",DATA!M557)</f>
        <v/>
      </c>
      <c r="B627" s="203" t="str">
        <f>IF(DATA!N557="","",DATA!N557)</f>
        <v/>
      </c>
      <c r="C627" s="203" t="str">
        <f>IF(DATA!O557="","",DATA!O557)</f>
        <v/>
      </c>
      <c r="D627" s="203" t="str">
        <f>IF(DATA!P557="","",DATA!P557)</f>
        <v/>
      </c>
      <c r="E627" s="13"/>
      <c r="F627" s="5" t="str">
        <f t="shared" si="80"/>
        <v/>
      </c>
      <c r="G627" s="1"/>
      <c r="H627" s="77">
        <f>IF(G627="",0,VLOOKUP(G627,REFCE!A:D,2,FALSE))</f>
        <v>0</v>
      </c>
      <c r="I627" s="77" t="str">
        <f t="shared" si="81"/>
        <v/>
      </c>
    </row>
    <row r="628" spans="1:9" x14ac:dyDescent="0.25">
      <c r="A628" s="203" t="str">
        <f>IF(DATA!M558="","",DATA!M558)</f>
        <v/>
      </c>
      <c r="B628" s="203" t="str">
        <f>IF(DATA!N558="","",DATA!N558)</f>
        <v/>
      </c>
      <c r="C628" s="203" t="str">
        <f>IF(DATA!O558="","",DATA!O558)</f>
        <v/>
      </c>
      <c r="D628" s="203" t="str">
        <f>IF(DATA!P558="","",DATA!P558)</f>
        <v/>
      </c>
      <c r="E628" s="13"/>
      <c r="F628" s="5" t="str">
        <f t="shared" si="80"/>
        <v/>
      </c>
      <c r="G628" s="1"/>
      <c r="H628" s="77">
        <f>IF(G628="",0,VLOOKUP(G628,REFCE!A:D,2,FALSE))</f>
        <v>0</v>
      </c>
      <c r="I628" s="77" t="str">
        <f t="shared" si="81"/>
        <v/>
      </c>
    </row>
    <row r="629" spans="1:9" x14ac:dyDescent="0.25">
      <c r="A629" s="203" t="str">
        <f>IF(DATA!M559="","",DATA!M559)</f>
        <v/>
      </c>
      <c r="B629" s="203" t="str">
        <f>IF(DATA!N559="","",DATA!N559)</f>
        <v/>
      </c>
      <c r="C629" s="203" t="str">
        <f>IF(DATA!O559="","",DATA!O559)</f>
        <v/>
      </c>
      <c r="D629" s="203" t="str">
        <f>IF(DATA!P559="","",DATA!P559)</f>
        <v/>
      </c>
      <c r="E629" s="13"/>
      <c r="F629" s="5" t="str">
        <f t="shared" si="80"/>
        <v/>
      </c>
      <c r="G629" s="1"/>
      <c r="H629" s="77">
        <f>IF(G629="",0,VLOOKUP(G629,REFCE!A:D,2,FALSE))</f>
        <v>0</v>
      </c>
      <c r="I629" s="77" t="str">
        <f t="shared" si="81"/>
        <v/>
      </c>
    </row>
    <row r="630" spans="1:9" x14ac:dyDescent="0.25">
      <c r="A630" s="203" t="str">
        <f>IF(DATA!M560="","",DATA!M560)</f>
        <v/>
      </c>
      <c r="B630" s="203" t="str">
        <f>IF(DATA!N560="","",DATA!N560)</f>
        <v/>
      </c>
      <c r="C630" s="203" t="str">
        <f>IF(DATA!O560="","",DATA!O560)</f>
        <v/>
      </c>
      <c r="D630" s="203" t="str">
        <f>IF(DATA!P560="","",DATA!P560)</f>
        <v/>
      </c>
      <c r="E630" s="13"/>
      <c r="F630" s="5" t="str">
        <f t="shared" si="80"/>
        <v/>
      </c>
      <c r="G630" s="1"/>
      <c r="H630" s="77">
        <f>IF(G630="",0,VLOOKUP(G630,REFCE!A:D,2,FALSE))</f>
        <v>0</v>
      </c>
      <c r="I630" s="77" t="str">
        <f t="shared" si="81"/>
        <v/>
      </c>
    </row>
    <row r="631" spans="1:9" x14ac:dyDescent="0.25">
      <c r="A631" s="203" t="str">
        <f>IF(DATA!M561="","",DATA!M561)</f>
        <v/>
      </c>
      <c r="B631" s="203" t="str">
        <f>IF(DATA!N561="","",DATA!N561)</f>
        <v/>
      </c>
      <c r="C631" s="203" t="str">
        <f>IF(DATA!O561="","",DATA!O561)</f>
        <v/>
      </c>
      <c r="D631" s="203" t="str">
        <f>IF(DATA!P561="","",DATA!P561)</f>
        <v/>
      </c>
      <c r="E631" s="13"/>
      <c r="F631" s="5" t="str">
        <f t="shared" si="80"/>
        <v/>
      </c>
      <c r="G631" s="1"/>
      <c r="H631" s="77">
        <f>IF(G631="",0,VLOOKUP(G631,REFCE!A:D,2,FALSE))</f>
        <v>0</v>
      </c>
      <c r="I631" s="77" t="str">
        <f t="shared" si="81"/>
        <v/>
      </c>
    </row>
    <row r="632" spans="1:9" x14ac:dyDescent="0.25">
      <c r="A632" s="203" t="str">
        <f>IF(DATA!M562="","",DATA!M562)</f>
        <v/>
      </c>
      <c r="B632" s="203" t="str">
        <f>IF(DATA!N562="","",DATA!N562)</f>
        <v/>
      </c>
      <c r="C632" s="203" t="str">
        <f>IF(DATA!O562="","",DATA!O562)</f>
        <v/>
      </c>
      <c r="D632" s="203" t="str">
        <f>IF(DATA!P562="","",DATA!P562)</f>
        <v/>
      </c>
      <c r="E632" s="13"/>
      <c r="F632" s="5" t="str">
        <f t="shared" si="80"/>
        <v/>
      </c>
      <c r="G632" s="1"/>
      <c r="H632" s="77">
        <f>IF(G632="",0,VLOOKUP(G632,REFCE!A:D,2,FALSE))</f>
        <v>0</v>
      </c>
      <c r="I632" s="77" t="str">
        <f t="shared" si="81"/>
        <v/>
      </c>
    </row>
    <row r="633" spans="1:9" x14ac:dyDescent="0.25">
      <c r="A633" s="203" t="str">
        <f>IF(DATA!M563="","",DATA!M563)</f>
        <v/>
      </c>
      <c r="B633" s="203" t="str">
        <f>IF(DATA!N563="","",DATA!N563)</f>
        <v/>
      </c>
      <c r="C633" s="203" t="str">
        <f>IF(DATA!O563="","",DATA!O563)</f>
        <v/>
      </c>
      <c r="D633" s="203" t="str">
        <f>IF(DATA!P563="","",DATA!P563)</f>
        <v/>
      </c>
      <c r="E633" s="13"/>
      <c r="F633" s="5" t="str">
        <f t="shared" si="80"/>
        <v/>
      </c>
      <c r="G633" s="1"/>
      <c r="H633" s="77">
        <f>IF(G633="",0,VLOOKUP(G633,REFCE!A:D,2,FALSE))</f>
        <v>0</v>
      </c>
      <c r="I633" s="77" t="str">
        <f t="shared" si="81"/>
        <v/>
      </c>
    </row>
    <row r="634" spans="1:9" x14ac:dyDescent="0.25">
      <c r="A634" s="203" t="str">
        <f>IF(DATA!M564="","",DATA!M564)</f>
        <v/>
      </c>
      <c r="B634" s="203" t="str">
        <f>IF(DATA!N564="","",DATA!N564)</f>
        <v/>
      </c>
      <c r="C634" s="203" t="str">
        <f>IF(DATA!O564="","",DATA!O564)</f>
        <v/>
      </c>
      <c r="D634" s="203" t="str">
        <f>IF(DATA!P564="","",DATA!P564)</f>
        <v/>
      </c>
      <c r="E634" s="13"/>
      <c r="F634" s="5" t="str">
        <f t="shared" si="80"/>
        <v/>
      </c>
      <c r="G634" s="1"/>
      <c r="H634" s="77">
        <f>IF(G634="",0,VLOOKUP(G634,REFCE!A:D,2,FALSE))</f>
        <v>0</v>
      </c>
      <c r="I634" s="77" t="str">
        <f t="shared" si="81"/>
        <v/>
      </c>
    </row>
    <row r="635" spans="1:9" x14ac:dyDescent="0.25">
      <c r="A635" s="203" t="str">
        <f>IF(DATA!M565="","",DATA!M565)</f>
        <v/>
      </c>
      <c r="B635" s="203" t="str">
        <f>IF(DATA!N565="","",DATA!N565)</f>
        <v/>
      </c>
      <c r="C635" s="203" t="str">
        <f>IF(DATA!O565="","",DATA!O565)</f>
        <v/>
      </c>
      <c r="D635" s="203" t="str">
        <f>IF(DATA!P565="","",DATA!P565)</f>
        <v/>
      </c>
      <c r="E635" s="13"/>
      <c r="F635" s="5" t="str">
        <f t="shared" si="80"/>
        <v/>
      </c>
      <c r="G635" s="1"/>
      <c r="H635" s="77">
        <f>IF(G635="",0,VLOOKUP(G635,REFCE!A:D,2,FALSE))</f>
        <v>0</v>
      </c>
      <c r="I635" s="77" t="str">
        <f t="shared" si="81"/>
        <v/>
      </c>
    </row>
    <row r="636" spans="1:9" x14ac:dyDescent="0.25">
      <c r="A636" s="203" t="str">
        <f>IF(DATA!M566="","",DATA!M566)</f>
        <v/>
      </c>
      <c r="B636" s="203" t="str">
        <f>IF(DATA!N566="","",DATA!N566)</f>
        <v/>
      </c>
      <c r="C636" s="203" t="str">
        <f>IF(DATA!O566="","",DATA!O566)</f>
        <v/>
      </c>
      <c r="D636" s="203" t="str">
        <f>IF(DATA!P566="","",DATA!P566)</f>
        <v/>
      </c>
      <c r="E636" s="13"/>
      <c r="F636" s="5" t="str">
        <f t="shared" si="80"/>
        <v/>
      </c>
      <c r="G636" s="1"/>
      <c r="H636" s="77">
        <f>IF(G636="",0,VLOOKUP(G636,REFCE!A:D,2,FALSE))</f>
        <v>0</v>
      </c>
      <c r="I636" s="77" t="str">
        <f t="shared" si="81"/>
        <v/>
      </c>
    </row>
    <row r="637" spans="1:9" x14ac:dyDescent="0.25">
      <c r="A637" s="203" t="str">
        <f>IF(DATA!M567="","",DATA!M567)</f>
        <v/>
      </c>
      <c r="B637" s="203" t="str">
        <f>IF(DATA!N567="","",DATA!N567)</f>
        <v/>
      </c>
      <c r="C637" s="203" t="str">
        <f>IF(DATA!O567="","",DATA!O567)</f>
        <v/>
      </c>
      <c r="D637" s="203" t="str">
        <f>IF(DATA!P567="","",DATA!P567)</f>
        <v/>
      </c>
      <c r="E637" s="13"/>
      <c r="F637" s="5" t="str">
        <f t="shared" si="80"/>
        <v/>
      </c>
      <c r="G637" s="1"/>
      <c r="H637" s="77">
        <f>IF(G637="",0,VLOOKUP(G637,REFCE!A:D,2,FALSE))</f>
        <v>0</v>
      </c>
      <c r="I637" s="77" t="str">
        <f t="shared" si="81"/>
        <v/>
      </c>
    </row>
    <row r="638" spans="1:9" x14ac:dyDescent="0.25">
      <c r="A638" s="203" t="str">
        <f>IF(DATA!M568="","",DATA!M568)</f>
        <v/>
      </c>
      <c r="B638" s="203" t="str">
        <f>IF(DATA!N568="","",DATA!N568)</f>
        <v/>
      </c>
      <c r="C638" s="203" t="str">
        <f>IF(DATA!O568="","",DATA!O568)</f>
        <v/>
      </c>
      <c r="D638" s="203" t="str">
        <f>IF(DATA!P568="","",DATA!P568)</f>
        <v/>
      </c>
      <c r="E638" s="13"/>
      <c r="F638" s="5" t="str">
        <f t="shared" si="80"/>
        <v/>
      </c>
      <c r="G638" s="1"/>
      <c r="H638" s="77">
        <f>IF(G638="",0,VLOOKUP(G638,REFCE!A:D,2,FALSE))</f>
        <v>0</v>
      </c>
      <c r="I638" s="77" t="str">
        <f t="shared" si="81"/>
        <v/>
      </c>
    </row>
    <row r="639" spans="1:9" x14ac:dyDescent="0.25">
      <c r="A639" s="203" t="str">
        <f>IF(DATA!M569="","",DATA!M569)</f>
        <v/>
      </c>
      <c r="B639" s="203" t="str">
        <f>IF(DATA!N569="","",DATA!N569)</f>
        <v/>
      </c>
      <c r="C639" s="203" t="str">
        <f>IF(DATA!O569="","",DATA!O569)</f>
        <v/>
      </c>
      <c r="D639" s="203" t="str">
        <f>IF(DATA!P569="","",DATA!P569)</f>
        <v/>
      </c>
      <c r="E639" s="13"/>
      <c r="F639" s="5" t="str">
        <f t="shared" si="80"/>
        <v/>
      </c>
      <c r="G639" s="1"/>
      <c r="H639" s="77">
        <f>IF(G639="",0,VLOOKUP(G639,REFCE!A:D,2,FALSE))</f>
        <v>0</v>
      </c>
      <c r="I639" s="77" t="str">
        <f t="shared" si="81"/>
        <v/>
      </c>
    </row>
    <row r="640" spans="1:9" x14ac:dyDescent="0.25">
      <c r="A640" s="203" t="str">
        <f>IF(DATA!M570="","",DATA!M570)</f>
        <v/>
      </c>
      <c r="B640" s="203" t="str">
        <f>IF(DATA!N570="","",DATA!N570)</f>
        <v/>
      </c>
      <c r="C640" s="203" t="str">
        <f>IF(DATA!O570="","",DATA!O570)</f>
        <v/>
      </c>
      <c r="D640" s="203" t="str">
        <f>IF(DATA!P570="","",DATA!P570)</f>
        <v/>
      </c>
      <c r="E640" s="13"/>
      <c r="F640" s="5" t="str">
        <f t="shared" si="80"/>
        <v/>
      </c>
      <c r="G640" s="1"/>
      <c r="H640" s="77">
        <f>IF(G640="",0,VLOOKUP(G640,REFCE!A:D,2,FALSE))</f>
        <v>0</v>
      </c>
      <c r="I640" s="77" t="str">
        <f t="shared" si="81"/>
        <v/>
      </c>
    </row>
    <row r="641" spans="1:9" x14ac:dyDescent="0.25">
      <c r="A641" s="203" t="str">
        <f>IF(DATA!M571="","",DATA!M571)</f>
        <v/>
      </c>
      <c r="B641" s="203" t="str">
        <f>IF(DATA!N571="","",DATA!N571)</f>
        <v/>
      </c>
      <c r="C641" s="203" t="str">
        <f>IF(DATA!O571="","",DATA!O571)</f>
        <v/>
      </c>
      <c r="D641" s="203" t="str">
        <f>IF(DATA!P571="","",DATA!P571)</f>
        <v/>
      </c>
      <c r="E641" s="13"/>
      <c r="F641" s="5" t="str">
        <f t="shared" si="80"/>
        <v/>
      </c>
      <c r="G641" s="1"/>
      <c r="H641" s="77">
        <f>IF(G641="",0,VLOOKUP(G641,REFCE!A:D,2,FALSE))</f>
        <v>0</v>
      </c>
      <c r="I641" s="77" t="str">
        <f t="shared" si="81"/>
        <v/>
      </c>
    </row>
    <row r="642" spans="1:9" x14ac:dyDescent="0.25">
      <c r="A642" s="203" t="str">
        <f>IF(DATA!M572="","",DATA!M572)</f>
        <v/>
      </c>
      <c r="B642" s="203" t="str">
        <f>IF(DATA!N572="","",DATA!N572)</f>
        <v/>
      </c>
      <c r="C642" s="203" t="str">
        <f>IF(DATA!O572="","",DATA!O572)</f>
        <v/>
      </c>
      <c r="D642" s="203" t="str">
        <f>IF(DATA!P572="","",DATA!P572)</f>
        <v/>
      </c>
      <c r="E642" s="13"/>
      <c r="F642" s="5" t="str">
        <f t="shared" si="80"/>
        <v/>
      </c>
      <c r="G642" s="1"/>
      <c r="H642" s="77">
        <f>IF(G642="",0,VLOOKUP(G642,REFCE!A:D,2,FALSE))</f>
        <v>0</v>
      </c>
      <c r="I642" s="77" t="str">
        <f t="shared" si="81"/>
        <v/>
      </c>
    </row>
    <row r="643" spans="1:9" x14ac:dyDescent="0.25">
      <c r="A643" s="203" t="str">
        <f>IF(DATA!M573="","",DATA!M573)</f>
        <v/>
      </c>
      <c r="B643" s="203" t="str">
        <f>IF(DATA!N573="","",DATA!N573)</f>
        <v/>
      </c>
      <c r="C643" s="203" t="str">
        <f>IF(DATA!O573="","",DATA!O573)</f>
        <v/>
      </c>
      <c r="D643" s="203" t="str">
        <f>IF(DATA!P573="","",DATA!P573)</f>
        <v/>
      </c>
      <c r="E643" s="13"/>
      <c r="F643" s="5" t="str">
        <f t="shared" si="80"/>
        <v/>
      </c>
      <c r="G643" s="1"/>
      <c r="H643" s="77">
        <f>IF(G643="",0,VLOOKUP(G643,REFCE!A:D,2,FALSE))</f>
        <v>0</v>
      </c>
      <c r="I643" s="77" t="str">
        <f t="shared" si="81"/>
        <v/>
      </c>
    </row>
    <row r="644" spans="1:9" x14ac:dyDescent="0.25">
      <c r="A644" s="203" t="str">
        <f>IF(DATA!M574="","",DATA!M574)</f>
        <v/>
      </c>
      <c r="B644" s="203" t="str">
        <f>IF(DATA!N574="","",DATA!N574)</f>
        <v/>
      </c>
      <c r="C644" s="203" t="str">
        <f>IF(DATA!O574="","",DATA!O574)</f>
        <v/>
      </c>
      <c r="D644" s="203" t="str">
        <f>IF(DATA!P574="","",DATA!P574)</f>
        <v/>
      </c>
      <c r="E644" s="13"/>
      <c r="F644" s="5" t="str">
        <f t="shared" si="80"/>
        <v/>
      </c>
      <c r="G644" s="1"/>
      <c r="H644" s="77">
        <f>IF(G644="",0,VLOOKUP(G644,REFCE!A:D,2,FALSE))</f>
        <v>0</v>
      </c>
      <c r="I644" s="77" t="str">
        <f t="shared" si="81"/>
        <v/>
      </c>
    </row>
    <row r="645" spans="1:9" x14ac:dyDescent="0.25">
      <c r="A645" s="203" t="str">
        <f>IF(DATA!M575="","",DATA!M575)</f>
        <v/>
      </c>
      <c r="B645" s="203" t="str">
        <f>IF(DATA!N575="","",DATA!N575)</f>
        <v/>
      </c>
      <c r="C645" s="203" t="str">
        <f>IF(DATA!O575="","",DATA!O575)</f>
        <v/>
      </c>
      <c r="D645" s="203" t="str">
        <f>IF(DATA!P575="","",DATA!P575)</f>
        <v/>
      </c>
      <c r="E645" s="13"/>
      <c r="F645" s="5" t="str">
        <f t="shared" si="80"/>
        <v/>
      </c>
      <c r="G645" s="1"/>
      <c r="H645" s="77">
        <f>IF(G645="",0,VLOOKUP(G645,REFCE!A:D,2,FALSE))</f>
        <v>0</v>
      </c>
      <c r="I645" s="77" t="str">
        <f t="shared" si="81"/>
        <v/>
      </c>
    </row>
    <row r="646" spans="1:9" x14ac:dyDescent="0.25">
      <c r="A646" s="203" t="str">
        <f>IF(DATA!M576="","",DATA!M576)</f>
        <v/>
      </c>
      <c r="B646" s="203" t="str">
        <f>IF(DATA!N576="","",DATA!N576)</f>
        <v/>
      </c>
      <c r="C646" s="203" t="str">
        <f>IF(DATA!O576="","",DATA!O576)</f>
        <v/>
      </c>
      <c r="D646" s="203" t="str">
        <f>IF(DATA!P576="","",DATA!P576)</f>
        <v/>
      </c>
      <c r="E646" s="13"/>
      <c r="F646" s="5" t="str">
        <f t="shared" si="80"/>
        <v/>
      </c>
      <c r="G646" s="1"/>
      <c r="H646" s="77">
        <f>IF(G646="",0,VLOOKUP(G646,REFCE!A:D,2,FALSE))</f>
        <v>0</v>
      </c>
      <c r="I646" s="77" t="str">
        <f t="shared" si="81"/>
        <v/>
      </c>
    </row>
    <row r="647" spans="1:9" x14ac:dyDescent="0.25">
      <c r="A647" s="203" t="str">
        <f>IF(DATA!M577="","",DATA!M577)</f>
        <v/>
      </c>
      <c r="B647" s="203" t="str">
        <f>IF(DATA!N577="","",DATA!N577)</f>
        <v/>
      </c>
      <c r="C647" s="203" t="str">
        <f>IF(DATA!O577="","",DATA!O577)</f>
        <v/>
      </c>
      <c r="D647" s="203" t="str">
        <f>IF(DATA!P577="","",DATA!P577)</f>
        <v/>
      </c>
      <c r="E647" s="13"/>
      <c r="F647" s="5" t="str">
        <f t="shared" si="80"/>
        <v/>
      </c>
      <c r="G647" s="1"/>
      <c r="H647" s="77">
        <f>IF(G647="",0,VLOOKUP(G647,REFCE!A:D,2,FALSE))</f>
        <v>0</v>
      </c>
      <c r="I647" s="77" t="str">
        <f t="shared" si="81"/>
        <v/>
      </c>
    </row>
    <row r="648" spans="1:9" x14ac:dyDescent="0.25">
      <c r="A648" s="203" t="str">
        <f>IF(DATA!M578="","",DATA!M578)</f>
        <v/>
      </c>
      <c r="B648" s="203" t="str">
        <f>IF(DATA!N578="","",DATA!N578)</f>
        <v/>
      </c>
      <c r="C648" s="203" t="str">
        <f>IF(DATA!O578="","",DATA!O578)</f>
        <v/>
      </c>
      <c r="D648" s="203" t="str">
        <f>IF(DATA!P578="","",DATA!P578)</f>
        <v/>
      </c>
      <c r="E648" s="13"/>
      <c r="F648" s="5" t="str">
        <f t="shared" si="80"/>
        <v/>
      </c>
      <c r="G648" s="1"/>
      <c r="H648" s="77">
        <f>IF(G648="",0,VLOOKUP(G648,REFCE!A:D,2,FALSE))</f>
        <v>0</v>
      </c>
      <c r="I648" s="77" t="str">
        <f t="shared" si="81"/>
        <v/>
      </c>
    </row>
    <row r="649" spans="1:9" x14ac:dyDescent="0.25">
      <c r="A649" s="203" t="str">
        <f>IF(DATA!M579="","",DATA!M579)</f>
        <v/>
      </c>
      <c r="B649" s="203" t="str">
        <f>IF(DATA!N579="","",DATA!N579)</f>
        <v/>
      </c>
      <c r="C649" s="203" t="str">
        <f>IF(DATA!O579="","",DATA!O579)</f>
        <v/>
      </c>
      <c r="D649" s="203" t="str">
        <f>IF(DATA!P579="","",DATA!P579)</f>
        <v/>
      </c>
      <c r="E649" s="13"/>
      <c r="F649" s="5" t="str">
        <f t="shared" si="80"/>
        <v/>
      </c>
      <c r="G649" s="1"/>
      <c r="H649" s="77">
        <f>IF(G649="",0,VLOOKUP(G649,REFCE!A:D,2,FALSE))</f>
        <v>0</v>
      </c>
      <c r="I649" s="77" t="str">
        <f t="shared" si="81"/>
        <v/>
      </c>
    </row>
    <row r="650" spans="1:9" x14ac:dyDescent="0.25">
      <c r="A650" s="203" t="str">
        <f>IF(DATA!M580="","",DATA!M580)</f>
        <v/>
      </c>
      <c r="B650" s="203" t="str">
        <f>IF(DATA!N580="","",DATA!N580)</f>
        <v/>
      </c>
      <c r="C650" s="203" t="str">
        <f>IF(DATA!O580="","",DATA!O580)</f>
        <v/>
      </c>
      <c r="D650" s="203" t="str">
        <f>IF(DATA!P580="","",DATA!P580)</f>
        <v/>
      </c>
      <c r="E650" s="13"/>
      <c r="F650" s="5" t="str">
        <f t="shared" si="80"/>
        <v/>
      </c>
      <c r="G650" s="1"/>
      <c r="H650" s="77">
        <f>IF(G650="",0,VLOOKUP(G650,REFCE!A:D,2,FALSE))</f>
        <v>0</v>
      </c>
      <c r="I650" s="77" t="str">
        <f t="shared" si="81"/>
        <v/>
      </c>
    </row>
    <row r="651" spans="1:9" x14ac:dyDescent="0.25">
      <c r="A651" s="203" t="str">
        <f>IF(DATA!M581="","",DATA!M581)</f>
        <v/>
      </c>
      <c r="B651" s="203" t="str">
        <f>IF(DATA!N581="","",DATA!N581)</f>
        <v/>
      </c>
      <c r="C651" s="203" t="str">
        <f>IF(DATA!O581="","",DATA!O581)</f>
        <v/>
      </c>
      <c r="D651" s="203" t="str">
        <f>IF(DATA!P581="","",DATA!P581)</f>
        <v/>
      </c>
      <c r="E651" s="13"/>
      <c r="F651" s="5" t="str">
        <f t="shared" si="80"/>
        <v/>
      </c>
      <c r="G651" s="1"/>
      <c r="H651" s="77">
        <f>IF(G651="",0,VLOOKUP(G651,REFCE!A:D,2,FALSE))</f>
        <v>0</v>
      </c>
      <c r="I651" s="77" t="str">
        <f t="shared" si="81"/>
        <v/>
      </c>
    </row>
    <row r="652" spans="1:9" x14ac:dyDescent="0.25">
      <c r="A652" s="203" t="str">
        <f>IF(DATA!M582="","",DATA!M582)</f>
        <v/>
      </c>
      <c r="B652" s="203" t="str">
        <f>IF(DATA!N582="","",DATA!N582)</f>
        <v/>
      </c>
      <c r="C652" s="203" t="str">
        <f>IF(DATA!O582="","",DATA!O582)</f>
        <v/>
      </c>
      <c r="D652" s="203" t="str">
        <f>IF(DATA!P582="","",DATA!P582)</f>
        <v/>
      </c>
      <c r="E652" s="13"/>
      <c r="F652" s="5" t="str">
        <f t="shared" si="80"/>
        <v/>
      </c>
      <c r="G652" s="1"/>
      <c r="H652" s="77">
        <f>IF(G652="",0,VLOOKUP(G652,REFCE!A:D,2,FALSE))</f>
        <v>0</v>
      </c>
      <c r="I652" s="77" t="str">
        <f t="shared" si="81"/>
        <v/>
      </c>
    </row>
    <row r="653" spans="1:9" x14ac:dyDescent="0.25">
      <c r="A653" s="203" t="str">
        <f>IF(DATA!M583="","",DATA!M583)</f>
        <v/>
      </c>
      <c r="B653" s="203" t="str">
        <f>IF(DATA!N583="","",DATA!N583)</f>
        <v/>
      </c>
      <c r="C653" s="203" t="str">
        <f>IF(DATA!O583="","",DATA!O583)</f>
        <v/>
      </c>
      <c r="D653" s="203" t="str">
        <f>IF(DATA!P583="","",DATA!P583)</f>
        <v/>
      </c>
      <c r="E653" s="13"/>
      <c r="F653" s="5" t="str">
        <f t="shared" si="80"/>
        <v/>
      </c>
      <c r="G653" s="1"/>
      <c r="H653" s="77">
        <f>IF(G653="",0,VLOOKUP(G653,REFCE!A:D,2,FALSE))</f>
        <v>0</v>
      </c>
      <c r="I653" s="77" t="str">
        <f t="shared" si="81"/>
        <v/>
      </c>
    </row>
    <row r="654" spans="1:9" x14ac:dyDescent="0.25">
      <c r="A654" s="203" t="str">
        <f>IF(DATA!M584="","",DATA!M584)</f>
        <v/>
      </c>
      <c r="B654" s="203" t="str">
        <f>IF(DATA!N584="","",DATA!N584)</f>
        <v/>
      </c>
      <c r="C654" s="203" t="str">
        <f>IF(DATA!O584="","",DATA!O584)</f>
        <v/>
      </c>
      <c r="D654" s="203" t="str">
        <f>IF(DATA!P584="","",DATA!P584)</f>
        <v/>
      </c>
      <c r="E654" s="13"/>
      <c r="F654" s="5" t="str">
        <f t="shared" ref="F654:F717" si="82">IF(D654="","",D654*E654)</f>
        <v/>
      </c>
      <c r="G654" s="1"/>
      <c r="H654" s="77">
        <f>IF(G654="",0,VLOOKUP(G654,REFCE!A:D,2,FALSE))</f>
        <v>0</v>
      </c>
      <c r="I654" s="77" t="str">
        <f t="shared" ref="I654:I717" si="83">IF(F654="","",F654*H654)</f>
        <v/>
      </c>
    </row>
    <row r="655" spans="1:9" x14ac:dyDescent="0.25">
      <c r="A655" s="203" t="str">
        <f>IF(DATA!M585="","",DATA!M585)</f>
        <v/>
      </c>
      <c r="B655" s="203" t="str">
        <f>IF(DATA!N585="","",DATA!N585)</f>
        <v/>
      </c>
      <c r="C655" s="203" t="str">
        <f>IF(DATA!O585="","",DATA!O585)</f>
        <v/>
      </c>
      <c r="D655" s="203" t="str">
        <f>IF(DATA!P585="","",DATA!P585)</f>
        <v/>
      </c>
      <c r="E655" s="13"/>
      <c r="F655" s="5" t="str">
        <f t="shared" si="82"/>
        <v/>
      </c>
      <c r="G655" s="1"/>
      <c r="H655" s="77">
        <f>IF(G655="",0,VLOOKUP(G655,REFCE!A:D,2,FALSE))</f>
        <v>0</v>
      </c>
      <c r="I655" s="77" t="str">
        <f t="shared" si="83"/>
        <v/>
      </c>
    </row>
    <row r="656" spans="1:9" x14ac:dyDescent="0.25">
      <c r="A656" s="203" t="str">
        <f>IF(DATA!M586="","",DATA!M586)</f>
        <v/>
      </c>
      <c r="B656" s="203" t="str">
        <f>IF(DATA!N586="","",DATA!N586)</f>
        <v/>
      </c>
      <c r="C656" s="203" t="str">
        <f>IF(DATA!O586="","",DATA!O586)</f>
        <v/>
      </c>
      <c r="D656" s="203" t="str">
        <f>IF(DATA!P586="","",DATA!P586)</f>
        <v/>
      </c>
      <c r="E656" s="13"/>
      <c r="F656" s="5" t="str">
        <f t="shared" si="82"/>
        <v/>
      </c>
      <c r="G656" s="1"/>
      <c r="H656" s="77">
        <f>IF(G656="",0,VLOOKUP(G656,REFCE!A:D,2,FALSE))</f>
        <v>0</v>
      </c>
      <c r="I656" s="77" t="str">
        <f t="shared" si="83"/>
        <v/>
      </c>
    </row>
    <row r="657" spans="1:9" x14ac:dyDescent="0.25">
      <c r="A657" s="203" t="str">
        <f>IF(DATA!M587="","",DATA!M587)</f>
        <v/>
      </c>
      <c r="B657" s="203" t="str">
        <f>IF(DATA!N587="","",DATA!N587)</f>
        <v/>
      </c>
      <c r="C657" s="203" t="str">
        <f>IF(DATA!O587="","",DATA!O587)</f>
        <v/>
      </c>
      <c r="D657" s="203" t="str">
        <f>IF(DATA!P587="","",DATA!P587)</f>
        <v/>
      </c>
      <c r="E657" s="13"/>
      <c r="F657" s="5" t="str">
        <f t="shared" si="82"/>
        <v/>
      </c>
      <c r="G657" s="1"/>
      <c r="H657" s="77">
        <f>IF(G657="",0,VLOOKUP(G657,REFCE!A:D,2,FALSE))</f>
        <v>0</v>
      </c>
      <c r="I657" s="77" t="str">
        <f t="shared" si="83"/>
        <v/>
      </c>
    </row>
    <row r="658" spans="1:9" x14ac:dyDescent="0.25">
      <c r="A658" s="203" t="str">
        <f>IF(DATA!M588="","",DATA!M588)</f>
        <v/>
      </c>
      <c r="B658" s="203" t="str">
        <f>IF(DATA!N588="","",DATA!N588)</f>
        <v/>
      </c>
      <c r="C658" s="203" t="str">
        <f>IF(DATA!O588="","",DATA!O588)</f>
        <v/>
      </c>
      <c r="D658" s="203" t="str">
        <f>IF(DATA!P588="","",DATA!P588)</f>
        <v/>
      </c>
      <c r="E658" s="13"/>
      <c r="F658" s="5" t="str">
        <f t="shared" si="82"/>
        <v/>
      </c>
      <c r="G658" s="1"/>
      <c r="H658" s="77">
        <f>IF(G658="",0,VLOOKUP(G658,REFCE!A:D,2,FALSE))</f>
        <v>0</v>
      </c>
      <c r="I658" s="77" t="str">
        <f t="shared" si="83"/>
        <v/>
      </c>
    </row>
    <row r="659" spans="1:9" x14ac:dyDescent="0.25">
      <c r="A659" s="203" t="str">
        <f>IF(DATA!M589="","",DATA!M589)</f>
        <v/>
      </c>
      <c r="B659" s="203" t="str">
        <f>IF(DATA!N589="","",DATA!N589)</f>
        <v/>
      </c>
      <c r="C659" s="203" t="str">
        <f>IF(DATA!O589="","",DATA!O589)</f>
        <v/>
      </c>
      <c r="D659" s="203" t="str">
        <f>IF(DATA!P589="","",DATA!P589)</f>
        <v/>
      </c>
      <c r="E659" s="13"/>
      <c r="F659" s="5" t="str">
        <f t="shared" si="82"/>
        <v/>
      </c>
      <c r="G659" s="1"/>
      <c r="H659" s="77">
        <f>IF(G659="",0,VLOOKUP(G659,REFCE!A:D,2,FALSE))</f>
        <v>0</v>
      </c>
      <c r="I659" s="77" t="str">
        <f t="shared" si="83"/>
        <v/>
      </c>
    </row>
    <row r="660" spans="1:9" x14ac:dyDescent="0.25">
      <c r="A660" s="203" t="str">
        <f>IF(DATA!M590="","",DATA!M590)</f>
        <v/>
      </c>
      <c r="B660" s="203" t="str">
        <f>IF(DATA!N590="","",DATA!N590)</f>
        <v/>
      </c>
      <c r="C660" s="203" t="str">
        <f>IF(DATA!O590="","",DATA!O590)</f>
        <v/>
      </c>
      <c r="D660" s="203" t="str">
        <f>IF(DATA!P590="","",DATA!P590)</f>
        <v/>
      </c>
      <c r="E660" s="13"/>
      <c r="F660" s="5" t="str">
        <f t="shared" si="82"/>
        <v/>
      </c>
      <c r="G660" s="1"/>
      <c r="H660" s="77">
        <f>IF(G660="",0,VLOOKUP(G660,REFCE!A:D,2,FALSE))</f>
        <v>0</v>
      </c>
      <c r="I660" s="77" t="str">
        <f t="shared" si="83"/>
        <v/>
      </c>
    </row>
    <row r="661" spans="1:9" x14ac:dyDescent="0.25">
      <c r="A661" s="203" t="str">
        <f>IF(DATA!M591="","",DATA!M591)</f>
        <v/>
      </c>
      <c r="B661" s="203" t="str">
        <f>IF(DATA!N591="","",DATA!N591)</f>
        <v/>
      </c>
      <c r="C661" s="203" t="str">
        <f>IF(DATA!O591="","",DATA!O591)</f>
        <v/>
      </c>
      <c r="D661" s="203" t="str">
        <f>IF(DATA!P591="","",DATA!P591)</f>
        <v/>
      </c>
      <c r="E661" s="13"/>
      <c r="F661" s="5" t="str">
        <f t="shared" si="82"/>
        <v/>
      </c>
      <c r="G661" s="1"/>
      <c r="H661" s="77">
        <f>IF(G661="",0,VLOOKUP(G661,REFCE!A:D,2,FALSE))</f>
        <v>0</v>
      </c>
      <c r="I661" s="77" t="str">
        <f t="shared" si="83"/>
        <v/>
      </c>
    </row>
    <row r="662" spans="1:9" x14ac:dyDescent="0.25">
      <c r="A662" s="203" t="str">
        <f>IF(DATA!M592="","",DATA!M592)</f>
        <v/>
      </c>
      <c r="B662" s="203" t="str">
        <f>IF(DATA!N592="","",DATA!N592)</f>
        <v/>
      </c>
      <c r="C662" s="203" t="str">
        <f>IF(DATA!O592="","",DATA!O592)</f>
        <v/>
      </c>
      <c r="D662" s="203" t="str">
        <f>IF(DATA!P592="","",DATA!P592)</f>
        <v/>
      </c>
      <c r="E662" s="13"/>
      <c r="F662" s="5" t="str">
        <f t="shared" si="82"/>
        <v/>
      </c>
      <c r="G662" s="1"/>
      <c r="H662" s="77">
        <f>IF(G662="",0,VLOOKUP(G662,REFCE!A:D,2,FALSE))</f>
        <v>0</v>
      </c>
      <c r="I662" s="77" t="str">
        <f t="shared" si="83"/>
        <v/>
      </c>
    </row>
    <row r="663" spans="1:9" x14ac:dyDescent="0.25">
      <c r="A663" s="203" t="str">
        <f>IF(DATA!M593="","",DATA!M593)</f>
        <v/>
      </c>
      <c r="B663" s="203" t="str">
        <f>IF(DATA!N593="","",DATA!N593)</f>
        <v/>
      </c>
      <c r="C663" s="203" t="str">
        <f>IF(DATA!O593="","",DATA!O593)</f>
        <v/>
      </c>
      <c r="D663" s="203" t="str">
        <f>IF(DATA!P593="","",DATA!P593)</f>
        <v/>
      </c>
      <c r="E663" s="13"/>
      <c r="F663" s="5" t="str">
        <f t="shared" si="82"/>
        <v/>
      </c>
      <c r="G663" s="1"/>
      <c r="H663" s="77">
        <f>IF(G663="",0,VLOOKUP(G663,REFCE!A:D,2,FALSE))</f>
        <v>0</v>
      </c>
      <c r="I663" s="77" t="str">
        <f t="shared" si="83"/>
        <v/>
      </c>
    </row>
    <row r="664" spans="1:9" x14ac:dyDescent="0.25">
      <c r="A664" s="203" t="str">
        <f>IF(DATA!M594="","",DATA!M594)</f>
        <v/>
      </c>
      <c r="B664" s="203" t="str">
        <f>IF(DATA!N594="","",DATA!N594)</f>
        <v/>
      </c>
      <c r="C664" s="203" t="str">
        <f>IF(DATA!O594="","",DATA!O594)</f>
        <v/>
      </c>
      <c r="D664" s="203" t="str">
        <f>IF(DATA!P594="","",DATA!P594)</f>
        <v/>
      </c>
      <c r="E664" s="13"/>
      <c r="F664" s="5" t="str">
        <f t="shared" si="82"/>
        <v/>
      </c>
      <c r="G664" s="1"/>
      <c r="H664" s="77">
        <f>IF(G664="",0,VLOOKUP(G664,REFCE!A:D,2,FALSE))</f>
        <v>0</v>
      </c>
      <c r="I664" s="77" t="str">
        <f t="shared" si="83"/>
        <v/>
      </c>
    </row>
    <row r="665" spans="1:9" x14ac:dyDescent="0.25">
      <c r="A665" s="203" t="str">
        <f>IF(DATA!M595="","",DATA!M595)</f>
        <v/>
      </c>
      <c r="B665" s="203" t="str">
        <f>IF(DATA!N595="","",DATA!N595)</f>
        <v/>
      </c>
      <c r="C665" s="203" t="str">
        <f>IF(DATA!O595="","",DATA!O595)</f>
        <v/>
      </c>
      <c r="D665" s="203" t="str">
        <f>IF(DATA!P595="","",DATA!P595)</f>
        <v/>
      </c>
      <c r="E665" s="13"/>
      <c r="F665" s="5" t="str">
        <f t="shared" si="82"/>
        <v/>
      </c>
      <c r="G665" s="1"/>
      <c r="H665" s="77">
        <f>IF(G665="",0,VLOOKUP(G665,REFCE!A:D,2,FALSE))</f>
        <v>0</v>
      </c>
      <c r="I665" s="77" t="str">
        <f t="shared" si="83"/>
        <v/>
      </c>
    </row>
    <row r="666" spans="1:9" x14ac:dyDescent="0.25">
      <c r="A666" s="203" t="str">
        <f>IF(DATA!M596="","",DATA!M596)</f>
        <v/>
      </c>
      <c r="B666" s="203" t="str">
        <f>IF(DATA!N596="","",DATA!N596)</f>
        <v/>
      </c>
      <c r="C666" s="203" t="str">
        <f>IF(DATA!O596="","",DATA!O596)</f>
        <v/>
      </c>
      <c r="D666" s="203" t="str">
        <f>IF(DATA!P596="","",DATA!P596)</f>
        <v/>
      </c>
      <c r="E666" s="13"/>
      <c r="F666" s="5" t="str">
        <f t="shared" si="82"/>
        <v/>
      </c>
      <c r="G666" s="1"/>
      <c r="H666" s="77">
        <f>IF(G666="",0,VLOOKUP(G666,REFCE!A:D,2,FALSE))</f>
        <v>0</v>
      </c>
      <c r="I666" s="77" t="str">
        <f t="shared" si="83"/>
        <v/>
      </c>
    </row>
    <row r="667" spans="1:9" x14ac:dyDescent="0.25">
      <c r="A667" s="203" t="str">
        <f>IF(DATA!M597="","",DATA!M597)</f>
        <v/>
      </c>
      <c r="B667" s="203" t="str">
        <f>IF(DATA!N597="","",DATA!N597)</f>
        <v/>
      </c>
      <c r="C667" s="203" t="str">
        <f>IF(DATA!O597="","",DATA!O597)</f>
        <v/>
      </c>
      <c r="D667" s="203" t="str">
        <f>IF(DATA!P597="","",DATA!P597)</f>
        <v/>
      </c>
      <c r="E667" s="13"/>
      <c r="F667" s="5" t="str">
        <f t="shared" si="82"/>
        <v/>
      </c>
      <c r="G667" s="1"/>
      <c r="H667" s="77">
        <f>IF(G667="",0,VLOOKUP(G667,REFCE!A:D,2,FALSE))</f>
        <v>0</v>
      </c>
      <c r="I667" s="77" t="str">
        <f t="shared" si="83"/>
        <v/>
      </c>
    </row>
    <row r="668" spans="1:9" x14ac:dyDescent="0.25">
      <c r="A668" s="203" t="str">
        <f>IF(DATA!M598="","",DATA!M598)</f>
        <v/>
      </c>
      <c r="B668" s="203" t="str">
        <f>IF(DATA!N598="","",DATA!N598)</f>
        <v/>
      </c>
      <c r="C668" s="203" t="str">
        <f>IF(DATA!O598="","",DATA!O598)</f>
        <v/>
      </c>
      <c r="D668" s="203" t="str">
        <f>IF(DATA!P598="","",DATA!P598)</f>
        <v/>
      </c>
      <c r="E668" s="13"/>
      <c r="F668" s="5" t="str">
        <f t="shared" si="82"/>
        <v/>
      </c>
      <c r="G668" s="1"/>
      <c r="H668" s="77">
        <f>IF(G668="",0,VLOOKUP(G668,REFCE!A:D,2,FALSE))</f>
        <v>0</v>
      </c>
      <c r="I668" s="77" t="str">
        <f t="shared" si="83"/>
        <v/>
      </c>
    </row>
    <row r="669" spans="1:9" x14ac:dyDescent="0.25">
      <c r="A669" s="203" t="str">
        <f>IF(DATA!M599="","",DATA!M599)</f>
        <v/>
      </c>
      <c r="B669" s="203" t="str">
        <f>IF(DATA!N599="","",DATA!N599)</f>
        <v/>
      </c>
      <c r="C669" s="203" t="str">
        <f>IF(DATA!O599="","",DATA!O599)</f>
        <v/>
      </c>
      <c r="D669" s="203" t="str">
        <f>IF(DATA!P599="","",DATA!P599)</f>
        <v/>
      </c>
      <c r="E669" s="13"/>
      <c r="F669" s="5" t="str">
        <f t="shared" si="82"/>
        <v/>
      </c>
      <c r="G669" s="1"/>
      <c r="H669" s="77">
        <f>IF(G669="",0,VLOOKUP(G669,REFCE!A:D,2,FALSE))</f>
        <v>0</v>
      </c>
      <c r="I669" s="77" t="str">
        <f t="shared" si="83"/>
        <v/>
      </c>
    </row>
    <row r="670" spans="1:9" x14ac:dyDescent="0.25">
      <c r="A670" s="203" t="str">
        <f>IF(DATA!M600="","",DATA!M600)</f>
        <v/>
      </c>
      <c r="B670" s="203" t="str">
        <f>IF(DATA!N600="","",DATA!N600)</f>
        <v/>
      </c>
      <c r="C670" s="203" t="str">
        <f>IF(DATA!O600="","",DATA!O600)</f>
        <v/>
      </c>
      <c r="D670" s="203" t="str">
        <f>IF(DATA!P600="","",DATA!P600)</f>
        <v/>
      </c>
      <c r="E670" s="13"/>
      <c r="F670" s="5" t="str">
        <f t="shared" si="82"/>
        <v/>
      </c>
      <c r="G670" s="1"/>
      <c r="H670" s="77">
        <f>IF(G670="",0,VLOOKUP(G670,REFCE!A:D,2,FALSE))</f>
        <v>0</v>
      </c>
      <c r="I670" s="77" t="str">
        <f t="shared" si="83"/>
        <v/>
      </c>
    </row>
    <row r="671" spans="1:9" x14ac:dyDescent="0.25">
      <c r="A671" s="203" t="str">
        <f>IF(DATA!M601="","",DATA!M601)</f>
        <v/>
      </c>
      <c r="B671" s="203" t="str">
        <f>IF(DATA!N601="","",DATA!N601)</f>
        <v/>
      </c>
      <c r="C671" s="203" t="str">
        <f>IF(DATA!O601="","",DATA!O601)</f>
        <v/>
      </c>
      <c r="D671" s="203" t="str">
        <f>IF(DATA!P601="","",DATA!P601)</f>
        <v/>
      </c>
      <c r="E671" s="13"/>
      <c r="F671" s="5" t="str">
        <f t="shared" si="82"/>
        <v/>
      </c>
      <c r="G671" s="1"/>
      <c r="H671" s="77">
        <f>IF(G671="",0,VLOOKUP(G671,REFCE!A:D,2,FALSE))</f>
        <v>0</v>
      </c>
      <c r="I671" s="77" t="str">
        <f t="shared" si="83"/>
        <v/>
      </c>
    </row>
    <row r="672" spans="1:9" x14ac:dyDescent="0.25">
      <c r="A672" s="203" t="str">
        <f>IF(DATA!M602="","",DATA!M602)</f>
        <v/>
      </c>
      <c r="B672" s="203" t="str">
        <f>IF(DATA!N602="","",DATA!N602)</f>
        <v/>
      </c>
      <c r="C672" s="203" t="str">
        <f>IF(DATA!O602="","",DATA!O602)</f>
        <v/>
      </c>
      <c r="D672" s="203" t="str">
        <f>IF(DATA!P602="","",DATA!P602)</f>
        <v/>
      </c>
      <c r="E672" s="13"/>
      <c r="F672" s="5" t="str">
        <f t="shared" si="82"/>
        <v/>
      </c>
      <c r="G672" s="1"/>
      <c r="H672" s="77">
        <f>IF(G672="",0,VLOOKUP(G672,REFCE!A:D,2,FALSE))</f>
        <v>0</v>
      </c>
      <c r="I672" s="77" t="str">
        <f t="shared" si="83"/>
        <v/>
      </c>
    </row>
    <row r="673" spans="1:9" x14ac:dyDescent="0.25">
      <c r="A673" s="203" t="str">
        <f>IF(DATA!M603="","",DATA!M603)</f>
        <v/>
      </c>
      <c r="B673" s="203" t="str">
        <f>IF(DATA!N603="","",DATA!N603)</f>
        <v/>
      </c>
      <c r="C673" s="203" t="str">
        <f>IF(DATA!O603="","",DATA!O603)</f>
        <v/>
      </c>
      <c r="D673" s="203" t="str">
        <f>IF(DATA!P603="","",DATA!P603)</f>
        <v/>
      </c>
      <c r="E673" s="13"/>
      <c r="F673" s="5" t="str">
        <f t="shared" si="82"/>
        <v/>
      </c>
      <c r="G673" s="1"/>
      <c r="H673" s="77">
        <f>IF(G673="",0,VLOOKUP(G673,REFCE!A:D,2,FALSE))</f>
        <v>0</v>
      </c>
      <c r="I673" s="77" t="str">
        <f t="shared" si="83"/>
        <v/>
      </c>
    </row>
    <row r="674" spans="1:9" x14ac:dyDescent="0.25">
      <c r="A674" s="203" t="str">
        <f>IF(DATA!M604="","",DATA!M604)</f>
        <v/>
      </c>
      <c r="B674" s="203" t="str">
        <f>IF(DATA!N604="","",DATA!N604)</f>
        <v/>
      </c>
      <c r="C674" s="203" t="str">
        <f>IF(DATA!O604="","",DATA!O604)</f>
        <v/>
      </c>
      <c r="D674" s="203" t="str">
        <f>IF(DATA!P604="","",DATA!P604)</f>
        <v/>
      </c>
      <c r="E674" s="13"/>
      <c r="F674" s="5" t="str">
        <f t="shared" si="82"/>
        <v/>
      </c>
      <c r="G674" s="1"/>
      <c r="H674" s="77">
        <f>IF(G674="",0,VLOOKUP(G674,REFCE!A:D,2,FALSE))</f>
        <v>0</v>
      </c>
      <c r="I674" s="77" t="str">
        <f t="shared" si="83"/>
        <v/>
      </c>
    </row>
    <row r="675" spans="1:9" x14ac:dyDescent="0.25">
      <c r="A675" s="203" t="str">
        <f>IF(DATA!M605="","",DATA!M605)</f>
        <v/>
      </c>
      <c r="B675" s="203" t="str">
        <f>IF(DATA!N605="","",DATA!N605)</f>
        <v/>
      </c>
      <c r="C675" s="203" t="str">
        <f>IF(DATA!O605="","",DATA!O605)</f>
        <v/>
      </c>
      <c r="D675" s="203" t="str">
        <f>IF(DATA!P605="","",DATA!P605)</f>
        <v/>
      </c>
      <c r="E675" s="13"/>
      <c r="F675" s="5" t="str">
        <f t="shared" si="82"/>
        <v/>
      </c>
      <c r="G675" s="1"/>
      <c r="H675" s="77">
        <f>IF(G675="",0,VLOOKUP(G675,REFCE!A:D,2,FALSE))</f>
        <v>0</v>
      </c>
      <c r="I675" s="77" t="str">
        <f t="shared" si="83"/>
        <v/>
      </c>
    </row>
    <row r="676" spans="1:9" x14ac:dyDescent="0.25">
      <c r="A676" s="203" t="str">
        <f>IF(DATA!M606="","",DATA!M606)</f>
        <v/>
      </c>
      <c r="B676" s="203" t="str">
        <f>IF(DATA!N606="","",DATA!N606)</f>
        <v/>
      </c>
      <c r="C676" s="203" t="str">
        <f>IF(DATA!O606="","",DATA!O606)</f>
        <v/>
      </c>
      <c r="D676" s="203" t="str">
        <f>IF(DATA!P606="","",DATA!P606)</f>
        <v/>
      </c>
      <c r="E676" s="13"/>
      <c r="F676" s="5" t="str">
        <f t="shared" si="82"/>
        <v/>
      </c>
      <c r="G676" s="1"/>
      <c r="H676" s="77">
        <f>IF(G676="",0,VLOOKUP(G676,REFCE!A:D,2,FALSE))</f>
        <v>0</v>
      </c>
      <c r="I676" s="77" t="str">
        <f t="shared" si="83"/>
        <v/>
      </c>
    </row>
    <row r="677" spans="1:9" x14ac:dyDescent="0.25">
      <c r="A677" s="203" t="str">
        <f>IF(DATA!M607="","",DATA!M607)</f>
        <v/>
      </c>
      <c r="B677" s="203" t="str">
        <f>IF(DATA!N607="","",DATA!N607)</f>
        <v/>
      </c>
      <c r="C677" s="203" t="str">
        <f>IF(DATA!O607="","",DATA!O607)</f>
        <v/>
      </c>
      <c r="D677" s="203" t="str">
        <f>IF(DATA!P607="","",DATA!P607)</f>
        <v/>
      </c>
      <c r="E677" s="13"/>
      <c r="F677" s="5" t="str">
        <f t="shared" si="82"/>
        <v/>
      </c>
      <c r="G677" s="1"/>
      <c r="H677" s="77">
        <f>IF(G677="",0,VLOOKUP(G677,REFCE!A:D,2,FALSE))</f>
        <v>0</v>
      </c>
      <c r="I677" s="77" t="str">
        <f t="shared" si="83"/>
        <v/>
      </c>
    </row>
    <row r="678" spans="1:9" x14ac:dyDescent="0.25">
      <c r="A678" s="203" t="str">
        <f>IF(DATA!M608="","",DATA!M608)</f>
        <v/>
      </c>
      <c r="B678" s="203" t="str">
        <f>IF(DATA!N608="","",DATA!N608)</f>
        <v/>
      </c>
      <c r="C678" s="203" t="str">
        <f>IF(DATA!O608="","",DATA!O608)</f>
        <v/>
      </c>
      <c r="D678" s="203" t="str">
        <f>IF(DATA!P608="","",DATA!P608)</f>
        <v/>
      </c>
      <c r="E678" s="13"/>
      <c r="F678" s="5" t="str">
        <f t="shared" si="82"/>
        <v/>
      </c>
      <c r="G678" s="1"/>
      <c r="H678" s="77">
        <f>IF(G678="",0,VLOOKUP(G678,REFCE!A:D,2,FALSE))</f>
        <v>0</v>
      </c>
      <c r="I678" s="77" t="str">
        <f t="shared" si="83"/>
        <v/>
      </c>
    </row>
    <row r="679" spans="1:9" x14ac:dyDescent="0.25">
      <c r="A679" s="203" t="str">
        <f>IF(DATA!M609="","",DATA!M609)</f>
        <v/>
      </c>
      <c r="B679" s="203" t="str">
        <f>IF(DATA!N609="","",DATA!N609)</f>
        <v/>
      </c>
      <c r="C679" s="203" t="str">
        <f>IF(DATA!O609="","",DATA!O609)</f>
        <v/>
      </c>
      <c r="D679" s="203" t="str">
        <f>IF(DATA!P609="","",DATA!P609)</f>
        <v/>
      </c>
      <c r="E679" s="13"/>
      <c r="F679" s="5" t="str">
        <f t="shared" si="82"/>
        <v/>
      </c>
      <c r="G679" s="1"/>
      <c r="H679" s="77">
        <f>IF(G679="",0,VLOOKUP(G679,REFCE!A:D,2,FALSE))</f>
        <v>0</v>
      </c>
      <c r="I679" s="77" t="str">
        <f t="shared" si="83"/>
        <v/>
      </c>
    </row>
    <row r="680" spans="1:9" x14ac:dyDescent="0.25">
      <c r="A680" s="203" t="str">
        <f>IF(DATA!M610="","",DATA!M610)</f>
        <v/>
      </c>
      <c r="B680" s="203" t="str">
        <f>IF(DATA!N610="","",DATA!N610)</f>
        <v/>
      </c>
      <c r="C680" s="203" t="str">
        <f>IF(DATA!O610="","",DATA!O610)</f>
        <v/>
      </c>
      <c r="D680" s="203" t="str">
        <f>IF(DATA!P610="","",DATA!P610)</f>
        <v/>
      </c>
      <c r="E680" s="13"/>
      <c r="F680" s="5" t="str">
        <f t="shared" si="82"/>
        <v/>
      </c>
      <c r="G680" s="1"/>
      <c r="H680" s="77">
        <f>IF(G680="",0,VLOOKUP(G680,REFCE!A:D,2,FALSE))</f>
        <v>0</v>
      </c>
      <c r="I680" s="77" t="str">
        <f t="shared" si="83"/>
        <v/>
      </c>
    </row>
    <row r="681" spans="1:9" x14ac:dyDescent="0.25">
      <c r="A681" s="203" t="str">
        <f>IF(DATA!M611="","",DATA!M611)</f>
        <v/>
      </c>
      <c r="B681" s="203" t="str">
        <f>IF(DATA!N611="","",DATA!N611)</f>
        <v/>
      </c>
      <c r="C681" s="203" t="str">
        <f>IF(DATA!O611="","",DATA!O611)</f>
        <v/>
      </c>
      <c r="D681" s="203" t="str">
        <f>IF(DATA!P611="","",DATA!P611)</f>
        <v/>
      </c>
      <c r="E681" s="13"/>
      <c r="F681" s="5" t="str">
        <f t="shared" si="82"/>
        <v/>
      </c>
      <c r="G681" s="1"/>
      <c r="H681" s="77">
        <f>IF(G681="",0,VLOOKUP(G681,REFCE!A:D,2,FALSE))</f>
        <v>0</v>
      </c>
      <c r="I681" s="77" t="str">
        <f t="shared" si="83"/>
        <v/>
      </c>
    </row>
    <row r="682" spans="1:9" x14ac:dyDescent="0.25">
      <c r="A682" s="203" t="str">
        <f>IF(DATA!M612="","",DATA!M612)</f>
        <v/>
      </c>
      <c r="B682" s="203" t="str">
        <f>IF(DATA!N612="","",DATA!N612)</f>
        <v/>
      </c>
      <c r="C682" s="203" t="str">
        <f>IF(DATA!O612="","",DATA!O612)</f>
        <v/>
      </c>
      <c r="D682" s="203" t="str">
        <f>IF(DATA!P612="","",DATA!P612)</f>
        <v/>
      </c>
      <c r="E682" s="13"/>
      <c r="F682" s="5" t="str">
        <f t="shared" si="82"/>
        <v/>
      </c>
      <c r="G682" s="1"/>
      <c r="H682" s="77">
        <f>IF(G682="",0,VLOOKUP(G682,REFCE!A:D,2,FALSE))</f>
        <v>0</v>
      </c>
      <c r="I682" s="77" t="str">
        <f t="shared" si="83"/>
        <v/>
      </c>
    </row>
    <row r="683" spans="1:9" x14ac:dyDescent="0.25">
      <c r="A683" s="203" t="str">
        <f>IF(DATA!M613="","",DATA!M613)</f>
        <v/>
      </c>
      <c r="B683" s="203" t="str">
        <f>IF(DATA!N613="","",DATA!N613)</f>
        <v/>
      </c>
      <c r="C683" s="203" t="str">
        <f>IF(DATA!O613="","",DATA!O613)</f>
        <v/>
      </c>
      <c r="D683" s="203" t="str">
        <f>IF(DATA!P613="","",DATA!P613)</f>
        <v/>
      </c>
      <c r="E683" s="13"/>
      <c r="F683" s="5" t="str">
        <f t="shared" si="82"/>
        <v/>
      </c>
      <c r="G683" s="1"/>
      <c r="H683" s="77">
        <f>IF(G683="",0,VLOOKUP(G683,REFCE!A:D,2,FALSE))</f>
        <v>0</v>
      </c>
      <c r="I683" s="77" t="str">
        <f t="shared" si="83"/>
        <v/>
      </c>
    </row>
    <row r="684" spans="1:9" x14ac:dyDescent="0.25">
      <c r="A684" s="203" t="str">
        <f>IF(DATA!M614="","",DATA!M614)</f>
        <v/>
      </c>
      <c r="B684" s="203" t="str">
        <f>IF(DATA!N614="","",DATA!N614)</f>
        <v/>
      </c>
      <c r="C684" s="203" t="str">
        <f>IF(DATA!O614="","",DATA!O614)</f>
        <v/>
      </c>
      <c r="D684" s="203" t="str">
        <f>IF(DATA!P614="","",DATA!P614)</f>
        <v/>
      </c>
      <c r="E684" s="13"/>
      <c r="F684" s="5" t="str">
        <f t="shared" si="82"/>
        <v/>
      </c>
      <c r="G684" s="1"/>
      <c r="H684" s="77">
        <f>IF(G684="",0,VLOOKUP(G684,REFCE!A:D,2,FALSE))</f>
        <v>0</v>
      </c>
      <c r="I684" s="77" t="str">
        <f t="shared" si="83"/>
        <v/>
      </c>
    </row>
    <row r="685" spans="1:9" x14ac:dyDescent="0.25">
      <c r="A685" s="203" t="str">
        <f>IF(DATA!M615="","",DATA!M615)</f>
        <v/>
      </c>
      <c r="B685" s="203" t="str">
        <f>IF(DATA!N615="","",DATA!N615)</f>
        <v/>
      </c>
      <c r="C685" s="203" t="str">
        <f>IF(DATA!O615="","",DATA!O615)</f>
        <v/>
      </c>
      <c r="D685" s="203" t="str">
        <f>IF(DATA!P615="","",DATA!P615)</f>
        <v/>
      </c>
      <c r="E685" s="13"/>
      <c r="F685" s="5" t="str">
        <f t="shared" si="82"/>
        <v/>
      </c>
      <c r="G685" s="1"/>
      <c r="H685" s="77">
        <f>IF(G685="",0,VLOOKUP(G685,REFCE!A:D,2,FALSE))</f>
        <v>0</v>
      </c>
      <c r="I685" s="77" t="str">
        <f t="shared" si="83"/>
        <v/>
      </c>
    </row>
    <row r="686" spans="1:9" x14ac:dyDescent="0.25">
      <c r="A686" s="203" t="str">
        <f>IF(DATA!M616="","",DATA!M616)</f>
        <v/>
      </c>
      <c r="B686" s="203" t="str">
        <f>IF(DATA!N616="","",DATA!N616)</f>
        <v/>
      </c>
      <c r="C686" s="203" t="str">
        <f>IF(DATA!O616="","",DATA!O616)</f>
        <v/>
      </c>
      <c r="D686" s="203" t="str">
        <f>IF(DATA!P616="","",DATA!P616)</f>
        <v/>
      </c>
      <c r="E686" s="13"/>
      <c r="F686" s="5" t="str">
        <f t="shared" si="82"/>
        <v/>
      </c>
      <c r="G686" s="1"/>
      <c r="H686" s="77">
        <f>IF(G686="",0,VLOOKUP(G686,REFCE!A:D,2,FALSE))</f>
        <v>0</v>
      </c>
      <c r="I686" s="77" t="str">
        <f t="shared" si="83"/>
        <v/>
      </c>
    </row>
    <row r="687" spans="1:9" x14ac:dyDescent="0.25">
      <c r="A687" s="203" t="str">
        <f>IF(DATA!M617="","",DATA!M617)</f>
        <v/>
      </c>
      <c r="B687" s="203" t="str">
        <f>IF(DATA!N617="","",DATA!N617)</f>
        <v/>
      </c>
      <c r="C687" s="203" t="str">
        <f>IF(DATA!O617="","",DATA!O617)</f>
        <v/>
      </c>
      <c r="D687" s="203" t="str">
        <f>IF(DATA!P617="","",DATA!P617)</f>
        <v/>
      </c>
      <c r="E687" s="13"/>
      <c r="F687" s="5" t="str">
        <f t="shared" si="82"/>
        <v/>
      </c>
      <c r="G687" s="1"/>
      <c r="H687" s="77">
        <f>IF(G687="",0,VLOOKUP(G687,REFCE!A:D,2,FALSE))</f>
        <v>0</v>
      </c>
      <c r="I687" s="77" t="str">
        <f t="shared" si="83"/>
        <v/>
      </c>
    </row>
    <row r="688" spans="1:9" x14ac:dyDescent="0.25">
      <c r="A688" s="203" t="str">
        <f>IF(DATA!M618="","",DATA!M618)</f>
        <v/>
      </c>
      <c r="B688" s="203" t="str">
        <f>IF(DATA!N618="","",DATA!N618)</f>
        <v/>
      </c>
      <c r="C688" s="203" t="str">
        <f>IF(DATA!O618="","",DATA!O618)</f>
        <v/>
      </c>
      <c r="D688" s="203" t="str">
        <f>IF(DATA!P618="","",DATA!P618)</f>
        <v/>
      </c>
      <c r="E688" s="13"/>
      <c r="F688" s="5" t="str">
        <f t="shared" si="82"/>
        <v/>
      </c>
      <c r="G688" s="1"/>
      <c r="H688" s="77">
        <f>IF(G688="",0,VLOOKUP(G688,REFCE!A:D,2,FALSE))</f>
        <v>0</v>
      </c>
      <c r="I688" s="77" t="str">
        <f t="shared" si="83"/>
        <v/>
      </c>
    </row>
    <row r="689" spans="1:9" x14ac:dyDescent="0.25">
      <c r="A689" s="203" t="str">
        <f>IF(DATA!M619="","",DATA!M619)</f>
        <v/>
      </c>
      <c r="B689" s="203" t="str">
        <f>IF(DATA!N619="","",DATA!N619)</f>
        <v/>
      </c>
      <c r="C689" s="203" t="str">
        <f>IF(DATA!O619="","",DATA!O619)</f>
        <v/>
      </c>
      <c r="D689" s="203" t="str">
        <f>IF(DATA!P619="","",DATA!P619)</f>
        <v/>
      </c>
      <c r="E689" s="13"/>
      <c r="F689" s="5" t="str">
        <f t="shared" si="82"/>
        <v/>
      </c>
      <c r="G689" s="1"/>
      <c r="H689" s="77">
        <f>IF(G689="",0,VLOOKUP(G689,REFCE!A:D,2,FALSE))</f>
        <v>0</v>
      </c>
      <c r="I689" s="77" t="str">
        <f t="shared" si="83"/>
        <v/>
      </c>
    </row>
    <row r="690" spans="1:9" x14ac:dyDescent="0.25">
      <c r="A690" s="203" t="str">
        <f>IF(DATA!M620="","",DATA!M620)</f>
        <v/>
      </c>
      <c r="B690" s="203" t="str">
        <f>IF(DATA!N620="","",DATA!N620)</f>
        <v/>
      </c>
      <c r="C690" s="203" t="str">
        <f>IF(DATA!O620="","",DATA!O620)</f>
        <v/>
      </c>
      <c r="D690" s="203" t="str">
        <f>IF(DATA!P620="","",DATA!P620)</f>
        <v/>
      </c>
      <c r="E690" s="13"/>
      <c r="F690" s="5" t="str">
        <f t="shared" si="82"/>
        <v/>
      </c>
      <c r="G690" s="1"/>
      <c r="H690" s="77">
        <f>IF(G690="",0,VLOOKUP(G690,REFCE!A:D,2,FALSE))</f>
        <v>0</v>
      </c>
      <c r="I690" s="77" t="str">
        <f t="shared" si="83"/>
        <v/>
      </c>
    </row>
    <row r="691" spans="1:9" x14ac:dyDescent="0.25">
      <c r="A691" s="203" t="str">
        <f>IF(DATA!M621="","",DATA!M621)</f>
        <v/>
      </c>
      <c r="B691" s="203" t="str">
        <f>IF(DATA!N621="","",DATA!N621)</f>
        <v/>
      </c>
      <c r="C691" s="203" t="str">
        <f>IF(DATA!O621="","",DATA!O621)</f>
        <v/>
      </c>
      <c r="D691" s="203" t="str">
        <f>IF(DATA!P621="","",DATA!P621)</f>
        <v/>
      </c>
      <c r="E691" s="13"/>
      <c r="F691" s="5" t="str">
        <f t="shared" si="82"/>
        <v/>
      </c>
      <c r="G691" s="1"/>
      <c r="H691" s="77">
        <f>IF(G691="",0,VLOOKUP(G691,REFCE!A:D,2,FALSE))</f>
        <v>0</v>
      </c>
      <c r="I691" s="77" t="str">
        <f t="shared" si="83"/>
        <v/>
      </c>
    </row>
    <row r="692" spans="1:9" x14ac:dyDescent="0.25">
      <c r="A692" s="203" t="str">
        <f>IF(DATA!M622="","",DATA!M622)</f>
        <v/>
      </c>
      <c r="B692" s="203" t="str">
        <f>IF(DATA!N622="","",DATA!N622)</f>
        <v/>
      </c>
      <c r="C692" s="203" t="str">
        <f>IF(DATA!O622="","",DATA!O622)</f>
        <v/>
      </c>
      <c r="D692" s="203" t="str">
        <f>IF(DATA!P622="","",DATA!P622)</f>
        <v/>
      </c>
      <c r="E692" s="13"/>
      <c r="F692" s="5" t="str">
        <f t="shared" si="82"/>
        <v/>
      </c>
      <c r="G692" s="1"/>
      <c r="H692" s="77">
        <f>IF(G692="",0,VLOOKUP(G692,REFCE!A:D,2,FALSE))</f>
        <v>0</v>
      </c>
      <c r="I692" s="77" t="str">
        <f t="shared" si="83"/>
        <v/>
      </c>
    </row>
    <row r="693" spans="1:9" x14ac:dyDescent="0.25">
      <c r="A693" s="203" t="str">
        <f>IF(DATA!M623="","",DATA!M623)</f>
        <v/>
      </c>
      <c r="B693" s="203" t="str">
        <f>IF(DATA!N623="","",DATA!N623)</f>
        <v/>
      </c>
      <c r="C693" s="203" t="str">
        <f>IF(DATA!O623="","",DATA!O623)</f>
        <v/>
      </c>
      <c r="D693" s="203" t="str">
        <f>IF(DATA!P623="","",DATA!P623)</f>
        <v/>
      </c>
      <c r="E693" s="13"/>
      <c r="F693" s="5" t="str">
        <f t="shared" si="82"/>
        <v/>
      </c>
      <c r="G693" s="1"/>
      <c r="H693" s="77">
        <f>IF(G693="",0,VLOOKUP(G693,REFCE!A:D,2,FALSE))</f>
        <v>0</v>
      </c>
      <c r="I693" s="77" t="str">
        <f t="shared" si="83"/>
        <v/>
      </c>
    </row>
    <row r="694" spans="1:9" x14ac:dyDescent="0.25">
      <c r="A694" s="203" t="str">
        <f>IF(DATA!M624="","",DATA!M624)</f>
        <v/>
      </c>
      <c r="B694" s="203" t="str">
        <f>IF(DATA!N624="","",DATA!N624)</f>
        <v/>
      </c>
      <c r="C694" s="203" t="str">
        <f>IF(DATA!O624="","",DATA!O624)</f>
        <v/>
      </c>
      <c r="D694" s="203" t="str">
        <f>IF(DATA!P624="","",DATA!P624)</f>
        <v/>
      </c>
      <c r="E694" s="13"/>
      <c r="F694" s="5" t="str">
        <f t="shared" si="82"/>
        <v/>
      </c>
      <c r="G694" s="1"/>
      <c r="H694" s="77">
        <f>IF(G694="",0,VLOOKUP(G694,REFCE!A:D,2,FALSE))</f>
        <v>0</v>
      </c>
      <c r="I694" s="77" t="str">
        <f t="shared" si="83"/>
        <v/>
      </c>
    </row>
    <row r="695" spans="1:9" x14ac:dyDescent="0.25">
      <c r="A695" s="203" t="str">
        <f>IF(DATA!M625="","",DATA!M625)</f>
        <v/>
      </c>
      <c r="B695" s="203" t="str">
        <f>IF(DATA!N625="","",DATA!N625)</f>
        <v/>
      </c>
      <c r="C695" s="203" t="str">
        <f>IF(DATA!O625="","",DATA!O625)</f>
        <v/>
      </c>
      <c r="D695" s="203" t="str">
        <f>IF(DATA!P625="","",DATA!P625)</f>
        <v/>
      </c>
      <c r="E695" s="13"/>
      <c r="F695" s="5" t="str">
        <f t="shared" si="82"/>
        <v/>
      </c>
      <c r="G695" s="1"/>
      <c r="H695" s="77">
        <f>IF(G695="",0,VLOOKUP(G695,REFCE!A:D,2,FALSE))</f>
        <v>0</v>
      </c>
      <c r="I695" s="77" t="str">
        <f t="shared" si="83"/>
        <v/>
      </c>
    </row>
    <row r="696" spans="1:9" x14ac:dyDescent="0.25">
      <c r="A696" s="203" t="str">
        <f>IF(DATA!M626="","",DATA!M626)</f>
        <v/>
      </c>
      <c r="B696" s="203" t="str">
        <f>IF(DATA!N626="","",DATA!N626)</f>
        <v/>
      </c>
      <c r="C696" s="203" t="str">
        <f>IF(DATA!O626="","",DATA!O626)</f>
        <v/>
      </c>
      <c r="D696" s="203" t="str">
        <f>IF(DATA!P626="","",DATA!P626)</f>
        <v/>
      </c>
      <c r="E696" s="13"/>
      <c r="F696" s="5" t="str">
        <f t="shared" si="82"/>
        <v/>
      </c>
      <c r="G696" s="1"/>
      <c r="H696" s="77">
        <f>IF(G696="",0,VLOOKUP(G696,REFCE!A:D,2,FALSE))</f>
        <v>0</v>
      </c>
      <c r="I696" s="77" t="str">
        <f t="shared" si="83"/>
        <v/>
      </c>
    </row>
    <row r="697" spans="1:9" x14ac:dyDescent="0.25">
      <c r="A697" s="203" t="str">
        <f>IF(DATA!M627="","",DATA!M627)</f>
        <v/>
      </c>
      <c r="B697" s="203" t="str">
        <f>IF(DATA!N627="","",DATA!N627)</f>
        <v/>
      </c>
      <c r="C697" s="203" t="str">
        <f>IF(DATA!O627="","",DATA!O627)</f>
        <v/>
      </c>
      <c r="D697" s="203" t="str">
        <f>IF(DATA!P627="","",DATA!P627)</f>
        <v/>
      </c>
      <c r="E697" s="13"/>
      <c r="F697" s="5" t="str">
        <f t="shared" si="82"/>
        <v/>
      </c>
      <c r="G697" s="1"/>
      <c r="H697" s="77">
        <f>IF(G697="",0,VLOOKUP(G697,REFCE!A:D,2,FALSE))</f>
        <v>0</v>
      </c>
      <c r="I697" s="77" t="str">
        <f t="shared" si="83"/>
        <v/>
      </c>
    </row>
    <row r="698" spans="1:9" x14ac:dyDescent="0.25">
      <c r="A698" s="203" t="str">
        <f>IF(DATA!M628="","",DATA!M628)</f>
        <v/>
      </c>
      <c r="B698" s="203" t="str">
        <f>IF(DATA!N628="","",DATA!N628)</f>
        <v/>
      </c>
      <c r="C698" s="203" t="str">
        <f>IF(DATA!O628="","",DATA!O628)</f>
        <v/>
      </c>
      <c r="D698" s="203" t="str">
        <f>IF(DATA!P628="","",DATA!P628)</f>
        <v/>
      </c>
      <c r="E698" s="13"/>
      <c r="F698" s="5" t="str">
        <f t="shared" si="82"/>
        <v/>
      </c>
      <c r="G698" s="1"/>
      <c r="H698" s="77">
        <f>IF(G698="",0,VLOOKUP(G698,REFCE!A:D,2,FALSE))</f>
        <v>0</v>
      </c>
      <c r="I698" s="77" t="str">
        <f t="shared" si="83"/>
        <v/>
      </c>
    </row>
    <row r="699" spans="1:9" x14ac:dyDescent="0.25">
      <c r="A699" s="203" t="str">
        <f>IF(DATA!M629="","",DATA!M629)</f>
        <v/>
      </c>
      <c r="B699" s="203" t="str">
        <f>IF(DATA!N629="","",DATA!N629)</f>
        <v/>
      </c>
      <c r="C699" s="203" t="str">
        <f>IF(DATA!O629="","",DATA!O629)</f>
        <v/>
      </c>
      <c r="D699" s="203" t="str">
        <f>IF(DATA!P629="","",DATA!P629)</f>
        <v/>
      </c>
      <c r="E699" s="13"/>
      <c r="F699" s="5" t="str">
        <f t="shared" si="82"/>
        <v/>
      </c>
      <c r="G699" s="1"/>
      <c r="H699" s="77">
        <f>IF(G699="",0,VLOOKUP(G699,REFCE!A:D,2,FALSE))</f>
        <v>0</v>
      </c>
      <c r="I699" s="77" t="str">
        <f t="shared" si="83"/>
        <v/>
      </c>
    </row>
    <row r="700" spans="1:9" x14ac:dyDescent="0.25">
      <c r="A700" s="203" t="str">
        <f>IF(DATA!M630="","",DATA!M630)</f>
        <v/>
      </c>
      <c r="B700" s="203" t="str">
        <f>IF(DATA!N630="","",DATA!N630)</f>
        <v/>
      </c>
      <c r="C700" s="203" t="str">
        <f>IF(DATA!O630="","",DATA!O630)</f>
        <v/>
      </c>
      <c r="D700" s="203" t="str">
        <f>IF(DATA!P630="","",DATA!P630)</f>
        <v/>
      </c>
      <c r="E700" s="13"/>
      <c r="F700" s="5" t="str">
        <f t="shared" si="82"/>
        <v/>
      </c>
      <c r="G700" s="1"/>
      <c r="H700" s="77">
        <f>IF(G700="",0,VLOOKUP(G700,REFCE!A:D,2,FALSE))</f>
        <v>0</v>
      </c>
      <c r="I700" s="77" t="str">
        <f t="shared" si="83"/>
        <v/>
      </c>
    </row>
    <row r="701" spans="1:9" x14ac:dyDescent="0.25">
      <c r="A701" s="203" t="str">
        <f>IF(DATA!M631="","",DATA!M631)</f>
        <v/>
      </c>
      <c r="B701" s="203" t="str">
        <f>IF(DATA!N631="","",DATA!N631)</f>
        <v/>
      </c>
      <c r="C701" s="203" t="str">
        <f>IF(DATA!O631="","",DATA!O631)</f>
        <v/>
      </c>
      <c r="D701" s="203" t="str">
        <f>IF(DATA!P631="","",DATA!P631)</f>
        <v/>
      </c>
      <c r="E701" s="13"/>
      <c r="F701" s="5" t="str">
        <f t="shared" si="82"/>
        <v/>
      </c>
      <c r="G701" s="1"/>
      <c r="H701" s="77">
        <f>IF(G701="",0,VLOOKUP(G701,REFCE!A:D,2,FALSE))</f>
        <v>0</v>
      </c>
      <c r="I701" s="77" t="str">
        <f t="shared" si="83"/>
        <v/>
      </c>
    </row>
    <row r="702" spans="1:9" x14ac:dyDescent="0.25">
      <c r="A702" s="203" t="str">
        <f>IF(DATA!M632="","",DATA!M632)</f>
        <v/>
      </c>
      <c r="B702" s="203" t="str">
        <f>IF(DATA!N632="","",DATA!N632)</f>
        <v/>
      </c>
      <c r="C702" s="203" t="str">
        <f>IF(DATA!O632="","",DATA!O632)</f>
        <v/>
      </c>
      <c r="D702" s="203" t="str">
        <f>IF(DATA!P632="","",DATA!P632)</f>
        <v/>
      </c>
      <c r="E702" s="13"/>
      <c r="F702" s="5" t="str">
        <f t="shared" si="82"/>
        <v/>
      </c>
      <c r="G702" s="1"/>
      <c r="H702" s="77">
        <f>IF(G702="",0,VLOOKUP(G702,REFCE!A:D,2,FALSE))</f>
        <v>0</v>
      </c>
      <c r="I702" s="77" t="str">
        <f t="shared" si="83"/>
        <v/>
      </c>
    </row>
    <row r="703" spans="1:9" x14ac:dyDescent="0.25">
      <c r="A703" s="203" t="str">
        <f>IF(DATA!M633="","",DATA!M633)</f>
        <v/>
      </c>
      <c r="B703" s="203" t="str">
        <f>IF(DATA!N633="","",DATA!N633)</f>
        <v/>
      </c>
      <c r="C703" s="203" t="str">
        <f>IF(DATA!O633="","",DATA!O633)</f>
        <v/>
      </c>
      <c r="D703" s="203" t="str">
        <f>IF(DATA!P633="","",DATA!P633)</f>
        <v/>
      </c>
      <c r="E703" s="13"/>
      <c r="F703" s="5" t="str">
        <f t="shared" si="82"/>
        <v/>
      </c>
      <c r="G703" s="1"/>
      <c r="H703" s="77">
        <f>IF(G703="",0,VLOOKUP(G703,REFCE!A:D,2,FALSE))</f>
        <v>0</v>
      </c>
      <c r="I703" s="77" t="str">
        <f t="shared" si="83"/>
        <v/>
      </c>
    </row>
    <row r="704" spans="1:9" x14ac:dyDescent="0.25">
      <c r="A704" s="203" t="str">
        <f>IF(DATA!M634="","",DATA!M634)</f>
        <v/>
      </c>
      <c r="B704" s="203" t="str">
        <f>IF(DATA!N634="","",DATA!N634)</f>
        <v/>
      </c>
      <c r="C704" s="203" t="str">
        <f>IF(DATA!O634="","",DATA!O634)</f>
        <v/>
      </c>
      <c r="D704" s="203" t="str">
        <f>IF(DATA!P634="","",DATA!P634)</f>
        <v/>
      </c>
      <c r="E704" s="13"/>
      <c r="F704" s="5" t="str">
        <f t="shared" si="82"/>
        <v/>
      </c>
      <c r="G704" s="1"/>
      <c r="H704" s="77">
        <f>IF(G704="",0,VLOOKUP(G704,REFCE!A:D,2,FALSE))</f>
        <v>0</v>
      </c>
      <c r="I704" s="77" t="str">
        <f t="shared" si="83"/>
        <v/>
      </c>
    </row>
    <row r="705" spans="1:9" x14ac:dyDescent="0.25">
      <c r="A705" s="203" t="str">
        <f>IF(DATA!M635="","",DATA!M635)</f>
        <v/>
      </c>
      <c r="B705" s="203" t="str">
        <f>IF(DATA!N635="","",DATA!N635)</f>
        <v/>
      </c>
      <c r="C705" s="203" t="str">
        <f>IF(DATA!O635="","",DATA!O635)</f>
        <v/>
      </c>
      <c r="D705" s="203" t="str">
        <f>IF(DATA!P635="","",DATA!P635)</f>
        <v/>
      </c>
      <c r="E705" s="13"/>
      <c r="F705" s="5" t="str">
        <f t="shared" si="82"/>
        <v/>
      </c>
      <c r="G705" s="1"/>
      <c r="H705" s="77">
        <f>IF(G705="",0,VLOOKUP(G705,REFCE!A:D,2,FALSE))</f>
        <v>0</v>
      </c>
      <c r="I705" s="77" t="str">
        <f t="shared" si="83"/>
        <v/>
      </c>
    </row>
    <row r="706" spans="1:9" x14ac:dyDescent="0.25">
      <c r="A706" s="203" t="str">
        <f>IF(DATA!M636="","",DATA!M636)</f>
        <v/>
      </c>
      <c r="B706" s="203" t="str">
        <f>IF(DATA!N636="","",DATA!N636)</f>
        <v/>
      </c>
      <c r="C706" s="203" t="str">
        <f>IF(DATA!O636="","",DATA!O636)</f>
        <v/>
      </c>
      <c r="D706" s="203" t="str">
        <f>IF(DATA!P636="","",DATA!P636)</f>
        <v/>
      </c>
      <c r="E706" s="13"/>
      <c r="F706" s="5" t="str">
        <f t="shared" si="82"/>
        <v/>
      </c>
      <c r="G706" s="1"/>
      <c r="H706" s="77">
        <f>IF(G706="",0,VLOOKUP(G706,REFCE!A:D,2,FALSE))</f>
        <v>0</v>
      </c>
      <c r="I706" s="77" t="str">
        <f t="shared" si="83"/>
        <v/>
      </c>
    </row>
    <row r="707" spans="1:9" x14ac:dyDescent="0.25">
      <c r="A707" s="203" t="str">
        <f>IF(DATA!M637="","",DATA!M637)</f>
        <v/>
      </c>
      <c r="B707" s="203" t="str">
        <f>IF(DATA!N637="","",DATA!N637)</f>
        <v/>
      </c>
      <c r="C707" s="203" t="str">
        <f>IF(DATA!O637="","",DATA!O637)</f>
        <v/>
      </c>
      <c r="D707" s="203" t="str">
        <f>IF(DATA!P637="","",DATA!P637)</f>
        <v/>
      </c>
      <c r="E707" s="13"/>
      <c r="F707" s="5" t="str">
        <f t="shared" si="82"/>
        <v/>
      </c>
      <c r="G707" s="1"/>
      <c r="H707" s="77">
        <f>IF(G707="",0,VLOOKUP(G707,REFCE!A:D,2,FALSE))</f>
        <v>0</v>
      </c>
      <c r="I707" s="77" t="str">
        <f t="shared" si="83"/>
        <v/>
      </c>
    </row>
    <row r="708" spans="1:9" x14ac:dyDescent="0.25">
      <c r="A708" s="203" t="str">
        <f>IF(DATA!M638="","",DATA!M638)</f>
        <v/>
      </c>
      <c r="B708" s="203" t="str">
        <f>IF(DATA!N638="","",DATA!N638)</f>
        <v/>
      </c>
      <c r="C708" s="203" t="str">
        <f>IF(DATA!O638="","",DATA!O638)</f>
        <v/>
      </c>
      <c r="D708" s="203" t="str">
        <f>IF(DATA!P638="","",DATA!P638)</f>
        <v/>
      </c>
      <c r="E708" s="13"/>
      <c r="F708" s="5" t="str">
        <f t="shared" si="82"/>
        <v/>
      </c>
      <c r="G708" s="1"/>
      <c r="H708" s="77">
        <f>IF(G708="",0,VLOOKUP(G708,REFCE!A:D,2,FALSE))</f>
        <v>0</v>
      </c>
      <c r="I708" s="77" t="str">
        <f t="shared" si="83"/>
        <v/>
      </c>
    </row>
    <row r="709" spans="1:9" x14ac:dyDescent="0.25">
      <c r="A709" s="203" t="str">
        <f>IF(DATA!M639="","",DATA!M639)</f>
        <v/>
      </c>
      <c r="B709" s="203" t="str">
        <f>IF(DATA!N639="","",DATA!N639)</f>
        <v/>
      </c>
      <c r="C709" s="203" t="str">
        <f>IF(DATA!O639="","",DATA!O639)</f>
        <v/>
      </c>
      <c r="D709" s="203" t="str">
        <f>IF(DATA!P639="","",DATA!P639)</f>
        <v/>
      </c>
      <c r="E709" s="13"/>
      <c r="F709" s="5" t="str">
        <f t="shared" si="82"/>
        <v/>
      </c>
      <c r="G709" s="1"/>
      <c r="H709" s="77">
        <f>IF(G709="",0,VLOOKUP(G709,REFCE!A:D,2,FALSE))</f>
        <v>0</v>
      </c>
      <c r="I709" s="77" t="str">
        <f t="shared" si="83"/>
        <v/>
      </c>
    </row>
    <row r="710" spans="1:9" x14ac:dyDescent="0.25">
      <c r="A710" s="203" t="str">
        <f>IF(DATA!M640="","",DATA!M640)</f>
        <v/>
      </c>
      <c r="B710" s="203" t="str">
        <f>IF(DATA!N640="","",DATA!N640)</f>
        <v/>
      </c>
      <c r="C710" s="203" t="str">
        <f>IF(DATA!O640="","",DATA!O640)</f>
        <v/>
      </c>
      <c r="D710" s="203" t="str">
        <f>IF(DATA!P640="","",DATA!P640)</f>
        <v/>
      </c>
      <c r="E710" s="13"/>
      <c r="F710" s="5" t="str">
        <f t="shared" si="82"/>
        <v/>
      </c>
      <c r="G710" s="1"/>
      <c r="H710" s="77">
        <f>IF(G710="",0,VLOOKUP(G710,REFCE!A:D,2,FALSE))</f>
        <v>0</v>
      </c>
      <c r="I710" s="77" t="str">
        <f t="shared" si="83"/>
        <v/>
      </c>
    </row>
    <row r="711" spans="1:9" x14ac:dyDescent="0.25">
      <c r="A711" s="203" t="str">
        <f>IF(DATA!M641="","",DATA!M641)</f>
        <v/>
      </c>
      <c r="B711" s="203" t="str">
        <f>IF(DATA!N641="","",DATA!N641)</f>
        <v/>
      </c>
      <c r="C711" s="203" t="str">
        <f>IF(DATA!O641="","",DATA!O641)</f>
        <v/>
      </c>
      <c r="D711" s="203" t="str">
        <f>IF(DATA!P641="","",DATA!P641)</f>
        <v/>
      </c>
      <c r="E711" s="13"/>
      <c r="F711" s="5" t="str">
        <f t="shared" si="82"/>
        <v/>
      </c>
      <c r="G711" s="1"/>
      <c r="H711" s="77">
        <f>IF(G711="",0,VLOOKUP(G711,REFCE!A:D,2,FALSE))</f>
        <v>0</v>
      </c>
      <c r="I711" s="77" t="str">
        <f t="shared" si="83"/>
        <v/>
      </c>
    </row>
    <row r="712" spans="1:9" x14ac:dyDescent="0.25">
      <c r="A712" s="203" t="str">
        <f>IF(DATA!M642="","",DATA!M642)</f>
        <v/>
      </c>
      <c r="B712" s="203" t="str">
        <f>IF(DATA!N642="","",DATA!N642)</f>
        <v/>
      </c>
      <c r="C712" s="203" t="str">
        <f>IF(DATA!O642="","",DATA!O642)</f>
        <v/>
      </c>
      <c r="D712" s="203" t="str">
        <f>IF(DATA!P642="","",DATA!P642)</f>
        <v/>
      </c>
      <c r="E712" s="13"/>
      <c r="F712" s="5" t="str">
        <f t="shared" si="82"/>
        <v/>
      </c>
      <c r="G712" s="1"/>
      <c r="H712" s="77">
        <f>IF(G712="",0,VLOOKUP(G712,REFCE!A:D,2,FALSE))</f>
        <v>0</v>
      </c>
      <c r="I712" s="77" t="str">
        <f t="shared" si="83"/>
        <v/>
      </c>
    </row>
    <row r="713" spans="1:9" x14ac:dyDescent="0.25">
      <c r="A713" s="203" t="str">
        <f>IF(DATA!M643="","",DATA!M643)</f>
        <v/>
      </c>
      <c r="B713" s="203" t="str">
        <f>IF(DATA!N643="","",DATA!N643)</f>
        <v/>
      </c>
      <c r="C713" s="203" t="str">
        <f>IF(DATA!O643="","",DATA!O643)</f>
        <v/>
      </c>
      <c r="D713" s="203" t="str">
        <f>IF(DATA!P643="","",DATA!P643)</f>
        <v/>
      </c>
      <c r="E713" s="13"/>
      <c r="F713" s="5" t="str">
        <f t="shared" si="82"/>
        <v/>
      </c>
      <c r="G713" s="1"/>
      <c r="H713" s="77">
        <f>IF(G713="",0,VLOOKUP(G713,REFCE!A:D,2,FALSE))</f>
        <v>0</v>
      </c>
      <c r="I713" s="77" t="str">
        <f t="shared" si="83"/>
        <v/>
      </c>
    </row>
    <row r="714" spans="1:9" x14ac:dyDescent="0.25">
      <c r="A714" s="203" t="str">
        <f>IF(DATA!M644="","",DATA!M644)</f>
        <v/>
      </c>
      <c r="B714" s="203" t="str">
        <f>IF(DATA!N644="","",DATA!N644)</f>
        <v/>
      </c>
      <c r="C714" s="203" t="str">
        <f>IF(DATA!O644="","",DATA!O644)</f>
        <v/>
      </c>
      <c r="D714" s="203" t="str">
        <f>IF(DATA!P644="","",DATA!P644)</f>
        <v/>
      </c>
      <c r="E714" s="13"/>
      <c r="F714" s="5" t="str">
        <f t="shared" si="82"/>
        <v/>
      </c>
      <c r="G714" s="1"/>
      <c r="H714" s="77">
        <f>IF(G714="",0,VLOOKUP(G714,REFCE!A:D,2,FALSE))</f>
        <v>0</v>
      </c>
      <c r="I714" s="77" t="str">
        <f t="shared" si="83"/>
        <v/>
      </c>
    </row>
    <row r="715" spans="1:9" x14ac:dyDescent="0.25">
      <c r="A715" s="203" t="str">
        <f>IF(DATA!M645="","",DATA!M645)</f>
        <v/>
      </c>
      <c r="B715" s="203" t="str">
        <f>IF(DATA!N645="","",DATA!N645)</f>
        <v/>
      </c>
      <c r="C715" s="203" t="str">
        <f>IF(DATA!O645="","",DATA!O645)</f>
        <v/>
      </c>
      <c r="D715" s="203" t="str">
        <f>IF(DATA!P645="","",DATA!P645)</f>
        <v/>
      </c>
      <c r="E715" s="13"/>
      <c r="F715" s="5" t="str">
        <f t="shared" si="82"/>
        <v/>
      </c>
      <c r="G715" s="1"/>
      <c r="H715" s="77">
        <f>IF(G715="",0,VLOOKUP(G715,REFCE!A:D,2,FALSE))</f>
        <v>0</v>
      </c>
      <c r="I715" s="77" t="str">
        <f t="shared" si="83"/>
        <v/>
      </c>
    </row>
    <row r="716" spans="1:9" x14ac:dyDescent="0.25">
      <c r="A716" s="203" t="str">
        <f>IF(DATA!M646="","",DATA!M646)</f>
        <v/>
      </c>
      <c r="B716" s="203" t="str">
        <f>IF(DATA!N646="","",DATA!N646)</f>
        <v/>
      </c>
      <c r="C716" s="203" t="str">
        <f>IF(DATA!O646="","",DATA!O646)</f>
        <v/>
      </c>
      <c r="D716" s="203" t="str">
        <f>IF(DATA!P646="","",DATA!P646)</f>
        <v/>
      </c>
      <c r="E716" s="13"/>
      <c r="F716" s="5" t="str">
        <f t="shared" si="82"/>
        <v/>
      </c>
      <c r="G716" s="1"/>
      <c r="H716" s="77">
        <f>IF(G716="",0,VLOOKUP(G716,REFCE!A:D,2,FALSE))</f>
        <v>0</v>
      </c>
      <c r="I716" s="77" t="str">
        <f t="shared" si="83"/>
        <v/>
      </c>
    </row>
    <row r="717" spans="1:9" x14ac:dyDescent="0.25">
      <c r="A717" s="203" t="str">
        <f>IF(DATA!M647="","",DATA!M647)</f>
        <v/>
      </c>
      <c r="B717" s="203" t="str">
        <f>IF(DATA!N647="","",DATA!N647)</f>
        <v/>
      </c>
      <c r="C717" s="203" t="str">
        <f>IF(DATA!O647="","",DATA!O647)</f>
        <v/>
      </c>
      <c r="D717" s="203" t="str">
        <f>IF(DATA!P647="","",DATA!P647)</f>
        <v/>
      </c>
      <c r="E717" s="13"/>
      <c r="F717" s="5" t="str">
        <f t="shared" si="82"/>
        <v/>
      </c>
      <c r="G717" s="1"/>
      <c r="H717" s="77">
        <f>IF(G717="",0,VLOOKUP(G717,REFCE!A:D,2,FALSE))</f>
        <v>0</v>
      </c>
      <c r="I717" s="77" t="str">
        <f t="shared" si="83"/>
        <v/>
      </c>
    </row>
    <row r="718" spans="1:9" x14ac:dyDescent="0.25">
      <c r="A718" s="203" t="str">
        <f>IF(DATA!M648="","",DATA!M648)</f>
        <v/>
      </c>
      <c r="B718" s="203" t="str">
        <f>IF(DATA!N648="","",DATA!N648)</f>
        <v/>
      </c>
      <c r="C718" s="203" t="str">
        <f>IF(DATA!O648="","",DATA!O648)</f>
        <v/>
      </c>
      <c r="D718" s="203" t="str">
        <f>IF(DATA!P648="","",DATA!P648)</f>
        <v/>
      </c>
      <c r="E718" s="13"/>
      <c r="F718" s="5" t="str">
        <f t="shared" ref="F718:F781" si="84">IF(D718="","",D718*E718)</f>
        <v/>
      </c>
      <c r="G718" s="1"/>
      <c r="H718" s="77">
        <f>IF(G718="",0,VLOOKUP(G718,REFCE!A:D,2,FALSE))</f>
        <v>0</v>
      </c>
      <c r="I718" s="77" t="str">
        <f t="shared" ref="I718:I781" si="85">IF(F718="","",F718*H718)</f>
        <v/>
      </c>
    </row>
    <row r="719" spans="1:9" x14ac:dyDescent="0.25">
      <c r="A719" s="203" t="str">
        <f>IF(DATA!M649="","",DATA!M649)</f>
        <v/>
      </c>
      <c r="B719" s="203" t="str">
        <f>IF(DATA!N649="","",DATA!N649)</f>
        <v/>
      </c>
      <c r="C719" s="203" t="str">
        <f>IF(DATA!O649="","",DATA!O649)</f>
        <v/>
      </c>
      <c r="D719" s="203" t="str">
        <f>IF(DATA!P649="","",DATA!P649)</f>
        <v/>
      </c>
      <c r="E719" s="13"/>
      <c r="F719" s="5" t="str">
        <f t="shared" si="84"/>
        <v/>
      </c>
      <c r="G719" s="1"/>
      <c r="H719" s="77">
        <f>IF(G719="",0,VLOOKUP(G719,REFCE!A:D,2,FALSE))</f>
        <v>0</v>
      </c>
      <c r="I719" s="77" t="str">
        <f t="shared" si="85"/>
        <v/>
      </c>
    </row>
    <row r="720" spans="1:9" x14ac:dyDescent="0.25">
      <c r="A720" s="203" t="str">
        <f>IF(DATA!M650="","",DATA!M650)</f>
        <v/>
      </c>
      <c r="B720" s="203" t="str">
        <f>IF(DATA!N650="","",DATA!N650)</f>
        <v/>
      </c>
      <c r="C720" s="203" t="str">
        <f>IF(DATA!O650="","",DATA!O650)</f>
        <v/>
      </c>
      <c r="D720" s="203" t="str">
        <f>IF(DATA!P650="","",DATA!P650)</f>
        <v/>
      </c>
      <c r="E720" s="13"/>
      <c r="F720" s="5" t="str">
        <f t="shared" si="84"/>
        <v/>
      </c>
      <c r="G720" s="1"/>
      <c r="H720" s="77">
        <f>IF(G720="",0,VLOOKUP(G720,REFCE!A:D,2,FALSE))</f>
        <v>0</v>
      </c>
      <c r="I720" s="77" t="str">
        <f t="shared" si="85"/>
        <v/>
      </c>
    </row>
    <row r="721" spans="1:9" x14ac:dyDescent="0.25">
      <c r="A721" s="203" t="str">
        <f>IF(DATA!M651="","",DATA!M651)</f>
        <v/>
      </c>
      <c r="B721" s="203" t="str">
        <f>IF(DATA!N651="","",DATA!N651)</f>
        <v/>
      </c>
      <c r="C721" s="203" t="str">
        <f>IF(DATA!O651="","",DATA!O651)</f>
        <v/>
      </c>
      <c r="D721" s="203" t="str">
        <f>IF(DATA!P651="","",DATA!P651)</f>
        <v/>
      </c>
      <c r="E721" s="13"/>
      <c r="F721" s="5" t="str">
        <f t="shared" si="84"/>
        <v/>
      </c>
      <c r="G721" s="1"/>
      <c r="H721" s="77">
        <f>IF(G721="",0,VLOOKUP(G721,REFCE!A:D,2,FALSE))</f>
        <v>0</v>
      </c>
      <c r="I721" s="77" t="str">
        <f t="shared" si="85"/>
        <v/>
      </c>
    </row>
    <row r="722" spans="1:9" x14ac:dyDescent="0.25">
      <c r="A722" s="203" t="str">
        <f>IF(DATA!M652="","",DATA!M652)</f>
        <v/>
      </c>
      <c r="B722" s="203" t="str">
        <f>IF(DATA!N652="","",DATA!N652)</f>
        <v/>
      </c>
      <c r="C722" s="203" t="str">
        <f>IF(DATA!O652="","",DATA!O652)</f>
        <v/>
      </c>
      <c r="D722" s="203" t="str">
        <f>IF(DATA!P652="","",DATA!P652)</f>
        <v/>
      </c>
      <c r="E722" s="13"/>
      <c r="F722" s="5" t="str">
        <f t="shared" si="84"/>
        <v/>
      </c>
      <c r="G722" s="1"/>
      <c r="H722" s="77">
        <f>IF(G722="",0,VLOOKUP(G722,REFCE!A:D,2,FALSE))</f>
        <v>0</v>
      </c>
      <c r="I722" s="77" t="str">
        <f t="shared" si="85"/>
        <v/>
      </c>
    </row>
    <row r="723" spans="1:9" x14ac:dyDescent="0.25">
      <c r="A723" s="203" t="str">
        <f>IF(DATA!M653="","",DATA!M653)</f>
        <v/>
      </c>
      <c r="B723" s="203" t="str">
        <f>IF(DATA!N653="","",DATA!N653)</f>
        <v/>
      </c>
      <c r="C723" s="203" t="str">
        <f>IF(DATA!O653="","",DATA!O653)</f>
        <v/>
      </c>
      <c r="D723" s="203" t="str">
        <f>IF(DATA!P653="","",DATA!P653)</f>
        <v/>
      </c>
      <c r="E723" s="13"/>
      <c r="F723" s="5" t="str">
        <f t="shared" si="84"/>
        <v/>
      </c>
      <c r="G723" s="1"/>
      <c r="H723" s="77">
        <f>IF(G723="",0,VLOOKUP(G723,REFCE!A:D,2,FALSE))</f>
        <v>0</v>
      </c>
      <c r="I723" s="77" t="str">
        <f t="shared" si="85"/>
        <v/>
      </c>
    </row>
    <row r="724" spans="1:9" x14ac:dyDescent="0.25">
      <c r="A724" s="203" t="str">
        <f>IF(DATA!M654="","",DATA!M654)</f>
        <v/>
      </c>
      <c r="B724" s="203" t="str">
        <f>IF(DATA!N654="","",DATA!N654)</f>
        <v/>
      </c>
      <c r="C724" s="203" t="str">
        <f>IF(DATA!O654="","",DATA!O654)</f>
        <v/>
      </c>
      <c r="D724" s="203" t="str">
        <f>IF(DATA!P654="","",DATA!P654)</f>
        <v/>
      </c>
      <c r="E724" s="13"/>
      <c r="F724" s="5" t="str">
        <f t="shared" si="84"/>
        <v/>
      </c>
      <c r="G724" s="1"/>
      <c r="H724" s="77">
        <f>IF(G724="",0,VLOOKUP(G724,REFCE!A:D,2,FALSE))</f>
        <v>0</v>
      </c>
      <c r="I724" s="77" t="str">
        <f t="shared" si="85"/>
        <v/>
      </c>
    </row>
    <row r="725" spans="1:9" x14ac:dyDescent="0.25">
      <c r="A725" s="203" t="str">
        <f>IF(DATA!M655="","",DATA!M655)</f>
        <v/>
      </c>
      <c r="B725" s="203" t="str">
        <f>IF(DATA!N655="","",DATA!N655)</f>
        <v/>
      </c>
      <c r="C725" s="203" t="str">
        <f>IF(DATA!O655="","",DATA!O655)</f>
        <v/>
      </c>
      <c r="D725" s="203" t="str">
        <f>IF(DATA!P655="","",DATA!P655)</f>
        <v/>
      </c>
      <c r="E725" s="13"/>
      <c r="F725" s="5" t="str">
        <f t="shared" si="84"/>
        <v/>
      </c>
      <c r="G725" s="1"/>
      <c r="H725" s="77">
        <f>IF(G725="",0,VLOOKUP(G725,REFCE!A:D,2,FALSE))</f>
        <v>0</v>
      </c>
      <c r="I725" s="77" t="str">
        <f t="shared" si="85"/>
        <v/>
      </c>
    </row>
    <row r="726" spans="1:9" x14ac:dyDescent="0.25">
      <c r="A726" s="203" t="str">
        <f>IF(DATA!M656="","",DATA!M656)</f>
        <v/>
      </c>
      <c r="B726" s="203" t="str">
        <f>IF(DATA!N656="","",DATA!N656)</f>
        <v/>
      </c>
      <c r="C726" s="203" t="str">
        <f>IF(DATA!O656="","",DATA!O656)</f>
        <v/>
      </c>
      <c r="D726" s="203" t="str">
        <f>IF(DATA!P656="","",DATA!P656)</f>
        <v/>
      </c>
      <c r="E726" s="13"/>
      <c r="F726" s="5" t="str">
        <f t="shared" si="84"/>
        <v/>
      </c>
      <c r="G726" s="1"/>
      <c r="H726" s="77">
        <f>IF(G726="",0,VLOOKUP(G726,REFCE!A:D,2,FALSE))</f>
        <v>0</v>
      </c>
      <c r="I726" s="77" t="str">
        <f t="shared" si="85"/>
        <v/>
      </c>
    </row>
    <row r="727" spans="1:9" x14ac:dyDescent="0.25">
      <c r="A727" s="203" t="str">
        <f>IF(DATA!M657="","",DATA!M657)</f>
        <v/>
      </c>
      <c r="B727" s="203" t="str">
        <f>IF(DATA!N657="","",DATA!N657)</f>
        <v/>
      </c>
      <c r="C727" s="203" t="str">
        <f>IF(DATA!O657="","",DATA!O657)</f>
        <v/>
      </c>
      <c r="D727" s="203" t="str">
        <f>IF(DATA!P657="","",DATA!P657)</f>
        <v/>
      </c>
      <c r="E727" s="13"/>
      <c r="F727" s="5" t="str">
        <f t="shared" si="84"/>
        <v/>
      </c>
      <c r="G727" s="1"/>
      <c r="H727" s="77">
        <f>IF(G727="",0,VLOOKUP(G727,REFCE!A:D,2,FALSE))</f>
        <v>0</v>
      </c>
      <c r="I727" s="77" t="str">
        <f t="shared" si="85"/>
        <v/>
      </c>
    </row>
    <row r="728" spans="1:9" x14ac:dyDescent="0.25">
      <c r="A728" s="203" t="str">
        <f>IF(DATA!M658="","",DATA!M658)</f>
        <v/>
      </c>
      <c r="B728" s="203" t="str">
        <f>IF(DATA!N658="","",DATA!N658)</f>
        <v/>
      </c>
      <c r="C728" s="203" t="str">
        <f>IF(DATA!O658="","",DATA!O658)</f>
        <v/>
      </c>
      <c r="D728" s="203" t="str">
        <f>IF(DATA!P658="","",DATA!P658)</f>
        <v/>
      </c>
      <c r="E728" s="13"/>
      <c r="F728" s="5" t="str">
        <f t="shared" si="84"/>
        <v/>
      </c>
      <c r="G728" s="1"/>
      <c r="H728" s="77">
        <f>IF(G728="",0,VLOOKUP(G728,REFCE!A:D,2,FALSE))</f>
        <v>0</v>
      </c>
      <c r="I728" s="77" t="str">
        <f t="shared" si="85"/>
        <v/>
      </c>
    </row>
    <row r="729" spans="1:9" x14ac:dyDescent="0.25">
      <c r="A729" s="203" t="str">
        <f>IF(DATA!M659="","",DATA!M659)</f>
        <v/>
      </c>
      <c r="B729" s="203" t="str">
        <f>IF(DATA!N659="","",DATA!N659)</f>
        <v/>
      </c>
      <c r="C729" s="203" t="str">
        <f>IF(DATA!O659="","",DATA!O659)</f>
        <v/>
      </c>
      <c r="D729" s="203" t="str">
        <f>IF(DATA!P659="","",DATA!P659)</f>
        <v/>
      </c>
      <c r="E729" s="13"/>
      <c r="F729" s="5" t="str">
        <f t="shared" si="84"/>
        <v/>
      </c>
      <c r="G729" s="1"/>
      <c r="H729" s="77">
        <f>IF(G729="",0,VLOOKUP(G729,REFCE!A:D,2,FALSE))</f>
        <v>0</v>
      </c>
      <c r="I729" s="77" t="str">
        <f t="shared" si="85"/>
        <v/>
      </c>
    </row>
    <row r="730" spans="1:9" x14ac:dyDescent="0.25">
      <c r="A730" s="203" t="str">
        <f>IF(DATA!M660="","",DATA!M660)</f>
        <v/>
      </c>
      <c r="B730" s="203" t="str">
        <f>IF(DATA!N660="","",DATA!N660)</f>
        <v/>
      </c>
      <c r="C730" s="203" t="str">
        <f>IF(DATA!O660="","",DATA!O660)</f>
        <v/>
      </c>
      <c r="D730" s="203" t="str">
        <f>IF(DATA!P660="","",DATA!P660)</f>
        <v/>
      </c>
      <c r="E730" s="13"/>
      <c r="F730" s="5" t="str">
        <f t="shared" si="84"/>
        <v/>
      </c>
      <c r="G730" s="1"/>
      <c r="H730" s="77">
        <f>IF(G730="",0,VLOOKUP(G730,REFCE!A:D,2,FALSE))</f>
        <v>0</v>
      </c>
      <c r="I730" s="77" t="str">
        <f t="shared" si="85"/>
        <v/>
      </c>
    </row>
    <row r="731" spans="1:9" x14ac:dyDescent="0.25">
      <c r="A731" s="203" t="str">
        <f>IF(DATA!M661="","",DATA!M661)</f>
        <v/>
      </c>
      <c r="B731" s="203" t="str">
        <f>IF(DATA!N661="","",DATA!N661)</f>
        <v/>
      </c>
      <c r="C731" s="203" t="str">
        <f>IF(DATA!O661="","",DATA!O661)</f>
        <v/>
      </c>
      <c r="D731" s="203" t="str">
        <f>IF(DATA!P661="","",DATA!P661)</f>
        <v/>
      </c>
      <c r="E731" s="13"/>
      <c r="F731" s="5" t="str">
        <f t="shared" si="84"/>
        <v/>
      </c>
      <c r="G731" s="1"/>
      <c r="H731" s="77">
        <f>IF(G731="",0,VLOOKUP(G731,REFCE!A:D,2,FALSE))</f>
        <v>0</v>
      </c>
      <c r="I731" s="77" t="str">
        <f t="shared" si="85"/>
        <v/>
      </c>
    </row>
    <row r="732" spans="1:9" x14ac:dyDescent="0.25">
      <c r="A732" s="203" t="str">
        <f>IF(DATA!M662="","",DATA!M662)</f>
        <v/>
      </c>
      <c r="B732" s="203" t="str">
        <f>IF(DATA!N662="","",DATA!N662)</f>
        <v/>
      </c>
      <c r="C732" s="203" t="str">
        <f>IF(DATA!O662="","",DATA!O662)</f>
        <v/>
      </c>
      <c r="D732" s="203" t="str">
        <f>IF(DATA!P662="","",DATA!P662)</f>
        <v/>
      </c>
      <c r="E732" s="13"/>
      <c r="F732" s="5" t="str">
        <f t="shared" si="84"/>
        <v/>
      </c>
      <c r="G732" s="1"/>
      <c r="H732" s="77">
        <f>IF(G732="",0,VLOOKUP(G732,REFCE!A:D,2,FALSE))</f>
        <v>0</v>
      </c>
      <c r="I732" s="77" t="str">
        <f t="shared" si="85"/>
        <v/>
      </c>
    </row>
    <row r="733" spans="1:9" x14ac:dyDescent="0.25">
      <c r="A733" s="203" t="str">
        <f>IF(DATA!M663="","",DATA!M663)</f>
        <v/>
      </c>
      <c r="B733" s="203" t="str">
        <f>IF(DATA!N663="","",DATA!N663)</f>
        <v/>
      </c>
      <c r="C733" s="203" t="str">
        <f>IF(DATA!O663="","",DATA!O663)</f>
        <v/>
      </c>
      <c r="D733" s="203" t="str">
        <f>IF(DATA!P663="","",DATA!P663)</f>
        <v/>
      </c>
      <c r="E733" s="13"/>
      <c r="F733" s="5" t="str">
        <f t="shared" si="84"/>
        <v/>
      </c>
      <c r="G733" s="1"/>
      <c r="H733" s="77">
        <f>IF(G733="",0,VLOOKUP(G733,REFCE!A:D,2,FALSE))</f>
        <v>0</v>
      </c>
      <c r="I733" s="77" t="str">
        <f t="shared" si="85"/>
        <v/>
      </c>
    </row>
    <row r="734" spans="1:9" x14ac:dyDescent="0.25">
      <c r="A734" s="203" t="str">
        <f>IF(DATA!M664="","",DATA!M664)</f>
        <v/>
      </c>
      <c r="B734" s="203" t="str">
        <f>IF(DATA!N664="","",DATA!N664)</f>
        <v/>
      </c>
      <c r="C734" s="203" t="str">
        <f>IF(DATA!O664="","",DATA!O664)</f>
        <v/>
      </c>
      <c r="D734" s="203" t="str">
        <f>IF(DATA!P664="","",DATA!P664)</f>
        <v/>
      </c>
      <c r="E734" s="13"/>
      <c r="F734" s="5" t="str">
        <f t="shared" si="84"/>
        <v/>
      </c>
      <c r="G734" s="1"/>
      <c r="H734" s="77">
        <f>IF(G734="",0,VLOOKUP(G734,REFCE!A:D,2,FALSE))</f>
        <v>0</v>
      </c>
      <c r="I734" s="77" t="str">
        <f t="shared" si="85"/>
        <v/>
      </c>
    </row>
    <row r="735" spans="1:9" x14ac:dyDescent="0.25">
      <c r="A735" s="203" t="str">
        <f>IF(DATA!M665="","",DATA!M665)</f>
        <v/>
      </c>
      <c r="B735" s="203" t="str">
        <f>IF(DATA!N665="","",DATA!N665)</f>
        <v/>
      </c>
      <c r="C735" s="203" t="str">
        <f>IF(DATA!O665="","",DATA!O665)</f>
        <v/>
      </c>
      <c r="D735" s="203" t="str">
        <f>IF(DATA!P665="","",DATA!P665)</f>
        <v/>
      </c>
      <c r="E735" s="13"/>
      <c r="F735" s="5" t="str">
        <f t="shared" si="84"/>
        <v/>
      </c>
      <c r="G735" s="1"/>
      <c r="H735" s="77">
        <f>IF(G735="",0,VLOOKUP(G735,REFCE!A:D,2,FALSE))</f>
        <v>0</v>
      </c>
      <c r="I735" s="77" t="str">
        <f t="shared" si="85"/>
        <v/>
      </c>
    </row>
    <row r="736" spans="1:9" x14ac:dyDescent="0.25">
      <c r="A736" s="203" t="str">
        <f>IF(DATA!M666="","",DATA!M666)</f>
        <v/>
      </c>
      <c r="B736" s="203" t="str">
        <f>IF(DATA!N666="","",DATA!N666)</f>
        <v/>
      </c>
      <c r="C736" s="203" t="str">
        <f>IF(DATA!O666="","",DATA!O666)</f>
        <v/>
      </c>
      <c r="D736" s="203" t="str">
        <f>IF(DATA!P666="","",DATA!P666)</f>
        <v/>
      </c>
      <c r="E736" s="13"/>
      <c r="F736" s="5" t="str">
        <f t="shared" si="84"/>
        <v/>
      </c>
      <c r="G736" s="1"/>
      <c r="H736" s="77">
        <f>IF(G736="",0,VLOOKUP(G736,REFCE!A:D,2,FALSE))</f>
        <v>0</v>
      </c>
      <c r="I736" s="77" t="str">
        <f t="shared" si="85"/>
        <v/>
      </c>
    </row>
    <row r="737" spans="1:9" x14ac:dyDescent="0.25">
      <c r="A737" s="203" t="str">
        <f>IF(DATA!M667="","",DATA!M667)</f>
        <v/>
      </c>
      <c r="B737" s="203" t="str">
        <f>IF(DATA!N667="","",DATA!N667)</f>
        <v/>
      </c>
      <c r="C737" s="203" t="str">
        <f>IF(DATA!O667="","",DATA!O667)</f>
        <v/>
      </c>
      <c r="D737" s="203" t="str">
        <f>IF(DATA!P667="","",DATA!P667)</f>
        <v/>
      </c>
      <c r="E737" s="13"/>
      <c r="F737" s="5" t="str">
        <f t="shared" si="84"/>
        <v/>
      </c>
      <c r="G737" s="1"/>
      <c r="H737" s="77">
        <f>IF(G737="",0,VLOOKUP(G737,REFCE!A:D,2,FALSE))</f>
        <v>0</v>
      </c>
      <c r="I737" s="77" t="str">
        <f t="shared" si="85"/>
        <v/>
      </c>
    </row>
    <row r="738" spans="1:9" x14ac:dyDescent="0.25">
      <c r="A738" s="203" t="str">
        <f>IF(DATA!M668="","",DATA!M668)</f>
        <v/>
      </c>
      <c r="B738" s="203" t="str">
        <f>IF(DATA!N668="","",DATA!N668)</f>
        <v/>
      </c>
      <c r="C738" s="203" t="str">
        <f>IF(DATA!O668="","",DATA!O668)</f>
        <v/>
      </c>
      <c r="D738" s="203" t="str">
        <f>IF(DATA!P668="","",DATA!P668)</f>
        <v/>
      </c>
      <c r="E738" s="13"/>
      <c r="F738" s="5" t="str">
        <f t="shared" si="84"/>
        <v/>
      </c>
      <c r="G738" s="1"/>
      <c r="H738" s="77">
        <f>IF(G738="",0,VLOOKUP(G738,REFCE!A:D,2,FALSE))</f>
        <v>0</v>
      </c>
      <c r="I738" s="77" t="str">
        <f t="shared" si="85"/>
        <v/>
      </c>
    </row>
    <row r="739" spans="1:9" x14ac:dyDescent="0.25">
      <c r="A739" s="203" t="str">
        <f>IF(DATA!M669="","",DATA!M669)</f>
        <v/>
      </c>
      <c r="B739" s="203" t="str">
        <f>IF(DATA!N669="","",DATA!N669)</f>
        <v/>
      </c>
      <c r="C739" s="203" t="str">
        <f>IF(DATA!O669="","",DATA!O669)</f>
        <v/>
      </c>
      <c r="D739" s="203" t="str">
        <f>IF(DATA!P669="","",DATA!P669)</f>
        <v/>
      </c>
      <c r="E739" s="13"/>
      <c r="F739" s="5" t="str">
        <f t="shared" si="84"/>
        <v/>
      </c>
      <c r="G739" s="1"/>
      <c r="H739" s="77">
        <f>IF(G739="",0,VLOOKUP(G739,REFCE!A:D,2,FALSE))</f>
        <v>0</v>
      </c>
      <c r="I739" s="77" t="str">
        <f t="shared" si="85"/>
        <v/>
      </c>
    </row>
    <row r="740" spans="1:9" x14ac:dyDescent="0.25">
      <c r="A740" s="203" t="str">
        <f>IF(DATA!M670="","",DATA!M670)</f>
        <v/>
      </c>
      <c r="B740" s="203" t="str">
        <f>IF(DATA!N670="","",DATA!N670)</f>
        <v/>
      </c>
      <c r="C740" s="203" t="str">
        <f>IF(DATA!O670="","",DATA!O670)</f>
        <v/>
      </c>
      <c r="D740" s="203" t="str">
        <f>IF(DATA!P670="","",DATA!P670)</f>
        <v/>
      </c>
      <c r="E740" s="13"/>
      <c r="F740" s="5" t="str">
        <f t="shared" si="84"/>
        <v/>
      </c>
      <c r="G740" s="1"/>
      <c r="H740" s="77">
        <f>IF(G740="",0,VLOOKUP(G740,REFCE!A:D,2,FALSE))</f>
        <v>0</v>
      </c>
      <c r="I740" s="77" t="str">
        <f t="shared" si="85"/>
        <v/>
      </c>
    </row>
    <row r="741" spans="1:9" x14ac:dyDescent="0.25">
      <c r="A741" s="203" t="str">
        <f>IF(DATA!M671="","",DATA!M671)</f>
        <v/>
      </c>
      <c r="B741" s="203" t="str">
        <f>IF(DATA!N671="","",DATA!N671)</f>
        <v/>
      </c>
      <c r="C741" s="203" t="str">
        <f>IF(DATA!O671="","",DATA!O671)</f>
        <v/>
      </c>
      <c r="D741" s="203" t="str">
        <f>IF(DATA!P671="","",DATA!P671)</f>
        <v/>
      </c>
      <c r="E741" s="13"/>
      <c r="F741" s="5" t="str">
        <f t="shared" si="84"/>
        <v/>
      </c>
      <c r="G741" s="1"/>
      <c r="H741" s="77">
        <f>IF(G741="",0,VLOOKUP(G741,REFCE!A:D,2,FALSE))</f>
        <v>0</v>
      </c>
      <c r="I741" s="77" t="str">
        <f t="shared" si="85"/>
        <v/>
      </c>
    </row>
    <row r="742" spans="1:9" x14ac:dyDescent="0.25">
      <c r="A742" s="203" t="str">
        <f>IF(DATA!M672="","",DATA!M672)</f>
        <v/>
      </c>
      <c r="B742" s="203" t="str">
        <f>IF(DATA!N672="","",DATA!N672)</f>
        <v/>
      </c>
      <c r="C742" s="203" t="str">
        <f>IF(DATA!O672="","",DATA!O672)</f>
        <v/>
      </c>
      <c r="D742" s="203" t="str">
        <f>IF(DATA!P672="","",DATA!P672)</f>
        <v/>
      </c>
      <c r="E742" s="13"/>
      <c r="F742" s="5" t="str">
        <f t="shared" si="84"/>
        <v/>
      </c>
      <c r="G742" s="1"/>
      <c r="H742" s="77">
        <f>IF(G742="",0,VLOOKUP(G742,REFCE!A:D,2,FALSE))</f>
        <v>0</v>
      </c>
      <c r="I742" s="77" t="str">
        <f t="shared" si="85"/>
        <v/>
      </c>
    </row>
    <row r="743" spans="1:9" x14ac:dyDescent="0.25">
      <c r="A743" s="203" t="str">
        <f>IF(DATA!M673="","",DATA!M673)</f>
        <v/>
      </c>
      <c r="B743" s="203" t="str">
        <f>IF(DATA!N673="","",DATA!N673)</f>
        <v/>
      </c>
      <c r="C743" s="203" t="str">
        <f>IF(DATA!O673="","",DATA!O673)</f>
        <v/>
      </c>
      <c r="D743" s="203" t="str">
        <f>IF(DATA!P673="","",DATA!P673)</f>
        <v/>
      </c>
      <c r="E743" s="13"/>
      <c r="F743" s="5" t="str">
        <f t="shared" si="84"/>
        <v/>
      </c>
      <c r="G743" s="1"/>
      <c r="H743" s="77">
        <f>IF(G743="",0,VLOOKUP(G743,REFCE!A:D,2,FALSE))</f>
        <v>0</v>
      </c>
      <c r="I743" s="77" t="str">
        <f t="shared" si="85"/>
        <v/>
      </c>
    </row>
    <row r="744" spans="1:9" x14ac:dyDescent="0.25">
      <c r="A744" s="203" t="str">
        <f>IF(DATA!M674="","",DATA!M674)</f>
        <v/>
      </c>
      <c r="B744" s="203" t="str">
        <f>IF(DATA!N674="","",DATA!N674)</f>
        <v/>
      </c>
      <c r="C744" s="203" t="str">
        <f>IF(DATA!O674="","",DATA!O674)</f>
        <v/>
      </c>
      <c r="D744" s="203" t="str">
        <f>IF(DATA!P674="","",DATA!P674)</f>
        <v/>
      </c>
      <c r="E744" s="13"/>
      <c r="F744" s="5" t="str">
        <f t="shared" si="84"/>
        <v/>
      </c>
      <c r="G744" s="1"/>
      <c r="H744" s="77">
        <f>IF(G744="",0,VLOOKUP(G744,REFCE!A:D,2,FALSE))</f>
        <v>0</v>
      </c>
      <c r="I744" s="77" t="str">
        <f t="shared" si="85"/>
        <v/>
      </c>
    </row>
    <row r="745" spans="1:9" x14ac:dyDescent="0.25">
      <c r="A745" s="203" t="str">
        <f>IF(DATA!M675="","",DATA!M675)</f>
        <v/>
      </c>
      <c r="B745" s="203" t="str">
        <f>IF(DATA!N675="","",DATA!N675)</f>
        <v/>
      </c>
      <c r="C745" s="203" t="str">
        <f>IF(DATA!O675="","",DATA!O675)</f>
        <v/>
      </c>
      <c r="D745" s="203" t="str">
        <f>IF(DATA!P675="","",DATA!P675)</f>
        <v/>
      </c>
      <c r="E745" s="13"/>
      <c r="F745" s="5" t="str">
        <f t="shared" si="84"/>
        <v/>
      </c>
      <c r="G745" s="1"/>
      <c r="H745" s="77">
        <f>IF(G745="",0,VLOOKUP(G745,REFCE!A:D,2,FALSE))</f>
        <v>0</v>
      </c>
      <c r="I745" s="77" t="str">
        <f t="shared" si="85"/>
        <v/>
      </c>
    </row>
    <row r="746" spans="1:9" x14ac:dyDescent="0.25">
      <c r="A746" s="203" t="str">
        <f>IF(DATA!M676="","",DATA!M676)</f>
        <v/>
      </c>
      <c r="B746" s="203" t="str">
        <f>IF(DATA!N676="","",DATA!N676)</f>
        <v/>
      </c>
      <c r="C746" s="203" t="str">
        <f>IF(DATA!O676="","",DATA!O676)</f>
        <v/>
      </c>
      <c r="D746" s="203" t="str">
        <f>IF(DATA!P676="","",DATA!P676)</f>
        <v/>
      </c>
      <c r="E746" s="13"/>
      <c r="F746" s="5" t="str">
        <f t="shared" si="84"/>
        <v/>
      </c>
      <c r="G746" s="1"/>
      <c r="H746" s="77">
        <f>IF(G746="",0,VLOOKUP(G746,REFCE!A:D,2,FALSE))</f>
        <v>0</v>
      </c>
      <c r="I746" s="77" t="str">
        <f t="shared" si="85"/>
        <v/>
      </c>
    </row>
    <row r="747" spans="1:9" x14ac:dyDescent="0.25">
      <c r="A747" s="203" t="str">
        <f>IF(DATA!M677="","",DATA!M677)</f>
        <v/>
      </c>
      <c r="B747" s="203" t="str">
        <f>IF(DATA!N677="","",DATA!N677)</f>
        <v/>
      </c>
      <c r="C747" s="203" t="str">
        <f>IF(DATA!O677="","",DATA!O677)</f>
        <v/>
      </c>
      <c r="D747" s="203" t="str">
        <f>IF(DATA!P677="","",DATA!P677)</f>
        <v/>
      </c>
      <c r="E747" s="13"/>
      <c r="F747" s="5" t="str">
        <f t="shared" si="84"/>
        <v/>
      </c>
      <c r="G747" s="1"/>
      <c r="H747" s="77">
        <f>IF(G747="",0,VLOOKUP(G747,REFCE!A:D,2,FALSE))</f>
        <v>0</v>
      </c>
      <c r="I747" s="77" t="str">
        <f t="shared" si="85"/>
        <v/>
      </c>
    </row>
    <row r="748" spans="1:9" x14ac:dyDescent="0.25">
      <c r="A748" s="203" t="str">
        <f>IF(DATA!M678="","",DATA!M678)</f>
        <v/>
      </c>
      <c r="B748" s="203" t="str">
        <f>IF(DATA!N678="","",DATA!N678)</f>
        <v/>
      </c>
      <c r="C748" s="203" t="str">
        <f>IF(DATA!O678="","",DATA!O678)</f>
        <v/>
      </c>
      <c r="D748" s="203" t="str">
        <f>IF(DATA!P678="","",DATA!P678)</f>
        <v/>
      </c>
      <c r="E748" s="13"/>
      <c r="F748" s="5" t="str">
        <f t="shared" si="84"/>
        <v/>
      </c>
      <c r="G748" s="1"/>
      <c r="H748" s="77">
        <f>IF(G748="",0,VLOOKUP(G748,REFCE!A:D,2,FALSE))</f>
        <v>0</v>
      </c>
      <c r="I748" s="77" t="str">
        <f t="shared" si="85"/>
        <v/>
      </c>
    </row>
    <row r="749" spans="1:9" x14ac:dyDescent="0.25">
      <c r="A749" s="203" t="str">
        <f>IF(DATA!M679="","",DATA!M679)</f>
        <v/>
      </c>
      <c r="B749" s="203" t="str">
        <f>IF(DATA!N679="","",DATA!N679)</f>
        <v/>
      </c>
      <c r="C749" s="203" t="str">
        <f>IF(DATA!O679="","",DATA!O679)</f>
        <v/>
      </c>
      <c r="D749" s="203" t="str">
        <f>IF(DATA!P679="","",DATA!P679)</f>
        <v/>
      </c>
      <c r="E749" s="13"/>
      <c r="F749" s="5" t="str">
        <f t="shared" si="84"/>
        <v/>
      </c>
      <c r="G749" s="1"/>
      <c r="H749" s="77">
        <f>IF(G749="",0,VLOOKUP(G749,REFCE!A:D,2,FALSE))</f>
        <v>0</v>
      </c>
      <c r="I749" s="77" t="str">
        <f t="shared" si="85"/>
        <v/>
      </c>
    </row>
    <row r="750" spans="1:9" x14ac:dyDescent="0.25">
      <c r="A750" s="203" t="str">
        <f>IF(DATA!M680="","",DATA!M680)</f>
        <v/>
      </c>
      <c r="B750" s="203" t="str">
        <f>IF(DATA!N680="","",DATA!N680)</f>
        <v/>
      </c>
      <c r="C750" s="203" t="str">
        <f>IF(DATA!O680="","",DATA!O680)</f>
        <v/>
      </c>
      <c r="D750" s="203" t="str">
        <f>IF(DATA!P680="","",DATA!P680)</f>
        <v/>
      </c>
      <c r="E750" s="13"/>
      <c r="F750" s="5" t="str">
        <f t="shared" si="84"/>
        <v/>
      </c>
      <c r="G750" s="1"/>
      <c r="H750" s="77">
        <f>IF(G750="",0,VLOOKUP(G750,REFCE!A:D,2,FALSE))</f>
        <v>0</v>
      </c>
      <c r="I750" s="77" t="str">
        <f t="shared" si="85"/>
        <v/>
      </c>
    </row>
    <row r="751" spans="1:9" x14ac:dyDescent="0.25">
      <c r="A751" s="203" t="str">
        <f>IF(DATA!M681="","",DATA!M681)</f>
        <v/>
      </c>
      <c r="B751" s="203" t="str">
        <f>IF(DATA!N681="","",DATA!N681)</f>
        <v/>
      </c>
      <c r="C751" s="203" t="str">
        <f>IF(DATA!O681="","",DATA!O681)</f>
        <v/>
      </c>
      <c r="D751" s="203" t="str">
        <f>IF(DATA!P681="","",DATA!P681)</f>
        <v/>
      </c>
      <c r="E751" s="13"/>
      <c r="F751" s="5" t="str">
        <f t="shared" si="84"/>
        <v/>
      </c>
      <c r="G751" s="1"/>
      <c r="H751" s="77">
        <f>IF(G751="",0,VLOOKUP(G751,REFCE!A:D,2,FALSE))</f>
        <v>0</v>
      </c>
      <c r="I751" s="77" t="str">
        <f t="shared" si="85"/>
        <v/>
      </c>
    </row>
    <row r="752" spans="1:9" x14ac:dyDescent="0.25">
      <c r="A752" s="203" t="str">
        <f>IF(DATA!M682="","",DATA!M682)</f>
        <v/>
      </c>
      <c r="B752" s="203" t="str">
        <f>IF(DATA!N682="","",DATA!N682)</f>
        <v/>
      </c>
      <c r="C752" s="203" t="str">
        <f>IF(DATA!O682="","",DATA!O682)</f>
        <v/>
      </c>
      <c r="D752" s="203" t="str">
        <f>IF(DATA!P682="","",DATA!P682)</f>
        <v/>
      </c>
      <c r="E752" s="13"/>
      <c r="F752" s="5" t="str">
        <f t="shared" si="84"/>
        <v/>
      </c>
      <c r="G752" s="1"/>
      <c r="H752" s="77">
        <f>IF(G752="",0,VLOOKUP(G752,REFCE!A:D,2,FALSE))</f>
        <v>0</v>
      </c>
      <c r="I752" s="77" t="str">
        <f t="shared" si="85"/>
        <v/>
      </c>
    </row>
    <row r="753" spans="1:9" x14ac:dyDescent="0.25">
      <c r="A753" s="203" t="str">
        <f>IF(DATA!M683="","",DATA!M683)</f>
        <v/>
      </c>
      <c r="B753" s="203" t="str">
        <f>IF(DATA!N683="","",DATA!N683)</f>
        <v/>
      </c>
      <c r="C753" s="203" t="str">
        <f>IF(DATA!O683="","",DATA!O683)</f>
        <v/>
      </c>
      <c r="D753" s="203" t="str">
        <f>IF(DATA!P683="","",DATA!P683)</f>
        <v/>
      </c>
      <c r="E753" s="13"/>
      <c r="F753" s="5" t="str">
        <f t="shared" si="84"/>
        <v/>
      </c>
      <c r="G753" s="1"/>
      <c r="H753" s="77">
        <f>IF(G753="",0,VLOOKUP(G753,REFCE!A:D,2,FALSE))</f>
        <v>0</v>
      </c>
      <c r="I753" s="77" t="str">
        <f t="shared" si="85"/>
        <v/>
      </c>
    </row>
    <row r="754" spans="1:9" x14ac:dyDescent="0.25">
      <c r="A754" s="203" t="str">
        <f>IF(DATA!M684="","",DATA!M684)</f>
        <v/>
      </c>
      <c r="B754" s="203" t="str">
        <f>IF(DATA!N684="","",DATA!N684)</f>
        <v/>
      </c>
      <c r="C754" s="203" t="str">
        <f>IF(DATA!O684="","",DATA!O684)</f>
        <v/>
      </c>
      <c r="D754" s="203" t="str">
        <f>IF(DATA!P684="","",DATA!P684)</f>
        <v/>
      </c>
      <c r="E754" s="13"/>
      <c r="F754" s="5" t="str">
        <f t="shared" si="84"/>
        <v/>
      </c>
      <c r="G754" s="1"/>
      <c r="H754" s="77">
        <f>IF(G754="",0,VLOOKUP(G754,REFCE!A:D,2,FALSE))</f>
        <v>0</v>
      </c>
      <c r="I754" s="77" t="str">
        <f t="shared" si="85"/>
        <v/>
      </c>
    </row>
    <row r="755" spans="1:9" x14ac:dyDescent="0.25">
      <c r="A755" s="203" t="str">
        <f>IF(DATA!M685="","",DATA!M685)</f>
        <v/>
      </c>
      <c r="B755" s="203" t="str">
        <f>IF(DATA!N685="","",DATA!N685)</f>
        <v/>
      </c>
      <c r="C755" s="203" t="str">
        <f>IF(DATA!O685="","",DATA!O685)</f>
        <v/>
      </c>
      <c r="D755" s="203" t="str">
        <f>IF(DATA!P685="","",DATA!P685)</f>
        <v/>
      </c>
      <c r="E755" s="13"/>
      <c r="F755" s="5" t="str">
        <f t="shared" si="84"/>
        <v/>
      </c>
      <c r="G755" s="1"/>
      <c r="H755" s="77">
        <f>IF(G755="",0,VLOOKUP(G755,REFCE!A:D,2,FALSE))</f>
        <v>0</v>
      </c>
      <c r="I755" s="77" t="str">
        <f t="shared" si="85"/>
        <v/>
      </c>
    </row>
    <row r="756" spans="1:9" x14ac:dyDescent="0.25">
      <c r="A756" s="203" t="str">
        <f>IF(DATA!M686="","",DATA!M686)</f>
        <v/>
      </c>
      <c r="B756" s="203" t="str">
        <f>IF(DATA!N686="","",DATA!N686)</f>
        <v/>
      </c>
      <c r="C756" s="203" t="str">
        <f>IF(DATA!O686="","",DATA!O686)</f>
        <v/>
      </c>
      <c r="D756" s="203" t="str">
        <f>IF(DATA!P686="","",DATA!P686)</f>
        <v/>
      </c>
      <c r="E756" s="13"/>
      <c r="F756" s="5" t="str">
        <f t="shared" si="84"/>
        <v/>
      </c>
      <c r="G756" s="1"/>
      <c r="H756" s="77">
        <f>IF(G756="",0,VLOOKUP(G756,REFCE!A:D,2,FALSE))</f>
        <v>0</v>
      </c>
      <c r="I756" s="77" t="str">
        <f t="shared" si="85"/>
        <v/>
      </c>
    </row>
    <row r="757" spans="1:9" x14ac:dyDescent="0.25">
      <c r="A757" s="203" t="str">
        <f>IF(DATA!M687="","",DATA!M687)</f>
        <v/>
      </c>
      <c r="B757" s="203" t="str">
        <f>IF(DATA!N687="","",DATA!N687)</f>
        <v/>
      </c>
      <c r="C757" s="203" t="str">
        <f>IF(DATA!O687="","",DATA!O687)</f>
        <v/>
      </c>
      <c r="D757" s="203" t="str">
        <f>IF(DATA!P687="","",DATA!P687)</f>
        <v/>
      </c>
      <c r="E757" s="13"/>
      <c r="F757" s="5" t="str">
        <f t="shared" si="84"/>
        <v/>
      </c>
      <c r="G757" s="1"/>
      <c r="H757" s="77">
        <f>IF(G757="",0,VLOOKUP(G757,REFCE!A:D,2,FALSE))</f>
        <v>0</v>
      </c>
      <c r="I757" s="77" t="str">
        <f t="shared" si="85"/>
        <v/>
      </c>
    </row>
    <row r="758" spans="1:9" x14ac:dyDescent="0.25">
      <c r="A758" s="203" t="str">
        <f>IF(DATA!M688="","",DATA!M688)</f>
        <v/>
      </c>
      <c r="B758" s="203" t="str">
        <f>IF(DATA!N688="","",DATA!N688)</f>
        <v/>
      </c>
      <c r="C758" s="203" t="str">
        <f>IF(DATA!O688="","",DATA!O688)</f>
        <v/>
      </c>
      <c r="D758" s="203" t="str">
        <f>IF(DATA!P688="","",DATA!P688)</f>
        <v/>
      </c>
      <c r="E758" s="13"/>
      <c r="F758" s="5" t="str">
        <f t="shared" si="84"/>
        <v/>
      </c>
      <c r="G758" s="1"/>
      <c r="H758" s="77">
        <f>IF(G758="",0,VLOOKUP(G758,REFCE!A:D,2,FALSE))</f>
        <v>0</v>
      </c>
      <c r="I758" s="77" t="str">
        <f t="shared" si="85"/>
        <v/>
      </c>
    </row>
    <row r="759" spans="1:9" x14ac:dyDescent="0.25">
      <c r="A759" s="203" t="str">
        <f>IF(DATA!M689="","",DATA!M689)</f>
        <v/>
      </c>
      <c r="B759" s="203" t="str">
        <f>IF(DATA!N689="","",DATA!N689)</f>
        <v/>
      </c>
      <c r="C759" s="203" t="str">
        <f>IF(DATA!O689="","",DATA!O689)</f>
        <v/>
      </c>
      <c r="D759" s="203" t="str">
        <f>IF(DATA!P689="","",DATA!P689)</f>
        <v/>
      </c>
      <c r="E759" s="13"/>
      <c r="F759" s="5" t="str">
        <f t="shared" si="84"/>
        <v/>
      </c>
      <c r="G759" s="1"/>
      <c r="H759" s="77">
        <f>IF(G759="",0,VLOOKUP(G759,REFCE!A:D,2,FALSE))</f>
        <v>0</v>
      </c>
      <c r="I759" s="77" t="str">
        <f t="shared" si="85"/>
        <v/>
      </c>
    </row>
    <row r="760" spans="1:9" x14ac:dyDescent="0.25">
      <c r="A760" s="203" t="str">
        <f>IF(DATA!M690="","",DATA!M690)</f>
        <v/>
      </c>
      <c r="B760" s="203" t="str">
        <f>IF(DATA!N690="","",DATA!N690)</f>
        <v/>
      </c>
      <c r="C760" s="203" t="str">
        <f>IF(DATA!O690="","",DATA!O690)</f>
        <v/>
      </c>
      <c r="D760" s="203" t="str">
        <f>IF(DATA!P690="","",DATA!P690)</f>
        <v/>
      </c>
      <c r="E760" s="13"/>
      <c r="F760" s="5" t="str">
        <f t="shared" si="84"/>
        <v/>
      </c>
      <c r="G760" s="1"/>
      <c r="H760" s="77">
        <f>IF(G760="",0,VLOOKUP(G760,REFCE!A:D,2,FALSE))</f>
        <v>0</v>
      </c>
      <c r="I760" s="77" t="str">
        <f t="shared" si="85"/>
        <v/>
      </c>
    </row>
    <row r="761" spans="1:9" x14ac:dyDescent="0.25">
      <c r="A761" s="203" t="str">
        <f>IF(DATA!M691="","",DATA!M691)</f>
        <v/>
      </c>
      <c r="B761" s="203" t="str">
        <f>IF(DATA!N691="","",DATA!N691)</f>
        <v/>
      </c>
      <c r="C761" s="203" t="str">
        <f>IF(DATA!O691="","",DATA!O691)</f>
        <v/>
      </c>
      <c r="D761" s="203" t="str">
        <f>IF(DATA!P691="","",DATA!P691)</f>
        <v/>
      </c>
      <c r="E761" s="13"/>
      <c r="F761" s="5" t="str">
        <f t="shared" si="84"/>
        <v/>
      </c>
      <c r="G761" s="1"/>
      <c r="H761" s="77">
        <f>IF(G761="",0,VLOOKUP(G761,REFCE!A:D,2,FALSE))</f>
        <v>0</v>
      </c>
      <c r="I761" s="77" t="str">
        <f t="shared" si="85"/>
        <v/>
      </c>
    </row>
    <row r="762" spans="1:9" x14ac:dyDescent="0.25">
      <c r="A762" s="203" t="str">
        <f>IF(DATA!M692="","",DATA!M692)</f>
        <v/>
      </c>
      <c r="B762" s="203" t="str">
        <f>IF(DATA!N692="","",DATA!N692)</f>
        <v/>
      </c>
      <c r="C762" s="203" t="str">
        <f>IF(DATA!O692="","",DATA!O692)</f>
        <v/>
      </c>
      <c r="D762" s="203" t="str">
        <f>IF(DATA!P692="","",DATA!P692)</f>
        <v/>
      </c>
      <c r="E762" s="13"/>
      <c r="F762" s="5" t="str">
        <f t="shared" si="84"/>
        <v/>
      </c>
      <c r="G762" s="1"/>
      <c r="H762" s="77">
        <f>IF(G762="",0,VLOOKUP(G762,REFCE!A:D,2,FALSE))</f>
        <v>0</v>
      </c>
      <c r="I762" s="77" t="str">
        <f t="shared" si="85"/>
        <v/>
      </c>
    </row>
    <row r="763" spans="1:9" x14ac:dyDescent="0.25">
      <c r="A763" s="203" t="str">
        <f>IF(DATA!M693="","",DATA!M693)</f>
        <v/>
      </c>
      <c r="B763" s="203" t="str">
        <f>IF(DATA!N693="","",DATA!N693)</f>
        <v/>
      </c>
      <c r="C763" s="203" t="str">
        <f>IF(DATA!O693="","",DATA!O693)</f>
        <v/>
      </c>
      <c r="D763" s="203" t="str">
        <f>IF(DATA!P693="","",DATA!P693)</f>
        <v/>
      </c>
      <c r="E763" s="13"/>
      <c r="F763" s="5" t="str">
        <f t="shared" si="84"/>
        <v/>
      </c>
      <c r="G763" s="1"/>
      <c r="H763" s="77">
        <f>IF(G763="",0,VLOOKUP(G763,REFCE!A:D,2,FALSE))</f>
        <v>0</v>
      </c>
      <c r="I763" s="77" t="str">
        <f t="shared" si="85"/>
        <v/>
      </c>
    </row>
    <row r="764" spans="1:9" x14ac:dyDescent="0.25">
      <c r="A764" s="203" t="str">
        <f>IF(DATA!M694="","",DATA!M694)</f>
        <v/>
      </c>
      <c r="B764" s="203" t="str">
        <f>IF(DATA!N694="","",DATA!N694)</f>
        <v/>
      </c>
      <c r="C764" s="203" t="str">
        <f>IF(DATA!O694="","",DATA!O694)</f>
        <v/>
      </c>
      <c r="D764" s="203" t="str">
        <f>IF(DATA!P694="","",DATA!P694)</f>
        <v/>
      </c>
      <c r="E764" s="13"/>
      <c r="F764" s="5" t="str">
        <f t="shared" si="84"/>
        <v/>
      </c>
      <c r="G764" s="1"/>
      <c r="H764" s="77">
        <f>IF(G764="",0,VLOOKUP(G764,REFCE!A:D,2,FALSE))</f>
        <v>0</v>
      </c>
      <c r="I764" s="77" t="str">
        <f t="shared" si="85"/>
        <v/>
      </c>
    </row>
    <row r="765" spans="1:9" x14ac:dyDescent="0.25">
      <c r="A765" s="203" t="str">
        <f>IF(DATA!M695="","",DATA!M695)</f>
        <v/>
      </c>
      <c r="B765" s="203" t="str">
        <f>IF(DATA!N695="","",DATA!N695)</f>
        <v/>
      </c>
      <c r="C765" s="203" t="str">
        <f>IF(DATA!O695="","",DATA!O695)</f>
        <v/>
      </c>
      <c r="D765" s="203" t="str">
        <f>IF(DATA!P695="","",DATA!P695)</f>
        <v/>
      </c>
      <c r="E765" s="13"/>
      <c r="F765" s="5" t="str">
        <f t="shared" si="84"/>
        <v/>
      </c>
      <c r="G765" s="1"/>
      <c r="H765" s="77">
        <f>IF(G765="",0,VLOOKUP(G765,REFCE!A:D,2,FALSE))</f>
        <v>0</v>
      </c>
      <c r="I765" s="77" t="str">
        <f t="shared" si="85"/>
        <v/>
      </c>
    </row>
    <row r="766" spans="1:9" x14ac:dyDescent="0.25">
      <c r="A766" s="203" t="str">
        <f>IF(DATA!M696="","",DATA!M696)</f>
        <v/>
      </c>
      <c r="B766" s="203" t="str">
        <f>IF(DATA!N696="","",DATA!N696)</f>
        <v/>
      </c>
      <c r="C766" s="203" t="str">
        <f>IF(DATA!O696="","",DATA!O696)</f>
        <v/>
      </c>
      <c r="D766" s="203" t="str">
        <f>IF(DATA!P696="","",DATA!P696)</f>
        <v/>
      </c>
      <c r="E766" s="13"/>
      <c r="F766" s="5" t="str">
        <f t="shared" si="84"/>
        <v/>
      </c>
      <c r="G766" s="1"/>
      <c r="H766" s="77">
        <f>IF(G766="",0,VLOOKUP(G766,REFCE!A:D,2,FALSE))</f>
        <v>0</v>
      </c>
      <c r="I766" s="77" t="str">
        <f t="shared" si="85"/>
        <v/>
      </c>
    </row>
    <row r="767" spans="1:9" x14ac:dyDescent="0.25">
      <c r="A767" s="203" t="str">
        <f>IF(DATA!M697="","",DATA!M697)</f>
        <v/>
      </c>
      <c r="B767" s="203" t="str">
        <f>IF(DATA!N697="","",DATA!N697)</f>
        <v/>
      </c>
      <c r="C767" s="203" t="str">
        <f>IF(DATA!O697="","",DATA!O697)</f>
        <v/>
      </c>
      <c r="D767" s="203" t="str">
        <f>IF(DATA!P697="","",DATA!P697)</f>
        <v/>
      </c>
      <c r="E767" s="13"/>
      <c r="F767" s="5" t="str">
        <f t="shared" si="84"/>
        <v/>
      </c>
      <c r="G767" s="1"/>
      <c r="H767" s="77">
        <f>IF(G767="",0,VLOOKUP(G767,REFCE!A:D,2,FALSE))</f>
        <v>0</v>
      </c>
      <c r="I767" s="77" t="str">
        <f t="shared" si="85"/>
        <v/>
      </c>
    </row>
    <row r="768" spans="1:9" x14ac:dyDescent="0.25">
      <c r="A768" s="203" t="str">
        <f>IF(DATA!M698="","",DATA!M698)</f>
        <v/>
      </c>
      <c r="B768" s="203" t="str">
        <f>IF(DATA!N698="","",DATA!N698)</f>
        <v/>
      </c>
      <c r="C768" s="203" t="str">
        <f>IF(DATA!O698="","",DATA!O698)</f>
        <v/>
      </c>
      <c r="D768" s="203" t="str">
        <f>IF(DATA!P698="","",DATA!P698)</f>
        <v/>
      </c>
      <c r="E768" s="13"/>
      <c r="F768" s="5" t="str">
        <f t="shared" si="84"/>
        <v/>
      </c>
      <c r="G768" s="1"/>
      <c r="H768" s="77">
        <f>IF(G768="",0,VLOOKUP(G768,REFCE!A:D,2,FALSE))</f>
        <v>0</v>
      </c>
      <c r="I768" s="77" t="str">
        <f t="shared" si="85"/>
        <v/>
      </c>
    </row>
    <row r="769" spans="1:9" x14ac:dyDescent="0.25">
      <c r="A769" s="203" t="str">
        <f>IF(DATA!M699="","",DATA!M699)</f>
        <v/>
      </c>
      <c r="B769" s="203" t="str">
        <f>IF(DATA!N699="","",DATA!N699)</f>
        <v/>
      </c>
      <c r="C769" s="203" t="str">
        <f>IF(DATA!O699="","",DATA!O699)</f>
        <v/>
      </c>
      <c r="D769" s="203" t="str">
        <f>IF(DATA!P699="","",DATA!P699)</f>
        <v/>
      </c>
      <c r="E769" s="13"/>
      <c r="F769" s="5" t="str">
        <f t="shared" si="84"/>
        <v/>
      </c>
      <c r="G769" s="1"/>
      <c r="H769" s="77">
        <f>IF(G769="",0,VLOOKUP(G769,REFCE!A:D,2,FALSE))</f>
        <v>0</v>
      </c>
      <c r="I769" s="77" t="str">
        <f t="shared" si="85"/>
        <v/>
      </c>
    </row>
    <row r="770" spans="1:9" x14ac:dyDescent="0.25">
      <c r="A770" s="203" t="str">
        <f>IF(DATA!M700="","",DATA!M700)</f>
        <v/>
      </c>
      <c r="B770" s="203" t="str">
        <f>IF(DATA!N700="","",DATA!N700)</f>
        <v/>
      </c>
      <c r="C770" s="203" t="str">
        <f>IF(DATA!O700="","",DATA!O700)</f>
        <v/>
      </c>
      <c r="D770" s="203" t="str">
        <f>IF(DATA!P700="","",DATA!P700)</f>
        <v/>
      </c>
      <c r="E770" s="13"/>
      <c r="F770" s="5" t="str">
        <f t="shared" si="84"/>
        <v/>
      </c>
      <c r="G770" s="1"/>
      <c r="H770" s="77">
        <f>IF(G770="",0,VLOOKUP(G770,REFCE!A:D,2,FALSE))</f>
        <v>0</v>
      </c>
      <c r="I770" s="77" t="str">
        <f t="shared" si="85"/>
        <v/>
      </c>
    </row>
    <row r="771" spans="1:9" x14ac:dyDescent="0.25">
      <c r="A771" s="203" t="str">
        <f>IF(DATA!M701="","",DATA!M701)</f>
        <v/>
      </c>
      <c r="B771" s="203" t="str">
        <f>IF(DATA!N701="","",DATA!N701)</f>
        <v/>
      </c>
      <c r="C771" s="203" t="str">
        <f>IF(DATA!O701="","",DATA!O701)</f>
        <v/>
      </c>
      <c r="D771" s="203" t="str">
        <f>IF(DATA!P701="","",DATA!P701)</f>
        <v/>
      </c>
      <c r="E771" s="13"/>
      <c r="F771" s="5" t="str">
        <f t="shared" si="84"/>
        <v/>
      </c>
      <c r="G771" s="1"/>
      <c r="H771" s="77">
        <f>IF(G771="",0,VLOOKUP(G771,REFCE!A:D,2,FALSE))</f>
        <v>0</v>
      </c>
      <c r="I771" s="77" t="str">
        <f t="shared" si="85"/>
        <v/>
      </c>
    </row>
    <row r="772" spans="1:9" x14ac:dyDescent="0.25">
      <c r="A772" s="203" t="str">
        <f>IF(DATA!M702="","",DATA!M702)</f>
        <v/>
      </c>
      <c r="B772" s="203" t="str">
        <f>IF(DATA!N702="","",DATA!N702)</f>
        <v/>
      </c>
      <c r="C772" s="203" t="str">
        <f>IF(DATA!O702="","",DATA!O702)</f>
        <v/>
      </c>
      <c r="D772" s="203" t="str">
        <f>IF(DATA!P702="","",DATA!P702)</f>
        <v/>
      </c>
      <c r="E772" s="13"/>
      <c r="F772" s="5" t="str">
        <f t="shared" si="84"/>
        <v/>
      </c>
      <c r="G772" s="1"/>
      <c r="H772" s="77">
        <f>IF(G772="",0,VLOOKUP(G772,REFCE!A:D,2,FALSE))</f>
        <v>0</v>
      </c>
      <c r="I772" s="77" t="str">
        <f t="shared" si="85"/>
        <v/>
      </c>
    </row>
    <row r="773" spans="1:9" x14ac:dyDescent="0.25">
      <c r="A773" s="203" t="str">
        <f>IF(DATA!M703="","",DATA!M703)</f>
        <v/>
      </c>
      <c r="B773" s="203" t="str">
        <f>IF(DATA!N703="","",DATA!N703)</f>
        <v/>
      </c>
      <c r="C773" s="203" t="str">
        <f>IF(DATA!O703="","",DATA!O703)</f>
        <v/>
      </c>
      <c r="D773" s="203" t="str">
        <f>IF(DATA!P703="","",DATA!P703)</f>
        <v/>
      </c>
      <c r="E773" s="13"/>
      <c r="F773" s="5" t="str">
        <f t="shared" si="84"/>
        <v/>
      </c>
      <c r="G773" s="1"/>
      <c r="H773" s="77">
        <f>IF(G773="",0,VLOOKUP(G773,REFCE!A:D,2,FALSE))</f>
        <v>0</v>
      </c>
      <c r="I773" s="77" t="str">
        <f t="shared" si="85"/>
        <v/>
      </c>
    </row>
    <row r="774" spans="1:9" x14ac:dyDescent="0.25">
      <c r="A774" s="203" t="str">
        <f>IF(DATA!M704="","",DATA!M704)</f>
        <v/>
      </c>
      <c r="B774" s="203" t="str">
        <f>IF(DATA!N704="","",DATA!N704)</f>
        <v/>
      </c>
      <c r="C774" s="203" t="str">
        <f>IF(DATA!O704="","",DATA!O704)</f>
        <v/>
      </c>
      <c r="D774" s="203" t="str">
        <f>IF(DATA!P704="","",DATA!P704)</f>
        <v/>
      </c>
      <c r="E774" s="13"/>
      <c r="F774" s="5" t="str">
        <f t="shared" si="84"/>
        <v/>
      </c>
      <c r="G774" s="1"/>
      <c r="H774" s="77">
        <f>IF(G774="",0,VLOOKUP(G774,REFCE!A:D,2,FALSE))</f>
        <v>0</v>
      </c>
      <c r="I774" s="77" t="str">
        <f t="shared" si="85"/>
        <v/>
      </c>
    </row>
    <row r="775" spans="1:9" x14ac:dyDescent="0.25">
      <c r="A775" s="203" t="str">
        <f>IF(DATA!M705="","",DATA!M705)</f>
        <v/>
      </c>
      <c r="B775" s="203" t="str">
        <f>IF(DATA!N705="","",DATA!N705)</f>
        <v/>
      </c>
      <c r="C775" s="203" t="str">
        <f>IF(DATA!O705="","",DATA!O705)</f>
        <v/>
      </c>
      <c r="D775" s="203" t="str">
        <f>IF(DATA!P705="","",DATA!P705)</f>
        <v/>
      </c>
      <c r="E775" s="13"/>
      <c r="F775" s="5" t="str">
        <f t="shared" si="84"/>
        <v/>
      </c>
      <c r="G775" s="1"/>
      <c r="H775" s="77">
        <f>IF(G775="",0,VLOOKUP(G775,REFCE!A:D,2,FALSE))</f>
        <v>0</v>
      </c>
      <c r="I775" s="77" t="str">
        <f t="shared" si="85"/>
        <v/>
      </c>
    </row>
    <row r="776" spans="1:9" x14ac:dyDescent="0.25">
      <c r="A776" s="203" t="str">
        <f>IF(DATA!M706="","",DATA!M706)</f>
        <v/>
      </c>
      <c r="B776" s="203" t="str">
        <f>IF(DATA!N706="","",DATA!N706)</f>
        <v/>
      </c>
      <c r="C776" s="203" t="str">
        <f>IF(DATA!O706="","",DATA!O706)</f>
        <v/>
      </c>
      <c r="D776" s="203" t="str">
        <f>IF(DATA!P706="","",DATA!P706)</f>
        <v/>
      </c>
      <c r="E776" s="13"/>
      <c r="F776" s="5" t="str">
        <f t="shared" si="84"/>
        <v/>
      </c>
      <c r="G776" s="1"/>
      <c r="H776" s="77">
        <f>IF(G776="",0,VLOOKUP(G776,REFCE!A:D,2,FALSE))</f>
        <v>0</v>
      </c>
      <c r="I776" s="77" t="str">
        <f t="shared" si="85"/>
        <v/>
      </c>
    </row>
    <row r="777" spans="1:9" x14ac:dyDescent="0.25">
      <c r="A777" s="203" t="str">
        <f>IF(DATA!M707="","",DATA!M707)</f>
        <v/>
      </c>
      <c r="B777" s="203" t="str">
        <f>IF(DATA!N707="","",DATA!N707)</f>
        <v/>
      </c>
      <c r="C777" s="203" t="str">
        <f>IF(DATA!O707="","",DATA!O707)</f>
        <v/>
      </c>
      <c r="D777" s="203" t="str">
        <f>IF(DATA!P707="","",DATA!P707)</f>
        <v/>
      </c>
      <c r="E777" s="13"/>
      <c r="F777" s="5" t="str">
        <f t="shared" si="84"/>
        <v/>
      </c>
      <c r="G777" s="1"/>
      <c r="H777" s="77">
        <f>IF(G777="",0,VLOOKUP(G777,REFCE!A:D,2,FALSE))</f>
        <v>0</v>
      </c>
      <c r="I777" s="77" t="str">
        <f t="shared" si="85"/>
        <v/>
      </c>
    </row>
    <row r="778" spans="1:9" x14ac:dyDescent="0.25">
      <c r="A778" s="203" t="str">
        <f>IF(DATA!M708="","",DATA!M708)</f>
        <v/>
      </c>
      <c r="B778" s="203" t="str">
        <f>IF(DATA!N708="","",DATA!N708)</f>
        <v/>
      </c>
      <c r="C778" s="203" t="str">
        <f>IF(DATA!O708="","",DATA!O708)</f>
        <v/>
      </c>
      <c r="D778" s="203" t="str">
        <f>IF(DATA!P708="","",DATA!P708)</f>
        <v/>
      </c>
      <c r="E778" s="13"/>
      <c r="F778" s="5" t="str">
        <f t="shared" si="84"/>
        <v/>
      </c>
      <c r="G778" s="1"/>
      <c r="H778" s="77">
        <f>IF(G778="",0,VLOOKUP(G778,REFCE!A:D,2,FALSE))</f>
        <v>0</v>
      </c>
      <c r="I778" s="77" t="str">
        <f t="shared" si="85"/>
        <v/>
      </c>
    </row>
    <row r="779" spans="1:9" x14ac:dyDescent="0.25">
      <c r="A779" s="203" t="str">
        <f>IF(DATA!M709="","",DATA!M709)</f>
        <v/>
      </c>
      <c r="B779" s="203" t="str">
        <f>IF(DATA!N709="","",DATA!N709)</f>
        <v/>
      </c>
      <c r="C779" s="203" t="str">
        <f>IF(DATA!O709="","",DATA!O709)</f>
        <v/>
      </c>
      <c r="D779" s="203" t="str">
        <f>IF(DATA!P709="","",DATA!P709)</f>
        <v/>
      </c>
      <c r="E779" s="13"/>
      <c r="F779" s="5" t="str">
        <f t="shared" si="84"/>
        <v/>
      </c>
      <c r="G779" s="1"/>
      <c r="H779" s="77">
        <f>IF(G779="",0,VLOOKUP(G779,REFCE!A:D,2,FALSE))</f>
        <v>0</v>
      </c>
      <c r="I779" s="77" t="str">
        <f t="shared" si="85"/>
        <v/>
      </c>
    </row>
    <row r="780" spans="1:9" x14ac:dyDescent="0.25">
      <c r="A780" s="203" t="str">
        <f>IF(DATA!M710="","",DATA!M710)</f>
        <v/>
      </c>
      <c r="B780" s="203" t="str">
        <f>IF(DATA!N710="","",DATA!N710)</f>
        <v/>
      </c>
      <c r="C780" s="203" t="str">
        <f>IF(DATA!O710="","",DATA!O710)</f>
        <v/>
      </c>
      <c r="D780" s="203" t="str">
        <f>IF(DATA!P710="","",DATA!P710)</f>
        <v/>
      </c>
      <c r="E780" s="13"/>
      <c r="F780" s="5" t="str">
        <f t="shared" si="84"/>
        <v/>
      </c>
      <c r="G780" s="1"/>
      <c r="H780" s="77">
        <f>IF(G780="",0,VLOOKUP(G780,REFCE!A:D,2,FALSE))</f>
        <v>0</v>
      </c>
      <c r="I780" s="77" t="str">
        <f t="shared" si="85"/>
        <v/>
      </c>
    </row>
    <row r="781" spans="1:9" x14ac:dyDescent="0.25">
      <c r="A781" s="203" t="str">
        <f>IF(DATA!M711="","",DATA!M711)</f>
        <v/>
      </c>
      <c r="B781" s="203" t="str">
        <f>IF(DATA!N711="","",DATA!N711)</f>
        <v/>
      </c>
      <c r="C781" s="203" t="str">
        <f>IF(DATA!O711="","",DATA!O711)</f>
        <v/>
      </c>
      <c r="D781" s="203" t="str">
        <f>IF(DATA!P711="","",DATA!P711)</f>
        <v/>
      </c>
      <c r="E781" s="13"/>
      <c r="F781" s="5" t="str">
        <f t="shared" si="84"/>
        <v/>
      </c>
      <c r="G781" s="1"/>
      <c r="H781" s="77">
        <f>IF(G781="",0,VLOOKUP(G781,REFCE!A:D,2,FALSE))</f>
        <v>0</v>
      </c>
      <c r="I781" s="77" t="str">
        <f t="shared" si="85"/>
        <v/>
      </c>
    </row>
    <row r="782" spans="1:9" x14ac:dyDescent="0.25">
      <c r="A782" s="203" t="str">
        <f>IF(DATA!M712="","",DATA!M712)</f>
        <v/>
      </c>
      <c r="B782" s="203" t="str">
        <f>IF(DATA!N712="","",DATA!N712)</f>
        <v/>
      </c>
      <c r="C782" s="203" t="str">
        <f>IF(DATA!O712="","",DATA!O712)</f>
        <v/>
      </c>
      <c r="D782" s="203" t="str">
        <f>IF(DATA!P712="","",DATA!P712)</f>
        <v/>
      </c>
      <c r="E782" s="13"/>
      <c r="F782" s="5" t="str">
        <f t="shared" ref="F782:F845" si="86">IF(D782="","",D782*E782)</f>
        <v/>
      </c>
      <c r="G782" s="1"/>
      <c r="H782" s="77">
        <f>IF(G782="",0,VLOOKUP(G782,REFCE!A:D,2,FALSE))</f>
        <v>0</v>
      </c>
      <c r="I782" s="77" t="str">
        <f t="shared" ref="I782:I845" si="87">IF(F782="","",F782*H782)</f>
        <v/>
      </c>
    </row>
    <row r="783" spans="1:9" x14ac:dyDescent="0.25">
      <c r="A783" s="203" t="str">
        <f>IF(DATA!M713="","",DATA!M713)</f>
        <v/>
      </c>
      <c r="B783" s="203" t="str">
        <f>IF(DATA!N713="","",DATA!N713)</f>
        <v/>
      </c>
      <c r="C783" s="203" t="str">
        <f>IF(DATA!O713="","",DATA!O713)</f>
        <v/>
      </c>
      <c r="D783" s="203" t="str">
        <f>IF(DATA!P713="","",DATA!P713)</f>
        <v/>
      </c>
      <c r="E783" s="13"/>
      <c r="F783" s="5" t="str">
        <f t="shared" si="86"/>
        <v/>
      </c>
      <c r="G783" s="1"/>
      <c r="H783" s="77">
        <f>IF(G783="",0,VLOOKUP(G783,REFCE!A:D,2,FALSE))</f>
        <v>0</v>
      </c>
      <c r="I783" s="77" t="str">
        <f t="shared" si="87"/>
        <v/>
      </c>
    </row>
    <row r="784" spans="1:9" x14ac:dyDescent="0.25">
      <c r="A784" s="203" t="str">
        <f>IF(DATA!M714="","",DATA!M714)</f>
        <v/>
      </c>
      <c r="B784" s="203" t="str">
        <f>IF(DATA!N714="","",DATA!N714)</f>
        <v/>
      </c>
      <c r="C784" s="203" t="str">
        <f>IF(DATA!O714="","",DATA!O714)</f>
        <v/>
      </c>
      <c r="D784" s="203" t="str">
        <f>IF(DATA!P714="","",DATA!P714)</f>
        <v/>
      </c>
      <c r="E784" s="13"/>
      <c r="F784" s="5" t="str">
        <f t="shared" si="86"/>
        <v/>
      </c>
      <c r="G784" s="1"/>
      <c r="H784" s="77">
        <f>IF(G784="",0,VLOOKUP(G784,REFCE!A:D,2,FALSE))</f>
        <v>0</v>
      </c>
      <c r="I784" s="77" t="str">
        <f t="shared" si="87"/>
        <v/>
      </c>
    </row>
    <row r="785" spans="1:9" x14ac:dyDescent="0.25">
      <c r="A785" s="203" t="str">
        <f>IF(DATA!M715="","",DATA!M715)</f>
        <v/>
      </c>
      <c r="B785" s="203" t="str">
        <f>IF(DATA!N715="","",DATA!N715)</f>
        <v/>
      </c>
      <c r="C785" s="203" t="str">
        <f>IF(DATA!O715="","",DATA!O715)</f>
        <v/>
      </c>
      <c r="D785" s="203" t="str">
        <f>IF(DATA!P715="","",DATA!P715)</f>
        <v/>
      </c>
      <c r="E785" s="13"/>
      <c r="F785" s="5" t="str">
        <f t="shared" si="86"/>
        <v/>
      </c>
      <c r="G785" s="1"/>
      <c r="H785" s="77">
        <f>IF(G785="",0,VLOOKUP(G785,REFCE!A:D,2,FALSE))</f>
        <v>0</v>
      </c>
      <c r="I785" s="77" t="str">
        <f t="shared" si="87"/>
        <v/>
      </c>
    </row>
    <row r="786" spans="1:9" x14ac:dyDescent="0.25">
      <c r="A786" s="203" t="str">
        <f>IF(DATA!M716="","",DATA!M716)</f>
        <v/>
      </c>
      <c r="B786" s="203" t="str">
        <f>IF(DATA!N716="","",DATA!N716)</f>
        <v/>
      </c>
      <c r="C786" s="203" t="str">
        <f>IF(DATA!O716="","",DATA!O716)</f>
        <v/>
      </c>
      <c r="D786" s="203" t="str">
        <f>IF(DATA!P716="","",DATA!P716)</f>
        <v/>
      </c>
      <c r="E786" s="13"/>
      <c r="F786" s="5" t="str">
        <f t="shared" si="86"/>
        <v/>
      </c>
      <c r="G786" s="1"/>
      <c r="H786" s="77">
        <f>IF(G786="",0,VLOOKUP(G786,REFCE!A:D,2,FALSE))</f>
        <v>0</v>
      </c>
      <c r="I786" s="77" t="str">
        <f t="shared" si="87"/>
        <v/>
      </c>
    </row>
    <row r="787" spans="1:9" x14ac:dyDescent="0.25">
      <c r="A787" s="203" t="str">
        <f>IF(DATA!M717="","",DATA!M717)</f>
        <v/>
      </c>
      <c r="B787" s="203" t="str">
        <f>IF(DATA!N717="","",DATA!N717)</f>
        <v/>
      </c>
      <c r="C787" s="203" t="str">
        <f>IF(DATA!O717="","",DATA!O717)</f>
        <v/>
      </c>
      <c r="D787" s="203" t="str">
        <f>IF(DATA!P717="","",DATA!P717)</f>
        <v/>
      </c>
      <c r="E787" s="13"/>
      <c r="F787" s="5" t="str">
        <f t="shared" si="86"/>
        <v/>
      </c>
      <c r="G787" s="1"/>
      <c r="H787" s="77">
        <f>IF(G787="",0,VLOOKUP(G787,REFCE!A:D,2,FALSE))</f>
        <v>0</v>
      </c>
      <c r="I787" s="77" t="str">
        <f t="shared" si="87"/>
        <v/>
      </c>
    </row>
    <row r="788" spans="1:9" x14ac:dyDescent="0.25">
      <c r="A788" s="203" t="str">
        <f>IF(DATA!M718="","",DATA!M718)</f>
        <v/>
      </c>
      <c r="B788" s="203" t="str">
        <f>IF(DATA!N718="","",DATA!N718)</f>
        <v/>
      </c>
      <c r="C788" s="203" t="str">
        <f>IF(DATA!O718="","",DATA!O718)</f>
        <v/>
      </c>
      <c r="D788" s="203" t="str">
        <f>IF(DATA!P718="","",DATA!P718)</f>
        <v/>
      </c>
      <c r="E788" s="13"/>
      <c r="F788" s="5" t="str">
        <f t="shared" si="86"/>
        <v/>
      </c>
      <c r="G788" s="1"/>
      <c r="H788" s="77">
        <f>IF(G788="",0,VLOOKUP(G788,REFCE!A:D,2,FALSE))</f>
        <v>0</v>
      </c>
      <c r="I788" s="77" t="str">
        <f t="shared" si="87"/>
        <v/>
      </c>
    </row>
    <row r="789" spans="1:9" x14ac:dyDescent="0.25">
      <c r="A789" s="203" t="str">
        <f>IF(DATA!M719="","",DATA!M719)</f>
        <v/>
      </c>
      <c r="B789" s="203" t="str">
        <f>IF(DATA!N719="","",DATA!N719)</f>
        <v/>
      </c>
      <c r="C789" s="203" t="str">
        <f>IF(DATA!O719="","",DATA!O719)</f>
        <v/>
      </c>
      <c r="D789" s="203" t="str">
        <f>IF(DATA!P719="","",DATA!P719)</f>
        <v/>
      </c>
      <c r="E789" s="13"/>
      <c r="F789" s="5" t="str">
        <f t="shared" si="86"/>
        <v/>
      </c>
      <c r="G789" s="1"/>
      <c r="H789" s="77">
        <f>IF(G789="",0,VLOOKUP(G789,REFCE!A:D,2,FALSE))</f>
        <v>0</v>
      </c>
      <c r="I789" s="77" t="str">
        <f t="shared" si="87"/>
        <v/>
      </c>
    </row>
    <row r="790" spans="1:9" x14ac:dyDescent="0.25">
      <c r="A790" s="203" t="str">
        <f>IF(DATA!M720="","",DATA!M720)</f>
        <v/>
      </c>
      <c r="B790" s="203" t="str">
        <f>IF(DATA!N720="","",DATA!N720)</f>
        <v/>
      </c>
      <c r="C790" s="203" t="str">
        <f>IF(DATA!O720="","",DATA!O720)</f>
        <v/>
      </c>
      <c r="D790" s="203" t="str">
        <f>IF(DATA!P720="","",DATA!P720)</f>
        <v/>
      </c>
      <c r="E790" s="13"/>
      <c r="F790" s="5" t="str">
        <f t="shared" si="86"/>
        <v/>
      </c>
      <c r="G790" s="1"/>
      <c r="H790" s="77">
        <f>IF(G790="",0,VLOOKUP(G790,REFCE!A:D,2,FALSE))</f>
        <v>0</v>
      </c>
      <c r="I790" s="77" t="str">
        <f t="shared" si="87"/>
        <v/>
      </c>
    </row>
    <row r="791" spans="1:9" x14ac:dyDescent="0.25">
      <c r="A791" s="203" t="str">
        <f>IF(DATA!M721="","",DATA!M721)</f>
        <v/>
      </c>
      <c r="B791" s="203" t="str">
        <f>IF(DATA!N721="","",DATA!N721)</f>
        <v/>
      </c>
      <c r="C791" s="203" t="str">
        <f>IF(DATA!O721="","",DATA!O721)</f>
        <v/>
      </c>
      <c r="D791" s="203" t="str">
        <f>IF(DATA!P721="","",DATA!P721)</f>
        <v/>
      </c>
      <c r="E791" s="13"/>
      <c r="F791" s="5" t="str">
        <f t="shared" si="86"/>
        <v/>
      </c>
      <c r="G791" s="1"/>
      <c r="H791" s="77">
        <f>IF(G791="",0,VLOOKUP(G791,REFCE!A:D,2,FALSE))</f>
        <v>0</v>
      </c>
      <c r="I791" s="77" t="str">
        <f t="shared" si="87"/>
        <v/>
      </c>
    </row>
    <row r="792" spans="1:9" x14ac:dyDescent="0.25">
      <c r="A792" s="203" t="str">
        <f>IF(DATA!M722="","",DATA!M722)</f>
        <v/>
      </c>
      <c r="B792" s="203" t="str">
        <f>IF(DATA!N722="","",DATA!N722)</f>
        <v/>
      </c>
      <c r="C792" s="203" t="str">
        <f>IF(DATA!O722="","",DATA!O722)</f>
        <v/>
      </c>
      <c r="D792" s="203" t="str">
        <f>IF(DATA!P722="","",DATA!P722)</f>
        <v/>
      </c>
      <c r="E792" s="13"/>
      <c r="F792" s="5" t="str">
        <f t="shared" si="86"/>
        <v/>
      </c>
      <c r="G792" s="1"/>
      <c r="H792" s="77">
        <f>IF(G792="",0,VLOOKUP(G792,REFCE!A:D,2,FALSE))</f>
        <v>0</v>
      </c>
      <c r="I792" s="77" t="str">
        <f t="shared" si="87"/>
        <v/>
      </c>
    </row>
    <row r="793" spans="1:9" x14ac:dyDescent="0.25">
      <c r="A793" s="203" t="str">
        <f>IF(DATA!M723="","",DATA!M723)</f>
        <v/>
      </c>
      <c r="B793" s="203" t="str">
        <f>IF(DATA!N723="","",DATA!N723)</f>
        <v/>
      </c>
      <c r="C793" s="203" t="str">
        <f>IF(DATA!O723="","",DATA!O723)</f>
        <v/>
      </c>
      <c r="D793" s="203" t="str">
        <f>IF(DATA!P723="","",DATA!P723)</f>
        <v/>
      </c>
      <c r="E793" s="13"/>
      <c r="F793" s="5" t="str">
        <f t="shared" si="86"/>
        <v/>
      </c>
      <c r="G793" s="1"/>
      <c r="H793" s="77">
        <f>IF(G793="",0,VLOOKUP(G793,REFCE!A:D,2,FALSE))</f>
        <v>0</v>
      </c>
      <c r="I793" s="77" t="str">
        <f t="shared" si="87"/>
        <v/>
      </c>
    </row>
    <row r="794" spans="1:9" x14ac:dyDescent="0.25">
      <c r="A794" s="203" t="str">
        <f>IF(DATA!M724="","",DATA!M724)</f>
        <v/>
      </c>
      <c r="B794" s="203" t="str">
        <f>IF(DATA!N724="","",DATA!N724)</f>
        <v/>
      </c>
      <c r="C794" s="203" t="str">
        <f>IF(DATA!O724="","",DATA!O724)</f>
        <v/>
      </c>
      <c r="D794" s="203" t="str">
        <f>IF(DATA!P724="","",DATA!P724)</f>
        <v/>
      </c>
      <c r="E794" s="13"/>
      <c r="F794" s="5" t="str">
        <f t="shared" si="86"/>
        <v/>
      </c>
      <c r="G794" s="1"/>
      <c r="H794" s="77">
        <f>IF(G794="",0,VLOOKUP(G794,REFCE!A:D,2,FALSE))</f>
        <v>0</v>
      </c>
      <c r="I794" s="77" t="str">
        <f t="shared" si="87"/>
        <v/>
      </c>
    </row>
    <row r="795" spans="1:9" x14ac:dyDescent="0.25">
      <c r="A795" s="203" t="str">
        <f>IF(DATA!M725="","",DATA!M725)</f>
        <v/>
      </c>
      <c r="B795" s="203" t="str">
        <f>IF(DATA!N725="","",DATA!N725)</f>
        <v/>
      </c>
      <c r="C795" s="203" t="str">
        <f>IF(DATA!O725="","",DATA!O725)</f>
        <v/>
      </c>
      <c r="D795" s="203" t="str">
        <f>IF(DATA!P725="","",DATA!P725)</f>
        <v/>
      </c>
      <c r="E795" s="13"/>
      <c r="F795" s="5" t="str">
        <f t="shared" si="86"/>
        <v/>
      </c>
      <c r="G795" s="1"/>
      <c r="H795" s="77">
        <f>IF(G795="",0,VLOOKUP(G795,REFCE!A:D,2,FALSE))</f>
        <v>0</v>
      </c>
      <c r="I795" s="77" t="str">
        <f t="shared" si="87"/>
        <v/>
      </c>
    </row>
    <row r="796" spans="1:9" x14ac:dyDescent="0.25">
      <c r="A796" s="203" t="str">
        <f>IF(DATA!M726="","",DATA!M726)</f>
        <v/>
      </c>
      <c r="B796" s="203" t="str">
        <f>IF(DATA!N726="","",DATA!N726)</f>
        <v/>
      </c>
      <c r="C796" s="203" t="str">
        <f>IF(DATA!O726="","",DATA!O726)</f>
        <v/>
      </c>
      <c r="D796" s="203" t="str">
        <f>IF(DATA!P726="","",DATA!P726)</f>
        <v/>
      </c>
      <c r="E796" s="13"/>
      <c r="F796" s="5" t="str">
        <f t="shared" si="86"/>
        <v/>
      </c>
      <c r="G796" s="1"/>
      <c r="H796" s="77">
        <f>IF(G796="",0,VLOOKUP(G796,REFCE!A:D,2,FALSE))</f>
        <v>0</v>
      </c>
      <c r="I796" s="77" t="str">
        <f t="shared" si="87"/>
        <v/>
      </c>
    </row>
    <row r="797" spans="1:9" x14ac:dyDescent="0.25">
      <c r="A797" s="203" t="str">
        <f>IF(DATA!M727="","",DATA!M727)</f>
        <v/>
      </c>
      <c r="B797" s="203" t="str">
        <f>IF(DATA!N727="","",DATA!N727)</f>
        <v/>
      </c>
      <c r="C797" s="203" t="str">
        <f>IF(DATA!O727="","",DATA!O727)</f>
        <v/>
      </c>
      <c r="D797" s="203" t="str">
        <f>IF(DATA!P727="","",DATA!P727)</f>
        <v/>
      </c>
      <c r="E797" s="13"/>
      <c r="F797" s="5" t="str">
        <f t="shared" si="86"/>
        <v/>
      </c>
      <c r="G797" s="1"/>
      <c r="H797" s="77">
        <f>IF(G797="",0,VLOOKUP(G797,REFCE!A:D,2,FALSE))</f>
        <v>0</v>
      </c>
      <c r="I797" s="77" t="str">
        <f t="shared" si="87"/>
        <v/>
      </c>
    </row>
    <row r="798" spans="1:9" x14ac:dyDescent="0.25">
      <c r="A798" s="203" t="str">
        <f>IF(DATA!M728="","",DATA!M728)</f>
        <v/>
      </c>
      <c r="B798" s="203" t="str">
        <f>IF(DATA!N728="","",DATA!N728)</f>
        <v/>
      </c>
      <c r="C798" s="203" t="str">
        <f>IF(DATA!O728="","",DATA!O728)</f>
        <v/>
      </c>
      <c r="D798" s="203" t="str">
        <f>IF(DATA!P728="","",DATA!P728)</f>
        <v/>
      </c>
      <c r="E798" s="13"/>
      <c r="F798" s="5" t="str">
        <f t="shared" si="86"/>
        <v/>
      </c>
      <c r="G798" s="1"/>
      <c r="H798" s="77">
        <f>IF(G798="",0,VLOOKUP(G798,REFCE!A:D,2,FALSE))</f>
        <v>0</v>
      </c>
      <c r="I798" s="77" t="str">
        <f t="shared" si="87"/>
        <v/>
      </c>
    </row>
    <row r="799" spans="1:9" x14ac:dyDescent="0.25">
      <c r="A799" s="203" t="str">
        <f>IF(DATA!M729="","",DATA!M729)</f>
        <v/>
      </c>
      <c r="B799" s="203" t="str">
        <f>IF(DATA!N729="","",DATA!N729)</f>
        <v/>
      </c>
      <c r="C799" s="203" t="str">
        <f>IF(DATA!O729="","",DATA!O729)</f>
        <v/>
      </c>
      <c r="D799" s="203" t="str">
        <f>IF(DATA!P729="","",DATA!P729)</f>
        <v/>
      </c>
      <c r="E799" s="13"/>
      <c r="F799" s="5" t="str">
        <f t="shared" si="86"/>
        <v/>
      </c>
      <c r="G799" s="1"/>
      <c r="H799" s="77">
        <f>IF(G799="",0,VLOOKUP(G799,REFCE!A:D,2,FALSE))</f>
        <v>0</v>
      </c>
      <c r="I799" s="77" t="str">
        <f t="shared" si="87"/>
        <v/>
      </c>
    </row>
    <row r="800" spans="1:9" x14ac:dyDescent="0.25">
      <c r="A800" s="203" t="str">
        <f>IF(DATA!M730="","",DATA!M730)</f>
        <v/>
      </c>
      <c r="B800" s="203" t="str">
        <f>IF(DATA!N730="","",DATA!N730)</f>
        <v/>
      </c>
      <c r="C800" s="203" t="str">
        <f>IF(DATA!O730="","",DATA!O730)</f>
        <v/>
      </c>
      <c r="D800" s="203" t="str">
        <f>IF(DATA!P730="","",DATA!P730)</f>
        <v/>
      </c>
      <c r="E800" s="13"/>
      <c r="F800" s="5" t="str">
        <f t="shared" si="86"/>
        <v/>
      </c>
      <c r="G800" s="1"/>
      <c r="H800" s="77">
        <f>IF(G800="",0,VLOOKUP(G800,REFCE!A:D,2,FALSE))</f>
        <v>0</v>
      </c>
      <c r="I800" s="77" t="str">
        <f t="shared" si="87"/>
        <v/>
      </c>
    </row>
    <row r="801" spans="1:9" x14ac:dyDescent="0.25">
      <c r="A801" s="203" t="str">
        <f>IF(DATA!M731="","",DATA!M731)</f>
        <v/>
      </c>
      <c r="B801" s="203" t="str">
        <f>IF(DATA!N731="","",DATA!N731)</f>
        <v/>
      </c>
      <c r="C801" s="203" t="str">
        <f>IF(DATA!O731="","",DATA!O731)</f>
        <v/>
      </c>
      <c r="D801" s="203" t="str">
        <f>IF(DATA!P731="","",DATA!P731)</f>
        <v/>
      </c>
      <c r="E801" s="13"/>
      <c r="F801" s="5" t="str">
        <f t="shared" si="86"/>
        <v/>
      </c>
      <c r="G801" s="1"/>
      <c r="H801" s="77">
        <f>IF(G801="",0,VLOOKUP(G801,REFCE!A:D,2,FALSE))</f>
        <v>0</v>
      </c>
      <c r="I801" s="77" t="str">
        <f t="shared" si="87"/>
        <v/>
      </c>
    </row>
    <row r="802" spans="1:9" x14ac:dyDescent="0.25">
      <c r="A802" s="203" t="str">
        <f>IF(DATA!M732="","",DATA!M732)</f>
        <v/>
      </c>
      <c r="B802" s="203" t="str">
        <f>IF(DATA!N732="","",DATA!N732)</f>
        <v/>
      </c>
      <c r="C802" s="203" t="str">
        <f>IF(DATA!O732="","",DATA!O732)</f>
        <v/>
      </c>
      <c r="D802" s="203" t="str">
        <f>IF(DATA!P732="","",DATA!P732)</f>
        <v/>
      </c>
      <c r="E802" s="13"/>
      <c r="F802" s="5" t="str">
        <f t="shared" si="86"/>
        <v/>
      </c>
      <c r="G802" s="1"/>
      <c r="H802" s="77">
        <f>IF(G802="",0,VLOOKUP(G802,REFCE!A:D,2,FALSE))</f>
        <v>0</v>
      </c>
      <c r="I802" s="77" t="str">
        <f t="shared" si="87"/>
        <v/>
      </c>
    </row>
    <row r="803" spans="1:9" x14ac:dyDescent="0.25">
      <c r="A803" s="203" t="str">
        <f>IF(DATA!M733="","",DATA!M733)</f>
        <v/>
      </c>
      <c r="B803" s="203" t="str">
        <f>IF(DATA!N733="","",DATA!N733)</f>
        <v/>
      </c>
      <c r="C803" s="203" t="str">
        <f>IF(DATA!O733="","",DATA!O733)</f>
        <v/>
      </c>
      <c r="D803" s="203" t="str">
        <f>IF(DATA!P733="","",DATA!P733)</f>
        <v/>
      </c>
      <c r="E803" s="13"/>
      <c r="F803" s="5" t="str">
        <f t="shared" si="86"/>
        <v/>
      </c>
      <c r="G803" s="1"/>
      <c r="H803" s="77">
        <f>IF(G803="",0,VLOOKUP(G803,REFCE!A:D,2,FALSE))</f>
        <v>0</v>
      </c>
      <c r="I803" s="77" t="str">
        <f t="shared" si="87"/>
        <v/>
      </c>
    </row>
    <row r="804" spans="1:9" x14ac:dyDescent="0.25">
      <c r="A804" s="203" t="str">
        <f>IF(DATA!M734="","",DATA!M734)</f>
        <v/>
      </c>
      <c r="B804" s="203" t="str">
        <f>IF(DATA!N734="","",DATA!N734)</f>
        <v/>
      </c>
      <c r="C804" s="203" t="str">
        <f>IF(DATA!O734="","",DATA!O734)</f>
        <v/>
      </c>
      <c r="D804" s="203" t="str">
        <f>IF(DATA!P734="","",DATA!P734)</f>
        <v/>
      </c>
      <c r="E804" s="13"/>
      <c r="F804" s="5" t="str">
        <f t="shared" si="86"/>
        <v/>
      </c>
      <c r="G804" s="1"/>
      <c r="H804" s="77">
        <f>IF(G804="",0,VLOOKUP(G804,REFCE!A:D,2,FALSE))</f>
        <v>0</v>
      </c>
      <c r="I804" s="77" t="str">
        <f t="shared" si="87"/>
        <v/>
      </c>
    </row>
    <row r="805" spans="1:9" x14ac:dyDescent="0.25">
      <c r="A805" s="203" t="str">
        <f>IF(DATA!M735="","",DATA!M735)</f>
        <v/>
      </c>
      <c r="B805" s="203" t="str">
        <f>IF(DATA!N735="","",DATA!N735)</f>
        <v/>
      </c>
      <c r="C805" s="203" t="str">
        <f>IF(DATA!O735="","",DATA!O735)</f>
        <v/>
      </c>
      <c r="D805" s="203" t="str">
        <f>IF(DATA!P735="","",DATA!P735)</f>
        <v/>
      </c>
      <c r="E805" s="13"/>
      <c r="F805" s="5" t="str">
        <f t="shared" si="86"/>
        <v/>
      </c>
      <c r="G805" s="1"/>
      <c r="H805" s="77">
        <f>IF(G805="",0,VLOOKUP(G805,REFCE!A:D,2,FALSE))</f>
        <v>0</v>
      </c>
      <c r="I805" s="77" t="str">
        <f t="shared" si="87"/>
        <v/>
      </c>
    </row>
    <row r="806" spans="1:9" x14ac:dyDescent="0.25">
      <c r="A806" s="203" t="str">
        <f>IF(DATA!M736="","",DATA!M736)</f>
        <v/>
      </c>
      <c r="B806" s="203" t="str">
        <f>IF(DATA!N736="","",DATA!N736)</f>
        <v/>
      </c>
      <c r="C806" s="203" t="str">
        <f>IF(DATA!O736="","",DATA!O736)</f>
        <v/>
      </c>
      <c r="D806" s="203" t="str">
        <f>IF(DATA!P736="","",DATA!P736)</f>
        <v/>
      </c>
      <c r="E806" s="13"/>
      <c r="F806" s="5" t="str">
        <f t="shared" si="86"/>
        <v/>
      </c>
      <c r="G806" s="1"/>
      <c r="H806" s="77">
        <f>IF(G806="",0,VLOOKUP(G806,REFCE!A:D,2,FALSE))</f>
        <v>0</v>
      </c>
      <c r="I806" s="77" t="str">
        <f t="shared" si="87"/>
        <v/>
      </c>
    </row>
    <row r="807" spans="1:9" x14ac:dyDescent="0.25">
      <c r="A807" s="203" t="str">
        <f>IF(DATA!M737="","",DATA!M737)</f>
        <v/>
      </c>
      <c r="B807" s="203" t="str">
        <f>IF(DATA!N737="","",DATA!N737)</f>
        <v/>
      </c>
      <c r="C807" s="203" t="str">
        <f>IF(DATA!O737="","",DATA!O737)</f>
        <v/>
      </c>
      <c r="D807" s="203" t="str">
        <f>IF(DATA!P737="","",DATA!P737)</f>
        <v/>
      </c>
      <c r="E807" s="13"/>
      <c r="F807" s="5" t="str">
        <f t="shared" si="86"/>
        <v/>
      </c>
      <c r="G807" s="1"/>
      <c r="H807" s="77">
        <f>IF(G807="",0,VLOOKUP(G807,REFCE!A:D,2,FALSE))</f>
        <v>0</v>
      </c>
      <c r="I807" s="77" t="str">
        <f t="shared" si="87"/>
        <v/>
      </c>
    </row>
    <row r="808" spans="1:9" x14ac:dyDescent="0.25">
      <c r="A808" s="203" t="str">
        <f>IF(DATA!M738="","",DATA!M738)</f>
        <v/>
      </c>
      <c r="B808" s="203" t="str">
        <f>IF(DATA!N738="","",DATA!N738)</f>
        <v/>
      </c>
      <c r="C808" s="203" t="str">
        <f>IF(DATA!O738="","",DATA!O738)</f>
        <v/>
      </c>
      <c r="D808" s="203" t="str">
        <f>IF(DATA!P738="","",DATA!P738)</f>
        <v/>
      </c>
      <c r="E808" s="13"/>
      <c r="F808" s="5" t="str">
        <f t="shared" si="86"/>
        <v/>
      </c>
      <c r="G808" s="1"/>
      <c r="H808" s="77">
        <f>IF(G808="",0,VLOOKUP(G808,REFCE!A:D,2,FALSE))</f>
        <v>0</v>
      </c>
      <c r="I808" s="77" t="str">
        <f t="shared" si="87"/>
        <v/>
      </c>
    </row>
    <row r="809" spans="1:9" x14ac:dyDescent="0.25">
      <c r="A809" s="203" t="str">
        <f>IF(DATA!M739="","",DATA!M739)</f>
        <v/>
      </c>
      <c r="B809" s="203" t="str">
        <f>IF(DATA!N739="","",DATA!N739)</f>
        <v/>
      </c>
      <c r="C809" s="203" t="str">
        <f>IF(DATA!O739="","",DATA!O739)</f>
        <v/>
      </c>
      <c r="D809" s="203" t="str">
        <f>IF(DATA!P739="","",DATA!P739)</f>
        <v/>
      </c>
      <c r="E809" s="13"/>
      <c r="F809" s="5" t="str">
        <f t="shared" si="86"/>
        <v/>
      </c>
      <c r="G809" s="1"/>
      <c r="H809" s="77">
        <f>IF(G809="",0,VLOOKUP(G809,REFCE!A:D,2,FALSE))</f>
        <v>0</v>
      </c>
      <c r="I809" s="77" t="str">
        <f t="shared" si="87"/>
        <v/>
      </c>
    </row>
    <row r="810" spans="1:9" x14ac:dyDescent="0.25">
      <c r="A810" s="203" t="str">
        <f>IF(DATA!M740="","",DATA!M740)</f>
        <v/>
      </c>
      <c r="B810" s="203" t="str">
        <f>IF(DATA!N740="","",DATA!N740)</f>
        <v/>
      </c>
      <c r="C810" s="203" t="str">
        <f>IF(DATA!O740="","",DATA!O740)</f>
        <v/>
      </c>
      <c r="D810" s="203" t="str">
        <f>IF(DATA!P740="","",DATA!P740)</f>
        <v/>
      </c>
      <c r="E810" s="13"/>
      <c r="F810" s="5" t="str">
        <f t="shared" si="86"/>
        <v/>
      </c>
      <c r="G810" s="1"/>
      <c r="H810" s="77">
        <f>IF(G810="",0,VLOOKUP(G810,REFCE!A:D,2,FALSE))</f>
        <v>0</v>
      </c>
      <c r="I810" s="77" t="str">
        <f t="shared" si="87"/>
        <v/>
      </c>
    </row>
    <row r="811" spans="1:9" x14ac:dyDescent="0.25">
      <c r="A811" s="203" t="str">
        <f>IF(DATA!M741="","",DATA!M741)</f>
        <v/>
      </c>
      <c r="B811" s="203" t="str">
        <f>IF(DATA!N741="","",DATA!N741)</f>
        <v/>
      </c>
      <c r="C811" s="203" t="str">
        <f>IF(DATA!O741="","",DATA!O741)</f>
        <v/>
      </c>
      <c r="D811" s="203" t="str">
        <f>IF(DATA!P741="","",DATA!P741)</f>
        <v/>
      </c>
      <c r="E811" s="13"/>
      <c r="F811" s="5" t="str">
        <f t="shared" si="86"/>
        <v/>
      </c>
      <c r="G811" s="1"/>
      <c r="H811" s="77">
        <f>IF(G811="",0,VLOOKUP(G811,REFCE!A:D,2,FALSE))</f>
        <v>0</v>
      </c>
      <c r="I811" s="77" t="str">
        <f t="shared" si="87"/>
        <v/>
      </c>
    </row>
    <row r="812" spans="1:9" x14ac:dyDescent="0.25">
      <c r="A812" s="203" t="str">
        <f>IF(DATA!M742="","",DATA!M742)</f>
        <v/>
      </c>
      <c r="B812" s="203" t="str">
        <f>IF(DATA!N742="","",DATA!N742)</f>
        <v/>
      </c>
      <c r="C812" s="203" t="str">
        <f>IF(DATA!O742="","",DATA!O742)</f>
        <v/>
      </c>
      <c r="D812" s="203" t="str">
        <f>IF(DATA!P742="","",DATA!P742)</f>
        <v/>
      </c>
      <c r="E812" s="13"/>
      <c r="F812" s="5" t="str">
        <f t="shared" si="86"/>
        <v/>
      </c>
      <c r="G812" s="1"/>
      <c r="H812" s="77">
        <f>IF(G812="",0,VLOOKUP(G812,REFCE!A:D,2,FALSE))</f>
        <v>0</v>
      </c>
      <c r="I812" s="77" t="str">
        <f t="shared" si="87"/>
        <v/>
      </c>
    </row>
    <row r="813" spans="1:9" x14ac:dyDescent="0.25">
      <c r="A813" s="203" t="str">
        <f>IF(DATA!M743="","",DATA!M743)</f>
        <v/>
      </c>
      <c r="B813" s="203" t="str">
        <f>IF(DATA!N743="","",DATA!N743)</f>
        <v/>
      </c>
      <c r="C813" s="203" t="str">
        <f>IF(DATA!O743="","",DATA!O743)</f>
        <v/>
      </c>
      <c r="D813" s="203" t="str">
        <f>IF(DATA!P743="","",DATA!P743)</f>
        <v/>
      </c>
      <c r="E813" s="13"/>
      <c r="F813" s="5" t="str">
        <f t="shared" si="86"/>
        <v/>
      </c>
      <c r="G813" s="1"/>
      <c r="H813" s="77">
        <f>IF(G813="",0,VLOOKUP(G813,REFCE!A:D,2,FALSE))</f>
        <v>0</v>
      </c>
      <c r="I813" s="77" t="str">
        <f t="shared" si="87"/>
        <v/>
      </c>
    </row>
    <row r="814" spans="1:9" x14ac:dyDescent="0.25">
      <c r="A814" s="203" t="str">
        <f>IF(DATA!M744="","",DATA!M744)</f>
        <v/>
      </c>
      <c r="B814" s="203" t="str">
        <f>IF(DATA!N744="","",DATA!N744)</f>
        <v/>
      </c>
      <c r="C814" s="203" t="str">
        <f>IF(DATA!O744="","",DATA!O744)</f>
        <v/>
      </c>
      <c r="D814" s="203" t="str">
        <f>IF(DATA!P744="","",DATA!P744)</f>
        <v/>
      </c>
      <c r="E814" s="13"/>
      <c r="F814" s="5" t="str">
        <f t="shared" si="86"/>
        <v/>
      </c>
      <c r="G814" s="1"/>
      <c r="H814" s="77">
        <f>IF(G814="",0,VLOOKUP(G814,REFCE!A:D,2,FALSE))</f>
        <v>0</v>
      </c>
      <c r="I814" s="77" t="str">
        <f t="shared" si="87"/>
        <v/>
      </c>
    </row>
    <row r="815" spans="1:9" x14ac:dyDescent="0.25">
      <c r="A815" s="203" t="str">
        <f>IF(DATA!M745="","",DATA!M745)</f>
        <v/>
      </c>
      <c r="B815" s="203" t="str">
        <f>IF(DATA!N745="","",DATA!N745)</f>
        <v/>
      </c>
      <c r="C815" s="203" t="str">
        <f>IF(DATA!O745="","",DATA!O745)</f>
        <v/>
      </c>
      <c r="D815" s="203" t="str">
        <f>IF(DATA!P745="","",DATA!P745)</f>
        <v/>
      </c>
      <c r="E815" s="13"/>
      <c r="F815" s="5" t="str">
        <f t="shared" si="86"/>
        <v/>
      </c>
      <c r="G815" s="1"/>
      <c r="H815" s="77">
        <f>IF(G815="",0,VLOOKUP(G815,REFCE!A:D,2,FALSE))</f>
        <v>0</v>
      </c>
      <c r="I815" s="77" t="str">
        <f t="shared" si="87"/>
        <v/>
      </c>
    </row>
    <row r="816" spans="1:9" x14ac:dyDescent="0.25">
      <c r="A816" s="203" t="str">
        <f>IF(DATA!M746="","",DATA!M746)</f>
        <v/>
      </c>
      <c r="B816" s="203" t="str">
        <f>IF(DATA!N746="","",DATA!N746)</f>
        <v/>
      </c>
      <c r="C816" s="203" t="str">
        <f>IF(DATA!O746="","",DATA!O746)</f>
        <v/>
      </c>
      <c r="D816" s="203" t="str">
        <f>IF(DATA!P746="","",DATA!P746)</f>
        <v/>
      </c>
      <c r="E816" s="13"/>
      <c r="F816" s="5" t="str">
        <f t="shared" si="86"/>
        <v/>
      </c>
      <c r="G816" s="1"/>
      <c r="H816" s="77">
        <f>IF(G816="",0,VLOOKUP(G816,REFCE!A:D,2,FALSE))</f>
        <v>0</v>
      </c>
      <c r="I816" s="77" t="str">
        <f t="shared" si="87"/>
        <v/>
      </c>
    </row>
    <row r="817" spans="1:9" x14ac:dyDescent="0.25">
      <c r="A817" s="203" t="str">
        <f>IF(DATA!M747="","",DATA!M747)</f>
        <v/>
      </c>
      <c r="B817" s="203" t="str">
        <f>IF(DATA!N747="","",DATA!N747)</f>
        <v/>
      </c>
      <c r="C817" s="203" t="str">
        <f>IF(DATA!O747="","",DATA!O747)</f>
        <v/>
      </c>
      <c r="D817" s="203" t="str">
        <f>IF(DATA!P747="","",DATA!P747)</f>
        <v/>
      </c>
      <c r="E817" s="13"/>
      <c r="F817" s="5" t="str">
        <f t="shared" si="86"/>
        <v/>
      </c>
      <c r="G817" s="1"/>
      <c r="H817" s="77">
        <f>IF(G817="",0,VLOOKUP(G817,REFCE!A:D,2,FALSE))</f>
        <v>0</v>
      </c>
      <c r="I817" s="77" t="str">
        <f t="shared" si="87"/>
        <v/>
      </c>
    </row>
    <row r="818" spans="1:9" x14ac:dyDescent="0.25">
      <c r="A818" s="203" t="str">
        <f>IF(DATA!M748="","",DATA!M748)</f>
        <v/>
      </c>
      <c r="B818" s="203" t="str">
        <f>IF(DATA!N748="","",DATA!N748)</f>
        <v/>
      </c>
      <c r="C818" s="203" t="str">
        <f>IF(DATA!O748="","",DATA!O748)</f>
        <v/>
      </c>
      <c r="D818" s="203" t="str">
        <f>IF(DATA!P748="","",DATA!P748)</f>
        <v/>
      </c>
      <c r="E818" s="13"/>
      <c r="F818" s="5" t="str">
        <f t="shared" si="86"/>
        <v/>
      </c>
      <c r="G818" s="1"/>
      <c r="H818" s="77">
        <f>IF(G818="",0,VLOOKUP(G818,REFCE!A:D,2,FALSE))</f>
        <v>0</v>
      </c>
      <c r="I818" s="77" t="str">
        <f t="shared" si="87"/>
        <v/>
      </c>
    </row>
    <row r="819" spans="1:9" x14ac:dyDescent="0.25">
      <c r="A819" s="203" t="str">
        <f>IF(DATA!M749="","",DATA!M749)</f>
        <v/>
      </c>
      <c r="B819" s="203" t="str">
        <f>IF(DATA!N749="","",DATA!N749)</f>
        <v/>
      </c>
      <c r="C819" s="203" t="str">
        <f>IF(DATA!O749="","",DATA!O749)</f>
        <v/>
      </c>
      <c r="D819" s="203" t="str">
        <f>IF(DATA!P749="","",DATA!P749)</f>
        <v/>
      </c>
      <c r="E819" s="13"/>
      <c r="F819" s="5" t="str">
        <f t="shared" si="86"/>
        <v/>
      </c>
      <c r="G819" s="1"/>
      <c r="H819" s="77">
        <f>IF(G819="",0,VLOOKUP(G819,REFCE!A:D,2,FALSE))</f>
        <v>0</v>
      </c>
      <c r="I819" s="77" t="str">
        <f t="shared" si="87"/>
        <v/>
      </c>
    </row>
    <row r="820" spans="1:9" x14ac:dyDescent="0.25">
      <c r="A820" s="203" t="str">
        <f>IF(DATA!M750="","",DATA!M750)</f>
        <v/>
      </c>
      <c r="B820" s="203" t="str">
        <f>IF(DATA!N750="","",DATA!N750)</f>
        <v/>
      </c>
      <c r="C820" s="203" t="str">
        <f>IF(DATA!O750="","",DATA!O750)</f>
        <v/>
      </c>
      <c r="D820" s="203" t="str">
        <f>IF(DATA!P750="","",DATA!P750)</f>
        <v/>
      </c>
      <c r="E820" s="13"/>
      <c r="F820" s="5" t="str">
        <f t="shared" si="86"/>
        <v/>
      </c>
      <c r="G820" s="1"/>
      <c r="H820" s="77">
        <f>IF(G820="",0,VLOOKUP(G820,REFCE!A:D,2,FALSE))</f>
        <v>0</v>
      </c>
      <c r="I820" s="77" t="str">
        <f t="shared" si="87"/>
        <v/>
      </c>
    </row>
    <row r="821" spans="1:9" x14ac:dyDescent="0.25">
      <c r="A821" s="203" t="str">
        <f>IF(DATA!M751="","",DATA!M751)</f>
        <v/>
      </c>
      <c r="B821" s="203" t="str">
        <f>IF(DATA!N751="","",DATA!N751)</f>
        <v/>
      </c>
      <c r="C821" s="203" t="str">
        <f>IF(DATA!O751="","",DATA!O751)</f>
        <v/>
      </c>
      <c r="D821" s="203" t="str">
        <f>IF(DATA!P751="","",DATA!P751)</f>
        <v/>
      </c>
      <c r="E821" s="13"/>
      <c r="F821" s="5" t="str">
        <f t="shared" si="86"/>
        <v/>
      </c>
      <c r="G821" s="1"/>
      <c r="H821" s="77">
        <f>IF(G821="",0,VLOOKUP(G821,REFCE!A:D,2,FALSE))</f>
        <v>0</v>
      </c>
      <c r="I821" s="77" t="str">
        <f t="shared" si="87"/>
        <v/>
      </c>
    </row>
    <row r="822" spans="1:9" x14ac:dyDescent="0.25">
      <c r="A822" s="203" t="str">
        <f>IF(DATA!M752="","",DATA!M752)</f>
        <v/>
      </c>
      <c r="B822" s="203" t="str">
        <f>IF(DATA!N752="","",DATA!N752)</f>
        <v/>
      </c>
      <c r="C822" s="203" t="str">
        <f>IF(DATA!O752="","",DATA!O752)</f>
        <v/>
      </c>
      <c r="D822" s="203" t="str">
        <f>IF(DATA!P752="","",DATA!P752)</f>
        <v/>
      </c>
      <c r="E822" s="13"/>
      <c r="F822" s="5" t="str">
        <f t="shared" si="86"/>
        <v/>
      </c>
      <c r="G822" s="1"/>
      <c r="H822" s="77">
        <f>IF(G822="",0,VLOOKUP(G822,REFCE!A:D,2,FALSE))</f>
        <v>0</v>
      </c>
      <c r="I822" s="77" t="str">
        <f t="shared" si="87"/>
        <v/>
      </c>
    </row>
    <row r="823" spans="1:9" x14ac:dyDescent="0.25">
      <c r="A823" s="203" t="str">
        <f>IF(DATA!M753="","",DATA!M753)</f>
        <v/>
      </c>
      <c r="B823" s="203" t="str">
        <f>IF(DATA!N753="","",DATA!N753)</f>
        <v/>
      </c>
      <c r="C823" s="203" t="str">
        <f>IF(DATA!O753="","",DATA!O753)</f>
        <v/>
      </c>
      <c r="D823" s="203" t="str">
        <f>IF(DATA!P753="","",DATA!P753)</f>
        <v/>
      </c>
      <c r="E823" s="13"/>
      <c r="F823" s="5" t="str">
        <f t="shared" si="86"/>
        <v/>
      </c>
      <c r="G823" s="1"/>
      <c r="H823" s="77">
        <f>IF(G823="",0,VLOOKUP(G823,REFCE!A:D,2,FALSE))</f>
        <v>0</v>
      </c>
      <c r="I823" s="77" t="str">
        <f t="shared" si="87"/>
        <v/>
      </c>
    </row>
    <row r="824" spans="1:9" x14ac:dyDescent="0.25">
      <c r="A824" s="203" t="str">
        <f>IF(DATA!M754="","",DATA!M754)</f>
        <v/>
      </c>
      <c r="B824" s="203" t="str">
        <f>IF(DATA!N754="","",DATA!N754)</f>
        <v/>
      </c>
      <c r="C824" s="203" t="str">
        <f>IF(DATA!O754="","",DATA!O754)</f>
        <v/>
      </c>
      <c r="D824" s="203" t="str">
        <f>IF(DATA!P754="","",DATA!P754)</f>
        <v/>
      </c>
      <c r="E824" s="13"/>
      <c r="F824" s="5" t="str">
        <f t="shared" si="86"/>
        <v/>
      </c>
      <c r="G824" s="1"/>
      <c r="H824" s="77">
        <f>IF(G824="",0,VLOOKUP(G824,REFCE!A:D,2,FALSE))</f>
        <v>0</v>
      </c>
      <c r="I824" s="77" t="str">
        <f t="shared" si="87"/>
        <v/>
      </c>
    </row>
    <row r="825" spans="1:9" x14ac:dyDescent="0.25">
      <c r="A825" s="203" t="str">
        <f>IF(DATA!M755="","",DATA!M755)</f>
        <v/>
      </c>
      <c r="B825" s="203" t="str">
        <f>IF(DATA!N755="","",DATA!N755)</f>
        <v/>
      </c>
      <c r="C825" s="203" t="str">
        <f>IF(DATA!O755="","",DATA!O755)</f>
        <v/>
      </c>
      <c r="D825" s="203" t="str">
        <f>IF(DATA!P755="","",DATA!P755)</f>
        <v/>
      </c>
      <c r="E825" s="13"/>
      <c r="F825" s="5" t="str">
        <f t="shared" si="86"/>
        <v/>
      </c>
      <c r="G825" s="1"/>
      <c r="H825" s="77">
        <f>IF(G825="",0,VLOOKUP(G825,REFCE!A:D,2,FALSE))</f>
        <v>0</v>
      </c>
      <c r="I825" s="77" t="str">
        <f t="shared" si="87"/>
        <v/>
      </c>
    </row>
    <row r="826" spans="1:9" x14ac:dyDescent="0.25">
      <c r="A826" s="203" t="str">
        <f>IF(DATA!M756="","",DATA!M756)</f>
        <v/>
      </c>
      <c r="B826" s="203" t="str">
        <f>IF(DATA!N756="","",DATA!N756)</f>
        <v/>
      </c>
      <c r="C826" s="203" t="str">
        <f>IF(DATA!O756="","",DATA!O756)</f>
        <v/>
      </c>
      <c r="D826" s="203" t="str">
        <f>IF(DATA!P756="","",DATA!P756)</f>
        <v/>
      </c>
      <c r="E826" s="13"/>
      <c r="F826" s="5" t="str">
        <f t="shared" si="86"/>
        <v/>
      </c>
      <c r="G826" s="1"/>
      <c r="H826" s="77">
        <f>IF(G826="",0,VLOOKUP(G826,REFCE!A:D,2,FALSE))</f>
        <v>0</v>
      </c>
      <c r="I826" s="77" t="str">
        <f t="shared" si="87"/>
        <v/>
      </c>
    </row>
    <row r="827" spans="1:9" x14ac:dyDescent="0.25">
      <c r="A827" s="203" t="str">
        <f>IF(DATA!M757="","",DATA!M757)</f>
        <v/>
      </c>
      <c r="B827" s="203" t="str">
        <f>IF(DATA!N757="","",DATA!N757)</f>
        <v/>
      </c>
      <c r="C827" s="203" t="str">
        <f>IF(DATA!O757="","",DATA!O757)</f>
        <v/>
      </c>
      <c r="D827" s="203" t="str">
        <f>IF(DATA!P757="","",DATA!P757)</f>
        <v/>
      </c>
      <c r="E827" s="13"/>
      <c r="F827" s="5" t="str">
        <f t="shared" si="86"/>
        <v/>
      </c>
      <c r="G827" s="1"/>
      <c r="H827" s="77">
        <f>IF(G827="",0,VLOOKUP(G827,REFCE!A:D,2,FALSE))</f>
        <v>0</v>
      </c>
      <c r="I827" s="77" t="str">
        <f t="shared" si="87"/>
        <v/>
      </c>
    </row>
    <row r="828" spans="1:9" x14ac:dyDescent="0.25">
      <c r="A828" s="203" t="str">
        <f>IF(DATA!M758="","",DATA!M758)</f>
        <v/>
      </c>
      <c r="B828" s="203" t="str">
        <f>IF(DATA!N758="","",DATA!N758)</f>
        <v/>
      </c>
      <c r="C828" s="203" t="str">
        <f>IF(DATA!O758="","",DATA!O758)</f>
        <v/>
      </c>
      <c r="D828" s="203" t="str">
        <f>IF(DATA!P758="","",DATA!P758)</f>
        <v/>
      </c>
      <c r="E828" s="13"/>
      <c r="F828" s="5" t="str">
        <f t="shared" si="86"/>
        <v/>
      </c>
      <c r="G828" s="1"/>
      <c r="H828" s="77">
        <f>IF(G828="",0,VLOOKUP(G828,REFCE!A:D,2,FALSE))</f>
        <v>0</v>
      </c>
      <c r="I828" s="77" t="str">
        <f t="shared" si="87"/>
        <v/>
      </c>
    </row>
    <row r="829" spans="1:9" x14ac:dyDescent="0.25">
      <c r="A829" s="203" t="str">
        <f>IF(DATA!M759="","",DATA!M759)</f>
        <v/>
      </c>
      <c r="B829" s="203" t="str">
        <f>IF(DATA!N759="","",DATA!N759)</f>
        <v/>
      </c>
      <c r="C829" s="203" t="str">
        <f>IF(DATA!O759="","",DATA!O759)</f>
        <v/>
      </c>
      <c r="D829" s="203" t="str">
        <f>IF(DATA!P759="","",DATA!P759)</f>
        <v/>
      </c>
      <c r="E829" s="13"/>
      <c r="F829" s="5" t="str">
        <f t="shared" si="86"/>
        <v/>
      </c>
      <c r="G829" s="1"/>
      <c r="H829" s="77">
        <f>IF(G829="",0,VLOOKUP(G829,REFCE!A:D,2,FALSE))</f>
        <v>0</v>
      </c>
      <c r="I829" s="77" t="str">
        <f t="shared" si="87"/>
        <v/>
      </c>
    </row>
    <row r="830" spans="1:9" x14ac:dyDescent="0.25">
      <c r="A830" s="203" t="str">
        <f>IF(DATA!M760="","",DATA!M760)</f>
        <v/>
      </c>
      <c r="B830" s="203" t="str">
        <f>IF(DATA!N760="","",DATA!N760)</f>
        <v/>
      </c>
      <c r="C830" s="203" t="str">
        <f>IF(DATA!O760="","",DATA!O760)</f>
        <v/>
      </c>
      <c r="D830" s="203" t="str">
        <f>IF(DATA!P760="","",DATA!P760)</f>
        <v/>
      </c>
      <c r="E830" s="13"/>
      <c r="F830" s="5" t="str">
        <f t="shared" si="86"/>
        <v/>
      </c>
      <c r="G830" s="1"/>
      <c r="H830" s="77">
        <f>IF(G830="",0,VLOOKUP(G830,REFCE!A:D,2,FALSE))</f>
        <v>0</v>
      </c>
      <c r="I830" s="77" t="str">
        <f t="shared" si="87"/>
        <v/>
      </c>
    </row>
    <row r="831" spans="1:9" x14ac:dyDescent="0.25">
      <c r="A831" s="203" t="str">
        <f>IF(DATA!M761="","",DATA!M761)</f>
        <v/>
      </c>
      <c r="B831" s="203" t="str">
        <f>IF(DATA!N761="","",DATA!N761)</f>
        <v/>
      </c>
      <c r="C831" s="203" t="str">
        <f>IF(DATA!O761="","",DATA!O761)</f>
        <v/>
      </c>
      <c r="D831" s="203" t="str">
        <f>IF(DATA!P761="","",DATA!P761)</f>
        <v/>
      </c>
      <c r="E831" s="13"/>
      <c r="F831" s="5" t="str">
        <f t="shared" si="86"/>
        <v/>
      </c>
      <c r="G831" s="1"/>
      <c r="H831" s="77">
        <f>IF(G831="",0,VLOOKUP(G831,REFCE!A:D,2,FALSE))</f>
        <v>0</v>
      </c>
      <c r="I831" s="77" t="str">
        <f t="shared" si="87"/>
        <v/>
      </c>
    </row>
    <row r="832" spans="1:9" x14ac:dyDescent="0.25">
      <c r="A832" s="203" t="str">
        <f>IF(DATA!M762="","",DATA!M762)</f>
        <v/>
      </c>
      <c r="B832" s="203" t="str">
        <f>IF(DATA!N762="","",DATA!N762)</f>
        <v/>
      </c>
      <c r="C832" s="203" t="str">
        <f>IF(DATA!O762="","",DATA!O762)</f>
        <v/>
      </c>
      <c r="D832" s="203" t="str">
        <f>IF(DATA!P762="","",DATA!P762)</f>
        <v/>
      </c>
      <c r="E832" s="13"/>
      <c r="F832" s="5" t="str">
        <f t="shared" si="86"/>
        <v/>
      </c>
      <c r="G832" s="1"/>
      <c r="H832" s="77">
        <f>IF(G832="",0,VLOOKUP(G832,REFCE!A:D,2,FALSE))</f>
        <v>0</v>
      </c>
      <c r="I832" s="77" t="str">
        <f t="shared" si="87"/>
        <v/>
      </c>
    </row>
    <row r="833" spans="1:9" x14ac:dyDescent="0.25">
      <c r="A833" s="203" t="str">
        <f>IF(DATA!M763="","",DATA!M763)</f>
        <v/>
      </c>
      <c r="B833" s="203" t="str">
        <f>IF(DATA!N763="","",DATA!N763)</f>
        <v/>
      </c>
      <c r="C833" s="203" t="str">
        <f>IF(DATA!O763="","",DATA!O763)</f>
        <v/>
      </c>
      <c r="D833" s="203" t="str">
        <f>IF(DATA!P763="","",DATA!P763)</f>
        <v/>
      </c>
      <c r="E833" s="13"/>
      <c r="F833" s="5" t="str">
        <f t="shared" si="86"/>
        <v/>
      </c>
      <c r="G833" s="1"/>
      <c r="H833" s="77">
        <f>IF(G833="",0,VLOOKUP(G833,REFCE!A:D,2,FALSE))</f>
        <v>0</v>
      </c>
      <c r="I833" s="77" t="str">
        <f t="shared" si="87"/>
        <v/>
      </c>
    </row>
    <row r="834" spans="1:9" x14ac:dyDescent="0.25">
      <c r="A834" s="203" t="str">
        <f>IF(DATA!M764="","",DATA!M764)</f>
        <v/>
      </c>
      <c r="B834" s="203" t="str">
        <f>IF(DATA!N764="","",DATA!N764)</f>
        <v/>
      </c>
      <c r="C834" s="203" t="str">
        <f>IF(DATA!O764="","",DATA!O764)</f>
        <v/>
      </c>
      <c r="D834" s="203" t="str">
        <f>IF(DATA!P764="","",DATA!P764)</f>
        <v/>
      </c>
      <c r="E834" s="13"/>
      <c r="F834" s="5" t="str">
        <f t="shared" si="86"/>
        <v/>
      </c>
      <c r="G834" s="1"/>
      <c r="H834" s="77">
        <f>IF(G834="",0,VLOOKUP(G834,REFCE!A:D,2,FALSE))</f>
        <v>0</v>
      </c>
      <c r="I834" s="77" t="str">
        <f t="shared" si="87"/>
        <v/>
      </c>
    </row>
    <row r="835" spans="1:9" x14ac:dyDescent="0.25">
      <c r="A835" s="203" t="str">
        <f>IF(DATA!M765="","",DATA!M765)</f>
        <v/>
      </c>
      <c r="B835" s="203" t="str">
        <f>IF(DATA!N765="","",DATA!N765)</f>
        <v/>
      </c>
      <c r="C835" s="203" t="str">
        <f>IF(DATA!O765="","",DATA!O765)</f>
        <v/>
      </c>
      <c r="D835" s="203" t="str">
        <f>IF(DATA!P765="","",DATA!P765)</f>
        <v/>
      </c>
      <c r="E835" s="13"/>
      <c r="F835" s="5" t="str">
        <f t="shared" si="86"/>
        <v/>
      </c>
      <c r="G835" s="1"/>
      <c r="H835" s="77">
        <f>IF(G835="",0,VLOOKUP(G835,REFCE!A:D,2,FALSE))</f>
        <v>0</v>
      </c>
      <c r="I835" s="77" t="str">
        <f t="shared" si="87"/>
        <v/>
      </c>
    </row>
    <row r="836" spans="1:9" x14ac:dyDescent="0.25">
      <c r="A836" s="203" t="str">
        <f>IF(DATA!M766="","",DATA!M766)</f>
        <v/>
      </c>
      <c r="B836" s="203" t="str">
        <f>IF(DATA!N766="","",DATA!N766)</f>
        <v/>
      </c>
      <c r="C836" s="203" t="str">
        <f>IF(DATA!O766="","",DATA!O766)</f>
        <v/>
      </c>
      <c r="D836" s="203" t="str">
        <f>IF(DATA!P766="","",DATA!P766)</f>
        <v/>
      </c>
      <c r="E836" s="13"/>
      <c r="F836" s="5" t="str">
        <f t="shared" si="86"/>
        <v/>
      </c>
      <c r="G836" s="1"/>
      <c r="H836" s="77">
        <f>IF(G836="",0,VLOOKUP(G836,REFCE!A:D,2,FALSE))</f>
        <v>0</v>
      </c>
      <c r="I836" s="77" t="str">
        <f t="shared" si="87"/>
        <v/>
      </c>
    </row>
    <row r="837" spans="1:9" x14ac:dyDescent="0.25">
      <c r="A837" s="203" t="str">
        <f>IF(DATA!M767="","",DATA!M767)</f>
        <v/>
      </c>
      <c r="B837" s="203" t="str">
        <f>IF(DATA!N767="","",DATA!N767)</f>
        <v/>
      </c>
      <c r="C837" s="203" t="str">
        <f>IF(DATA!O767="","",DATA!O767)</f>
        <v/>
      </c>
      <c r="D837" s="203" t="str">
        <f>IF(DATA!P767="","",DATA!P767)</f>
        <v/>
      </c>
      <c r="E837" s="13"/>
      <c r="F837" s="5" t="str">
        <f t="shared" si="86"/>
        <v/>
      </c>
      <c r="G837" s="1"/>
      <c r="H837" s="77">
        <f>IF(G837="",0,VLOOKUP(G837,REFCE!A:D,2,FALSE))</f>
        <v>0</v>
      </c>
      <c r="I837" s="77" t="str">
        <f t="shared" si="87"/>
        <v/>
      </c>
    </row>
    <row r="838" spans="1:9" x14ac:dyDescent="0.25">
      <c r="A838" s="203" t="str">
        <f>IF(DATA!M768="","",DATA!M768)</f>
        <v/>
      </c>
      <c r="B838" s="203" t="str">
        <f>IF(DATA!N768="","",DATA!N768)</f>
        <v/>
      </c>
      <c r="C838" s="203" t="str">
        <f>IF(DATA!O768="","",DATA!O768)</f>
        <v/>
      </c>
      <c r="D838" s="203" t="str">
        <f>IF(DATA!P768="","",DATA!P768)</f>
        <v/>
      </c>
      <c r="E838" s="13"/>
      <c r="F838" s="5" t="str">
        <f t="shared" si="86"/>
        <v/>
      </c>
      <c r="G838" s="1"/>
      <c r="H838" s="77">
        <f>IF(G838="",0,VLOOKUP(G838,REFCE!A:D,2,FALSE))</f>
        <v>0</v>
      </c>
      <c r="I838" s="77" t="str">
        <f t="shared" si="87"/>
        <v/>
      </c>
    </row>
    <row r="839" spans="1:9" x14ac:dyDescent="0.25">
      <c r="A839" s="203" t="str">
        <f>IF(DATA!M769="","",DATA!M769)</f>
        <v/>
      </c>
      <c r="B839" s="203" t="str">
        <f>IF(DATA!N769="","",DATA!N769)</f>
        <v/>
      </c>
      <c r="C839" s="203" t="str">
        <f>IF(DATA!O769="","",DATA!O769)</f>
        <v/>
      </c>
      <c r="D839" s="203" t="str">
        <f>IF(DATA!P769="","",DATA!P769)</f>
        <v/>
      </c>
      <c r="E839" s="13"/>
      <c r="F839" s="5" t="str">
        <f t="shared" si="86"/>
        <v/>
      </c>
      <c r="G839" s="1"/>
      <c r="H839" s="77">
        <f>IF(G839="",0,VLOOKUP(G839,REFCE!A:D,2,FALSE))</f>
        <v>0</v>
      </c>
      <c r="I839" s="77" t="str">
        <f t="shared" si="87"/>
        <v/>
      </c>
    </row>
    <row r="840" spans="1:9" x14ac:dyDescent="0.25">
      <c r="A840" s="203" t="str">
        <f>IF(DATA!M770="","",DATA!M770)</f>
        <v/>
      </c>
      <c r="B840" s="203" t="str">
        <f>IF(DATA!N770="","",DATA!N770)</f>
        <v/>
      </c>
      <c r="C840" s="203" t="str">
        <f>IF(DATA!O770="","",DATA!O770)</f>
        <v/>
      </c>
      <c r="D840" s="203" t="str">
        <f>IF(DATA!P770="","",DATA!P770)</f>
        <v/>
      </c>
      <c r="E840" s="13"/>
      <c r="F840" s="5" t="str">
        <f t="shared" si="86"/>
        <v/>
      </c>
      <c r="G840" s="1"/>
      <c r="H840" s="77">
        <f>IF(G840="",0,VLOOKUP(G840,REFCE!A:D,2,FALSE))</f>
        <v>0</v>
      </c>
      <c r="I840" s="77" t="str">
        <f t="shared" si="87"/>
        <v/>
      </c>
    </row>
    <row r="841" spans="1:9" x14ac:dyDescent="0.25">
      <c r="A841" s="203" t="str">
        <f>IF(DATA!M771="","",DATA!M771)</f>
        <v/>
      </c>
      <c r="B841" s="203" t="str">
        <f>IF(DATA!N771="","",DATA!N771)</f>
        <v/>
      </c>
      <c r="C841" s="203" t="str">
        <f>IF(DATA!O771="","",DATA!O771)</f>
        <v/>
      </c>
      <c r="D841" s="203" t="str">
        <f>IF(DATA!P771="","",DATA!P771)</f>
        <v/>
      </c>
      <c r="E841" s="13"/>
      <c r="F841" s="5" t="str">
        <f t="shared" si="86"/>
        <v/>
      </c>
      <c r="G841" s="1"/>
      <c r="H841" s="77">
        <f>IF(G841="",0,VLOOKUP(G841,REFCE!A:D,2,FALSE))</f>
        <v>0</v>
      </c>
      <c r="I841" s="77" t="str">
        <f t="shared" si="87"/>
        <v/>
      </c>
    </row>
    <row r="842" spans="1:9" x14ac:dyDescent="0.25">
      <c r="A842" s="203" t="str">
        <f>IF(DATA!M772="","",DATA!M772)</f>
        <v/>
      </c>
      <c r="B842" s="203" t="str">
        <f>IF(DATA!N772="","",DATA!N772)</f>
        <v/>
      </c>
      <c r="C842" s="203" t="str">
        <f>IF(DATA!O772="","",DATA!O772)</f>
        <v/>
      </c>
      <c r="D842" s="203" t="str">
        <f>IF(DATA!P772="","",DATA!P772)</f>
        <v/>
      </c>
      <c r="E842" s="13"/>
      <c r="F842" s="5" t="str">
        <f t="shared" si="86"/>
        <v/>
      </c>
      <c r="G842" s="1"/>
      <c r="H842" s="77">
        <f>IF(G842="",0,VLOOKUP(G842,REFCE!A:D,2,FALSE))</f>
        <v>0</v>
      </c>
      <c r="I842" s="77" t="str">
        <f t="shared" si="87"/>
        <v/>
      </c>
    </row>
    <row r="843" spans="1:9" x14ac:dyDescent="0.25">
      <c r="A843" s="203" t="str">
        <f>IF(DATA!M773="","",DATA!M773)</f>
        <v/>
      </c>
      <c r="B843" s="203" t="str">
        <f>IF(DATA!N773="","",DATA!N773)</f>
        <v/>
      </c>
      <c r="C843" s="203" t="str">
        <f>IF(DATA!O773="","",DATA!O773)</f>
        <v/>
      </c>
      <c r="D843" s="203" t="str">
        <f>IF(DATA!P773="","",DATA!P773)</f>
        <v/>
      </c>
      <c r="E843" s="13"/>
      <c r="F843" s="5" t="str">
        <f t="shared" si="86"/>
        <v/>
      </c>
      <c r="G843" s="1"/>
      <c r="H843" s="77">
        <f>IF(G843="",0,VLOOKUP(G843,REFCE!A:D,2,FALSE))</f>
        <v>0</v>
      </c>
      <c r="I843" s="77" t="str">
        <f t="shared" si="87"/>
        <v/>
      </c>
    </row>
    <row r="844" spans="1:9" x14ac:dyDescent="0.25">
      <c r="A844" s="203" t="str">
        <f>IF(DATA!M774="","",DATA!M774)</f>
        <v/>
      </c>
      <c r="B844" s="203" t="str">
        <f>IF(DATA!N774="","",DATA!N774)</f>
        <v/>
      </c>
      <c r="C844" s="203" t="str">
        <f>IF(DATA!O774="","",DATA!O774)</f>
        <v/>
      </c>
      <c r="D844" s="203" t="str">
        <f>IF(DATA!P774="","",DATA!P774)</f>
        <v/>
      </c>
      <c r="E844" s="13"/>
      <c r="F844" s="5" t="str">
        <f t="shared" si="86"/>
        <v/>
      </c>
      <c r="G844" s="1"/>
      <c r="H844" s="77">
        <f>IF(G844="",0,VLOOKUP(G844,REFCE!A:D,2,FALSE))</f>
        <v>0</v>
      </c>
      <c r="I844" s="77" t="str">
        <f t="shared" si="87"/>
        <v/>
      </c>
    </row>
    <row r="845" spans="1:9" x14ac:dyDescent="0.25">
      <c r="A845" s="203" t="str">
        <f>IF(DATA!M775="","",DATA!M775)</f>
        <v/>
      </c>
      <c r="B845" s="203" t="str">
        <f>IF(DATA!N775="","",DATA!N775)</f>
        <v/>
      </c>
      <c r="C845" s="203" t="str">
        <f>IF(DATA!O775="","",DATA!O775)</f>
        <v/>
      </c>
      <c r="D845" s="203" t="str">
        <f>IF(DATA!P775="","",DATA!P775)</f>
        <v/>
      </c>
      <c r="E845" s="13"/>
      <c r="F845" s="5" t="str">
        <f t="shared" si="86"/>
        <v/>
      </c>
      <c r="G845" s="1"/>
      <c r="H845" s="77">
        <f>IF(G845="",0,VLOOKUP(G845,REFCE!A:D,2,FALSE))</f>
        <v>0</v>
      </c>
      <c r="I845" s="77" t="str">
        <f t="shared" si="87"/>
        <v/>
      </c>
    </row>
    <row r="846" spans="1:9" x14ac:dyDescent="0.25">
      <c r="A846" s="203" t="str">
        <f>IF(DATA!M776="","",DATA!M776)</f>
        <v/>
      </c>
      <c r="B846" s="203" t="str">
        <f>IF(DATA!N776="","",DATA!N776)</f>
        <v/>
      </c>
      <c r="C846" s="203" t="str">
        <f>IF(DATA!O776="","",DATA!O776)</f>
        <v/>
      </c>
      <c r="D846" s="203" t="str">
        <f>IF(DATA!P776="","",DATA!P776)</f>
        <v/>
      </c>
      <c r="E846" s="13"/>
      <c r="F846" s="5" t="str">
        <f t="shared" ref="F846:F909" si="88">IF(D846="","",D846*E846)</f>
        <v/>
      </c>
      <c r="G846" s="1"/>
      <c r="H846" s="77">
        <f>IF(G846="",0,VLOOKUP(G846,REFCE!A:D,2,FALSE))</f>
        <v>0</v>
      </c>
      <c r="I846" s="77" t="str">
        <f t="shared" ref="I846:I909" si="89">IF(F846="","",F846*H846)</f>
        <v/>
      </c>
    </row>
    <row r="847" spans="1:9" x14ac:dyDescent="0.25">
      <c r="A847" s="203" t="str">
        <f>IF(DATA!M777="","",DATA!M777)</f>
        <v/>
      </c>
      <c r="B847" s="203" t="str">
        <f>IF(DATA!N777="","",DATA!N777)</f>
        <v/>
      </c>
      <c r="C847" s="203" t="str">
        <f>IF(DATA!O777="","",DATA!O777)</f>
        <v/>
      </c>
      <c r="D847" s="203" t="str">
        <f>IF(DATA!P777="","",DATA!P777)</f>
        <v/>
      </c>
      <c r="E847" s="13"/>
      <c r="F847" s="5" t="str">
        <f t="shared" si="88"/>
        <v/>
      </c>
      <c r="G847" s="1"/>
      <c r="H847" s="77">
        <f>IF(G847="",0,VLOOKUP(G847,REFCE!A:D,2,FALSE))</f>
        <v>0</v>
      </c>
      <c r="I847" s="77" t="str">
        <f t="shared" si="89"/>
        <v/>
      </c>
    </row>
    <row r="848" spans="1:9" x14ac:dyDescent="0.25">
      <c r="A848" s="203" t="str">
        <f>IF(DATA!M778="","",DATA!M778)</f>
        <v/>
      </c>
      <c r="B848" s="203" t="str">
        <f>IF(DATA!N778="","",DATA!N778)</f>
        <v/>
      </c>
      <c r="C848" s="203" t="str">
        <f>IF(DATA!O778="","",DATA!O778)</f>
        <v/>
      </c>
      <c r="D848" s="203" t="str">
        <f>IF(DATA!P778="","",DATA!P778)</f>
        <v/>
      </c>
      <c r="E848" s="13"/>
      <c r="F848" s="5" t="str">
        <f t="shared" si="88"/>
        <v/>
      </c>
      <c r="G848" s="1"/>
      <c r="H848" s="77">
        <f>IF(G848="",0,VLOOKUP(G848,REFCE!A:D,2,FALSE))</f>
        <v>0</v>
      </c>
      <c r="I848" s="77" t="str">
        <f t="shared" si="89"/>
        <v/>
      </c>
    </row>
    <row r="849" spans="1:9" x14ac:dyDescent="0.25">
      <c r="A849" s="203" t="str">
        <f>IF(DATA!M779="","",DATA!M779)</f>
        <v/>
      </c>
      <c r="B849" s="203" t="str">
        <f>IF(DATA!N779="","",DATA!N779)</f>
        <v/>
      </c>
      <c r="C849" s="203" t="str">
        <f>IF(DATA!O779="","",DATA!O779)</f>
        <v/>
      </c>
      <c r="D849" s="203" t="str">
        <f>IF(DATA!P779="","",DATA!P779)</f>
        <v/>
      </c>
      <c r="E849" s="13"/>
      <c r="F849" s="5" t="str">
        <f t="shared" si="88"/>
        <v/>
      </c>
      <c r="G849" s="1"/>
      <c r="H849" s="77">
        <f>IF(G849="",0,VLOOKUP(G849,REFCE!A:D,2,FALSE))</f>
        <v>0</v>
      </c>
      <c r="I849" s="77" t="str">
        <f t="shared" si="89"/>
        <v/>
      </c>
    </row>
    <row r="850" spans="1:9" x14ac:dyDescent="0.25">
      <c r="A850" s="203" t="str">
        <f>IF(DATA!M780="","",DATA!M780)</f>
        <v/>
      </c>
      <c r="B850" s="203" t="str">
        <f>IF(DATA!N780="","",DATA!N780)</f>
        <v/>
      </c>
      <c r="C850" s="203" t="str">
        <f>IF(DATA!O780="","",DATA!O780)</f>
        <v/>
      </c>
      <c r="D850" s="203" t="str">
        <f>IF(DATA!P780="","",DATA!P780)</f>
        <v/>
      </c>
      <c r="E850" s="13"/>
      <c r="F850" s="5" t="str">
        <f t="shared" si="88"/>
        <v/>
      </c>
      <c r="G850" s="1"/>
      <c r="H850" s="77">
        <f>IF(G850="",0,VLOOKUP(G850,REFCE!A:D,2,FALSE))</f>
        <v>0</v>
      </c>
      <c r="I850" s="77" t="str">
        <f t="shared" si="89"/>
        <v/>
      </c>
    </row>
    <row r="851" spans="1:9" x14ac:dyDescent="0.25">
      <c r="A851" s="203" t="str">
        <f>IF(DATA!M781="","",DATA!M781)</f>
        <v/>
      </c>
      <c r="B851" s="203" t="str">
        <f>IF(DATA!N781="","",DATA!N781)</f>
        <v/>
      </c>
      <c r="C851" s="203" t="str">
        <f>IF(DATA!O781="","",DATA!O781)</f>
        <v/>
      </c>
      <c r="D851" s="203" t="str">
        <f>IF(DATA!P781="","",DATA!P781)</f>
        <v/>
      </c>
      <c r="E851" s="13"/>
      <c r="F851" s="5" t="str">
        <f t="shared" si="88"/>
        <v/>
      </c>
      <c r="G851" s="1"/>
      <c r="H851" s="77">
        <f>IF(G851="",0,VLOOKUP(G851,REFCE!A:D,2,FALSE))</f>
        <v>0</v>
      </c>
      <c r="I851" s="77" t="str">
        <f t="shared" si="89"/>
        <v/>
      </c>
    </row>
    <row r="852" spans="1:9" x14ac:dyDescent="0.25">
      <c r="A852" s="203" t="str">
        <f>IF(DATA!M782="","",DATA!M782)</f>
        <v/>
      </c>
      <c r="B852" s="203" t="str">
        <f>IF(DATA!N782="","",DATA!N782)</f>
        <v/>
      </c>
      <c r="C852" s="203" t="str">
        <f>IF(DATA!O782="","",DATA!O782)</f>
        <v/>
      </c>
      <c r="D852" s="203" t="str">
        <f>IF(DATA!P782="","",DATA!P782)</f>
        <v/>
      </c>
      <c r="E852" s="13"/>
      <c r="F852" s="5" t="str">
        <f t="shared" si="88"/>
        <v/>
      </c>
      <c r="G852" s="1"/>
      <c r="H852" s="77">
        <f>IF(G852="",0,VLOOKUP(G852,REFCE!A:D,2,FALSE))</f>
        <v>0</v>
      </c>
      <c r="I852" s="77" t="str">
        <f t="shared" si="89"/>
        <v/>
      </c>
    </row>
    <row r="853" spans="1:9" x14ac:dyDescent="0.25">
      <c r="A853" s="203" t="str">
        <f>IF(DATA!M783="","",DATA!M783)</f>
        <v/>
      </c>
      <c r="B853" s="203" t="str">
        <f>IF(DATA!N783="","",DATA!N783)</f>
        <v/>
      </c>
      <c r="C853" s="203" t="str">
        <f>IF(DATA!O783="","",DATA!O783)</f>
        <v/>
      </c>
      <c r="D853" s="203" t="str">
        <f>IF(DATA!P783="","",DATA!P783)</f>
        <v/>
      </c>
      <c r="E853" s="13"/>
      <c r="F853" s="5" t="str">
        <f t="shared" si="88"/>
        <v/>
      </c>
      <c r="G853" s="1"/>
      <c r="H853" s="77">
        <f>IF(G853="",0,VLOOKUP(G853,REFCE!A:D,2,FALSE))</f>
        <v>0</v>
      </c>
      <c r="I853" s="77" t="str">
        <f t="shared" si="89"/>
        <v/>
      </c>
    </row>
    <row r="854" spans="1:9" x14ac:dyDescent="0.25">
      <c r="A854" s="203" t="str">
        <f>IF(DATA!M784="","",DATA!M784)</f>
        <v/>
      </c>
      <c r="B854" s="203" t="str">
        <f>IF(DATA!N784="","",DATA!N784)</f>
        <v/>
      </c>
      <c r="C854" s="203" t="str">
        <f>IF(DATA!O784="","",DATA!O784)</f>
        <v/>
      </c>
      <c r="D854" s="203" t="str">
        <f>IF(DATA!P784="","",DATA!P784)</f>
        <v/>
      </c>
      <c r="E854" s="13"/>
      <c r="F854" s="5" t="str">
        <f t="shared" si="88"/>
        <v/>
      </c>
      <c r="G854" s="1"/>
      <c r="H854" s="77">
        <f>IF(G854="",0,VLOOKUP(G854,REFCE!A:D,2,FALSE))</f>
        <v>0</v>
      </c>
      <c r="I854" s="77" t="str">
        <f t="shared" si="89"/>
        <v/>
      </c>
    </row>
    <row r="855" spans="1:9" x14ac:dyDescent="0.25">
      <c r="A855" s="203" t="str">
        <f>IF(DATA!M785="","",DATA!M785)</f>
        <v/>
      </c>
      <c r="B855" s="203" t="str">
        <f>IF(DATA!N785="","",DATA!N785)</f>
        <v/>
      </c>
      <c r="C855" s="203" t="str">
        <f>IF(DATA!O785="","",DATA!O785)</f>
        <v/>
      </c>
      <c r="D855" s="203" t="str">
        <f>IF(DATA!P785="","",DATA!P785)</f>
        <v/>
      </c>
      <c r="E855" s="13"/>
      <c r="F855" s="5" t="str">
        <f t="shared" si="88"/>
        <v/>
      </c>
      <c r="G855" s="1"/>
      <c r="H855" s="77">
        <f>IF(G855="",0,VLOOKUP(G855,REFCE!A:D,2,FALSE))</f>
        <v>0</v>
      </c>
      <c r="I855" s="77" t="str">
        <f t="shared" si="89"/>
        <v/>
      </c>
    </row>
    <row r="856" spans="1:9" x14ac:dyDescent="0.25">
      <c r="A856" s="203" t="str">
        <f>IF(DATA!M786="","",DATA!M786)</f>
        <v/>
      </c>
      <c r="B856" s="203" t="str">
        <f>IF(DATA!N786="","",DATA!N786)</f>
        <v/>
      </c>
      <c r="C856" s="203" t="str">
        <f>IF(DATA!O786="","",DATA!O786)</f>
        <v/>
      </c>
      <c r="D856" s="203" t="str">
        <f>IF(DATA!P786="","",DATA!P786)</f>
        <v/>
      </c>
      <c r="E856" s="13"/>
      <c r="F856" s="5" t="str">
        <f t="shared" si="88"/>
        <v/>
      </c>
      <c r="G856" s="1"/>
      <c r="H856" s="77">
        <f>IF(G856="",0,VLOOKUP(G856,REFCE!A:D,2,FALSE))</f>
        <v>0</v>
      </c>
      <c r="I856" s="77" t="str">
        <f t="shared" si="89"/>
        <v/>
      </c>
    </row>
    <row r="857" spans="1:9" x14ac:dyDescent="0.25">
      <c r="A857" s="203" t="str">
        <f>IF(DATA!M787="","",DATA!M787)</f>
        <v/>
      </c>
      <c r="B857" s="203" t="str">
        <f>IF(DATA!N787="","",DATA!N787)</f>
        <v/>
      </c>
      <c r="C857" s="203" t="str">
        <f>IF(DATA!O787="","",DATA!O787)</f>
        <v/>
      </c>
      <c r="D857" s="203" t="str">
        <f>IF(DATA!P787="","",DATA!P787)</f>
        <v/>
      </c>
      <c r="E857" s="13"/>
      <c r="F857" s="5" t="str">
        <f t="shared" si="88"/>
        <v/>
      </c>
      <c r="G857" s="1"/>
      <c r="H857" s="77">
        <f>IF(G857="",0,VLOOKUP(G857,REFCE!A:D,2,FALSE))</f>
        <v>0</v>
      </c>
      <c r="I857" s="77" t="str">
        <f t="shared" si="89"/>
        <v/>
      </c>
    </row>
    <row r="858" spans="1:9" x14ac:dyDescent="0.25">
      <c r="A858" s="203" t="str">
        <f>IF(DATA!M788="","",DATA!M788)</f>
        <v/>
      </c>
      <c r="B858" s="203" t="str">
        <f>IF(DATA!N788="","",DATA!N788)</f>
        <v/>
      </c>
      <c r="C858" s="203" t="str">
        <f>IF(DATA!O788="","",DATA!O788)</f>
        <v/>
      </c>
      <c r="D858" s="203" t="str">
        <f>IF(DATA!P788="","",DATA!P788)</f>
        <v/>
      </c>
      <c r="E858" s="13"/>
      <c r="F858" s="5" t="str">
        <f t="shared" si="88"/>
        <v/>
      </c>
      <c r="G858" s="1"/>
      <c r="H858" s="77">
        <f>IF(G858="",0,VLOOKUP(G858,REFCE!A:D,2,FALSE))</f>
        <v>0</v>
      </c>
      <c r="I858" s="77" t="str">
        <f t="shared" si="89"/>
        <v/>
      </c>
    </row>
    <row r="859" spans="1:9" x14ac:dyDescent="0.25">
      <c r="A859" s="203" t="str">
        <f>IF(DATA!M789="","",DATA!M789)</f>
        <v/>
      </c>
      <c r="B859" s="203" t="str">
        <f>IF(DATA!N789="","",DATA!N789)</f>
        <v/>
      </c>
      <c r="C859" s="203" t="str">
        <f>IF(DATA!O789="","",DATA!O789)</f>
        <v/>
      </c>
      <c r="D859" s="203" t="str">
        <f>IF(DATA!P789="","",DATA!P789)</f>
        <v/>
      </c>
      <c r="E859" s="13"/>
      <c r="F859" s="5" t="str">
        <f t="shared" si="88"/>
        <v/>
      </c>
      <c r="G859" s="1"/>
      <c r="H859" s="77">
        <f>IF(G859="",0,VLOOKUP(G859,REFCE!A:D,2,FALSE))</f>
        <v>0</v>
      </c>
      <c r="I859" s="77" t="str">
        <f t="shared" si="89"/>
        <v/>
      </c>
    </row>
    <row r="860" spans="1:9" x14ac:dyDescent="0.25">
      <c r="A860" s="203" t="str">
        <f>IF(DATA!M790="","",DATA!M790)</f>
        <v/>
      </c>
      <c r="B860" s="203" t="str">
        <f>IF(DATA!N790="","",DATA!N790)</f>
        <v/>
      </c>
      <c r="C860" s="203" t="str">
        <f>IF(DATA!O790="","",DATA!O790)</f>
        <v/>
      </c>
      <c r="D860" s="203" t="str">
        <f>IF(DATA!P790="","",DATA!P790)</f>
        <v/>
      </c>
      <c r="E860" s="13"/>
      <c r="F860" s="5" t="str">
        <f t="shared" si="88"/>
        <v/>
      </c>
      <c r="G860" s="1"/>
      <c r="H860" s="77">
        <f>IF(G860="",0,VLOOKUP(G860,REFCE!A:D,2,FALSE))</f>
        <v>0</v>
      </c>
      <c r="I860" s="77" t="str">
        <f t="shared" si="89"/>
        <v/>
      </c>
    </row>
    <row r="861" spans="1:9" x14ac:dyDescent="0.25">
      <c r="A861" s="203" t="str">
        <f>IF(DATA!M791="","",DATA!M791)</f>
        <v/>
      </c>
      <c r="B861" s="203" t="str">
        <f>IF(DATA!N791="","",DATA!N791)</f>
        <v/>
      </c>
      <c r="C861" s="203" t="str">
        <f>IF(DATA!O791="","",DATA!O791)</f>
        <v/>
      </c>
      <c r="D861" s="203" t="str">
        <f>IF(DATA!P791="","",DATA!P791)</f>
        <v/>
      </c>
      <c r="E861" s="13"/>
      <c r="F861" s="5" t="str">
        <f t="shared" si="88"/>
        <v/>
      </c>
      <c r="G861" s="1"/>
      <c r="H861" s="77">
        <f>IF(G861="",0,VLOOKUP(G861,REFCE!A:D,2,FALSE))</f>
        <v>0</v>
      </c>
      <c r="I861" s="77" t="str">
        <f t="shared" si="89"/>
        <v/>
      </c>
    </row>
    <row r="862" spans="1:9" x14ac:dyDescent="0.25">
      <c r="A862" s="203" t="str">
        <f>IF(DATA!M792="","",DATA!M792)</f>
        <v/>
      </c>
      <c r="B862" s="203" t="str">
        <f>IF(DATA!N792="","",DATA!N792)</f>
        <v/>
      </c>
      <c r="C862" s="203" t="str">
        <f>IF(DATA!O792="","",DATA!O792)</f>
        <v/>
      </c>
      <c r="D862" s="203" t="str">
        <f>IF(DATA!P792="","",DATA!P792)</f>
        <v/>
      </c>
      <c r="E862" s="13"/>
      <c r="F862" s="5" t="str">
        <f t="shared" si="88"/>
        <v/>
      </c>
      <c r="G862" s="1"/>
      <c r="H862" s="77">
        <f>IF(G862="",0,VLOOKUP(G862,REFCE!A:D,2,FALSE))</f>
        <v>0</v>
      </c>
      <c r="I862" s="77" t="str">
        <f t="shared" si="89"/>
        <v/>
      </c>
    </row>
    <row r="863" spans="1:9" x14ac:dyDescent="0.25">
      <c r="A863" s="203" t="str">
        <f>IF(DATA!M793="","",DATA!M793)</f>
        <v/>
      </c>
      <c r="B863" s="203" t="str">
        <f>IF(DATA!N793="","",DATA!N793)</f>
        <v/>
      </c>
      <c r="C863" s="203" t="str">
        <f>IF(DATA!O793="","",DATA!O793)</f>
        <v/>
      </c>
      <c r="D863" s="203" t="str">
        <f>IF(DATA!P793="","",DATA!P793)</f>
        <v/>
      </c>
      <c r="E863" s="13"/>
      <c r="F863" s="5" t="str">
        <f t="shared" si="88"/>
        <v/>
      </c>
      <c r="G863" s="1"/>
      <c r="H863" s="77">
        <f>IF(G863="",0,VLOOKUP(G863,REFCE!A:D,2,FALSE))</f>
        <v>0</v>
      </c>
      <c r="I863" s="77" t="str">
        <f t="shared" si="89"/>
        <v/>
      </c>
    </row>
    <row r="864" spans="1:9" x14ac:dyDescent="0.25">
      <c r="A864" s="203" t="str">
        <f>IF(DATA!M794="","",DATA!M794)</f>
        <v/>
      </c>
      <c r="B864" s="203" t="str">
        <f>IF(DATA!N794="","",DATA!N794)</f>
        <v/>
      </c>
      <c r="C864" s="203" t="str">
        <f>IF(DATA!O794="","",DATA!O794)</f>
        <v/>
      </c>
      <c r="D864" s="203" t="str">
        <f>IF(DATA!P794="","",DATA!P794)</f>
        <v/>
      </c>
      <c r="E864" s="13"/>
      <c r="F864" s="5" t="str">
        <f t="shared" si="88"/>
        <v/>
      </c>
      <c r="G864" s="1"/>
      <c r="H864" s="77">
        <f>IF(G864="",0,VLOOKUP(G864,REFCE!A:D,2,FALSE))</f>
        <v>0</v>
      </c>
      <c r="I864" s="77" t="str">
        <f t="shared" si="89"/>
        <v/>
      </c>
    </row>
    <row r="865" spans="1:9" x14ac:dyDescent="0.25">
      <c r="A865" s="203" t="str">
        <f>IF(DATA!M795="","",DATA!M795)</f>
        <v/>
      </c>
      <c r="B865" s="203" t="str">
        <f>IF(DATA!N795="","",DATA!N795)</f>
        <v/>
      </c>
      <c r="C865" s="203" t="str">
        <f>IF(DATA!O795="","",DATA!O795)</f>
        <v/>
      </c>
      <c r="D865" s="203" t="str">
        <f>IF(DATA!P795="","",DATA!P795)</f>
        <v/>
      </c>
      <c r="E865" s="13"/>
      <c r="F865" s="5" t="str">
        <f t="shared" si="88"/>
        <v/>
      </c>
      <c r="G865" s="1"/>
      <c r="H865" s="77">
        <f>IF(G865="",0,VLOOKUP(G865,REFCE!A:D,2,FALSE))</f>
        <v>0</v>
      </c>
      <c r="I865" s="77" t="str">
        <f t="shared" si="89"/>
        <v/>
      </c>
    </row>
    <row r="866" spans="1:9" x14ac:dyDescent="0.25">
      <c r="A866" s="203" t="str">
        <f>IF(DATA!M796="","",DATA!M796)</f>
        <v/>
      </c>
      <c r="B866" s="203" t="str">
        <f>IF(DATA!N796="","",DATA!N796)</f>
        <v/>
      </c>
      <c r="C866" s="203" t="str">
        <f>IF(DATA!O796="","",DATA!O796)</f>
        <v/>
      </c>
      <c r="D866" s="203" t="str">
        <f>IF(DATA!P796="","",DATA!P796)</f>
        <v/>
      </c>
      <c r="E866" s="13"/>
      <c r="F866" s="5" t="str">
        <f t="shared" si="88"/>
        <v/>
      </c>
      <c r="G866" s="1"/>
      <c r="H866" s="77">
        <f>IF(G866="",0,VLOOKUP(G866,REFCE!A:D,2,FALSE))</f>
        <v>0</v>
      </c>
      <c r="I866" s="77" t="str">
        <f t="shared" si="89"/>
        <v/>
      </c>
    </row>
    <row r="867" spans="1:9" x14ac:dyDescent="0.25">
      <c r="A867" s="203" t="str">
        <f>IF(DATA!M797="","",DATA!M797)</f>
        <v/>
      </c>
      <c r="B867" s="203" t="str">
        <f>IF(DATA!N797="","",DATA!N797)</f>
        <v/>
      </c>
      <c r="C867" s="203" t="str">
        <f>IF(DATA!O797="","",DATA!O797)</f>
        <v/>
      </c>
      <c r="D867" s="203" t="str">
        <f>IF(DATA!P797="","",DATA!P797)</f>
        <v/>
      </c>
      <c r="E867" s="13"/>
      <c r="F867" s="5" t="str">
        <f t="shared" si="88"/>
        <v/>
      </c>
      <c r="G867" s="1"/>
      <c r="H867" s="77">
        <f>IF(G867="",0,VLOOKUP(G867,REFCE!A:D,2,FALSE))</f>
        <v>0</v>
      </c>
      <c r="I867" s="77" t="str">
        <f t="shared" si="89"/>
        <v/>
      </c>
    </row>
    <row r="868" spans="1:9" x14ac:dyDescent="0.25">
      <c r="A868" s="203" t="str">
        <f>IF(DATA!M798="","",DATA!M798)</f>
        <v/>
      </c>
      <c r="B868" s="203" t="str">
        <f>IF(DATA!N798="","",DATA!N798)</f>
        <v/>
      </c>
      <c r="C868" s="203" t="str">
        <f>IF(DATA!O798="","",DATA!O798)</f>
        <v/>
      </c>
      <c r="D868" s="203" t="str">
        <f>IF(DATA!P798="","",DATA!P798)</f>
        <v/>
      </c>
      <c r="E868" s="13"/>
      <c r="F868" s="5" t="str">
        <f t="shared" si="88"/>
        <v/>
      </c>
      <c r="G868" s="1"/>
      <c r="H868" s="77">
        <f>IF(G868="",0,VLOOKUP(G868,REFCE!A:D,2,FALSE))</f>
        <v>0</v>
      </c>
      <c r="I868" s="77" t="str">
        <f t="shared" si="89"/>
        <v/>
      </c>
    </row>
    <row r="869" spans="1:9" x14ac:dyDescent="0.25">
      <c r="A869" s="203" t="str">
        <f>IF(DATA!M799="","",DATA!M799)</f>
        <v/>
      </c>
      <c r="B869" s="203" t="str">
        <f>IF(DATA!N799="","",DATA!N799)</f>
        <v/>
      </c>
      <c r="C869" s="203" t="str">
        <f>IF(DATA!O799="","",DATA!O799)</f>
        <v/>
      </c>
      <c r="D869" s="203" t="str">
        <f>IF(DATA!P799="","",DATA!P799)</f>
        <v/>
      </c>
      <c r="E869" s="13"/>
      <c r="F869" s="5" t="str">
        <f t="shared" si="88"/>
        <v/>
      </c>
      <c r="G869" s="1"/>
      <c r="H869" s="77">
        <f>IF(G869="",0,VLOOKUP(G869,REFCE!A:D,2,FALSE))</f>
        <v>0</v>
      </c>
      <c r="I869" s="77" t="str">
        <f t="shared" si="89"/>
        <v/>
      </c>
    </row>
    <row r="870" spans="1:9" x14ac:dyDescent="0.25">
      <c r="A870" s="203" t="str">
        <f>IF(DATA!M800="","",DATA!M800)</f>
        <v/>
      </c>
      <c r="B870" s="203" t="str">
        <f>IF(DATA!N800="","",DATA!N800)</f>
        <v/>
      </c>
      <c r="C870" s="203" t="str">
        <f>IF(DATA!O800="","",DATA!O800)</f>
        <v/>
      </c>
      <c r="D870" s="203" t="str">
        <f>IF(DATA!P800="","",DATA!P800)</f>
        <v/>
      </c>
      <c r="E870" s="13"/>
      <c r="F870" s="5" t="str">
        <f t="shared" si="88"/>
        <v/>
      </c>
      <c r="G870" s="1"/>
      <c r="H870" s="77">
        <f>IF(G870="",0,VLOOKUP(G870,REFCE!A:D,2,FALSE))</f>
        <v>0</v>
      </c>
      <c r="I870" s="77" t="str">
        <f t="shared" si="89"/>
        <v/>
      </c>
    </row>
    <row r="871" spans="1:9" x14ac:dyDescent="0.25">
      <c r="A871" s="203" t="str">
        <f>IF(DATA!M801="","",DATA!M801)</f>
        <v/>
      </c>
      <c r="B871" s="203" t="str">
        <f>IF(DATA!N801="","",DATA!N801)</f>
        <v/>
      </c>
      <c r="C871" s="203" t="str">
        <f>IF(DATA!O801="","",DATA!O801)</f>
        <v/>
      </c>
      <c r="D871" s="203" t="str">
        <f>IF(DATA!P801="","",DATA!P801)</f>
        <v/>
      </c>
      <c r="E871" s="13"/>
      <c r="F871" s="5" t="str">
        <f t="shared" si="88"/>
        <v/>
      </c>
      <c r="G871" s="1"/>
      <c r="H871" s="77">
        <f>IF(G871="",0,VLOOKUP(G871,REFCE!A:D,2,FALSE))</f>
        <v>0</v>
      </c>
      <c r="I871" s="77" t="str">
        <f t="shared" si="89"/>
        <v/>
      </c>
    </row>
    <row r="872" spans="1:9" x14ac:dyDescent="0.25">
      <c r="A872" s="203" t="str">
        <f>IF(DATA!M802="","",DATA!M802)</f>
        <v/>
      </c>
      <c r="B872" s="203" t="str">
        <f>IF(DATA!N802="","",DATA!N802)</f>
        <v/>
      </c>
      <c r="C872" s="203" t="str">
        <f>IF(DATA!O802="","",DATA!O802)</f>
        <v/>
      </c>
      <c r="D872" s="203" t="str">
        <f>IF(DATA!P802="","",DATA!P802)</f>
        <v/>
      </c>
      <c r="E872" s="13"/>
      <c r="F872" s="5" t="str">
        <f t="shared" si="88"/>
        <v/>
      </c>
      <c r="G872" s="1"/>
      <c r="H872" s="77">
        <f>IF(G872="",0,VLOOKUP(G872,REFCE!A:D,2,FALSE))</f>
        <v>0</v>
      </c>
      <c r="I872" s="77" t="str">
        <f t="shared" si="89"/>
        <v/>
      </c>
    </row>
    <row r="873" spans="1:9" x14ac:dyDescent="0.25">
      <c r="A873" s="203" t="str">
        <f>IF(DATA!M803="","",DATA!M803)</f>
        <v/>
      </c>
      <c r="B873" s="203" t="str">
        <f>IF(DATA!N803="","",DATA!N803)</f>
        <v/>
      </c>
      <c r="C873" s="203" t="str">
        <f>IF(DATA!O803="","",DATA!O803)</f>
        <v/>
      </c>
      <c r="D873" s="203" t="str">
        <f>IF(DATA!P803="","",DATA!P803)</f>
        <v/>
      </c>
      <c r="E873" s="13"/>
      <c r="F873" s="5" t="str">
        <f t="shared" si="88"/>
        <v/>
      </c>
      <c r="G873" s="1"/>
      <c r="H873" s="77">
        <f>IF(G873="",0,VLOOKUP(G873,REFCE!A:D,2,FALSE))</f>
        <v>0</v>
      </c>
      <c r="I873" s="77" t="str">
        <f t="shared" si="89"/>
        <v/>
      </c>
    </row>
    <row r="874" spans="1:9" x14ac:dyDescent="0.25">
      <c r="A874" s="203" t="str">
        <f>IF(DATA!M804="","",DATA!M804)</f>
        <v/>
      </c>
      <c r="B874" s="203" t="str">
        <f>IF(DATA!N804="","",DATA!N804)</f>
        <v/>
      </c>
      <c r="C874" s="203" t="str">
        <f>IF(DATA!O804="","",DATA!O804)</f>
        <v/>
      </c>
      <c r="D874" s="203" t="str">
        <f>IF(DATA!P804="","",DATA!P804)</f>
        <v/>
      </c>
      <c r="E874" s="13"/>
      <c r="F874" s="5" t="str">
        <f t="shared" si="88"/>
        <v/>
      </c>
      <c r="G874" s="1"/>
      <c r="H874" s="77">
        <f>IF(G874="",0,VLOOKUP(G874,REFCE!A:D,2,FALSE))</f>
        <v>0</v>
      </c>
      <c r="I874" s="77" t="str">
        <f t="shared" si="89"/>
        <v/>
      </c>
    </row>
    <row r="875" spans="1:9" x14ac:dyDescent="0.25">
      <c r="A875" s="203" t="str">
        <f>IF(DATA!M805="","",DATA!M805)</f>
        <v/>
      </c>
      <c r="B875" s="203" t="str">
        <f>IF(DATA!N805="","",DATA!N805)</f>
        <v/>
      </c>
      <c r="C875" s="203" t="str">
        <f>IF(DATA!O805="","",DATA!O805)</f>
        <v/>
      </c>
      <c r="D875" s="203" t="str">
        <f>IF(DATA!P805="","",DATA!P805)</f>
        <v/>
      </c>
      <c r="E875" s="13"/>
      <c r="F875" s="5" t="str">
        <f t="shared" si="88"/>
        <v/>
      </c>
      <c r="G875" s="1"/>
      <c r="H875" s="77">
        <f>IF(G875="",0,VLOOKUP(G875,REFCE!A:D,2,FALSE))</f>
        <v>0</v>
      </c>
      <c r="I875" s="77" t="str">
        <f t="shared" si="89"/>
        <v/>
      </c>
    </row>
    <row r="876" spans="1:9" x14ac:dyDescent="0.25">
      <c r="A876" s="203" t="str">
        <f>IF(DATA!M806="","",DATA!M806)</f>
        <v/>
      </c>
      <c r="B876" s="203" t="str">
        <f>IF(DATA!N806="","",DATA!N806)</f>
        <v/>
      </c>
      <c r="C876" s="203" t="str">
        <f>IF(DATA!O806="","",DATA!O806)</f>
        <v/>
      </c>
      <c r="D876" s="203" t="str">
        <f>IF(DATA!P806="","",DATA!P806)</f>
        <v/>
      </c>
      <c r="E876" s="13"/>
      <c r="F876" s="5" t="str">
        <f t="shared" si="88"/>
        <v/>
      </c>
      <c r="G876" s="1"/>
      <c r="H876" s="77">
        <f>IF(G876="",0,VLOOKUP(G876,REFCE!A:D,2,FALSE))</f>
        <v>0</v>
      </c>
      <c r="I876" s="77" t="str">
        <f t="shared" si="89"/>
        <v/>
      </c>
    </row>
    <row r="877" spans="1:9" x14ac:dyDescent="0.25">
      <c r="A877" s="203" t="str">
        <f>IF(DATA!M807="","",DATA!M807)</f>
        <v/>
      </c>
      <c r="B877" s="203" t="str">
        <f>IF(DATA!N807="","",DATA!N807)</f>
        <v/>
      </c>
      <c r="C877" s="203" t="str">
        <f>IF(DATA!O807="","",DATA!O807)</f>
        <v/>
      </c>
      <c r="D877" s="203" t="str">
        <f>IF(DATA!P807="","",DATA!P807)</f>
        <v/>
      </c>
      <c r="E877" s="13"/>
      <c r="F877" s="5" t="str">
        <f t="shared" si="88"/>
        <v/>
      </c>
      <c r="G877" s="1"/>
      <c r="H877" s="77">
        <f>IF(G877="",0,VLOOKUP(G877,REFCE!A:D,2,FALSE))</f>
        <v>0</v>
      </c>
      <c r="I877" s="77" t="str">
        <f t="shared" si="89"/>
        <v/>
      </c>
    </row>
    <row r="878" spans="1:9" x14ac:dyDescent="0.25">
      <c r="A878" s="203" t="str">
        <f>IF(DATA!M808="","",DATA!M808)</f>
        <v/>
      </c>
      <c r="B878" s="203" t="str">
        <f>IF(DATA!N808="","",DATA!N808)</f>
        <v/>
      </c>
      <c r="C878" s="203" t="str">
        <f>IF(DATA!O808="","",DATA!O808)</f>
        <v/>
      </c>
      <c r="D878" s="203" t="str">
        <f>IF(DATA!P808="","",DATA!P808)</f>
        <v/>
      </c>
      <c r="E878" s="13"/>
      <c r="F878" s="5" t="str">
        <f t="shared" si="88"/>
        <v/>
      </c>
      <c r="G878" s="1"/>
      <c r="H878" s="77">
        <f>IF(G878="",0,VLOOKUP(G878,REFCE!A:D,2,FALSE))</f>
        <v>0</v>
      </c>
      <c r="I878" s="77" t="str">
        <f t="shared" si="89"/>
        <v/>
      </c>
    </row>
    <row r="879" spans="1:9" x14ac:dyDescent="0.25">
      <c r="A879" s="203" t="str">
        <f>IF(DATA!M809="","",DATA!M809)</f>
        <v/>
      </c>
      <c r="B879" s="203" t="str">
        <f>IF(DATA!N809="","",DATA!N809)</f>
        <v/>
      </c>
      <c r="C879" s="203" t="str">
        <f>IF(DATA!O809="","",DATA!O809)</f>
        <v/>
      </c>
      <c r="D879" s="203" t="str">
        <f>IF(DATA!P809="","",DATA!P809)</f>
        <v/>
      </c>
      <c r="E879" s="13"/>
      <c r="F879" s="5" t="str">
        <f t="shared" si="88"/>
        <v/>
      </c>
      <c r="G879" s="1"/>
      <c r="H879" s="77">
        <f>IF(G879="",0,VLOOKUP(G879,REFCE!A:D,2,FALSE))</f>
        <v>0</v>
      </c>
      <c r="I879" s="77" t="str">
        <f t="shared" si="89"/>
        <v/>
      </c>
    </row>
    <row r="880" spans="1:9" x14ac:dyDescent="0.25">
      <c r="A880" s="203" t="str">
        <f>IF(DATA!M810="","",DATA!M810)</f>
        <v/>
      </c>
      <c r="B880" s="203" t="str">
        <f>IF(DATA!N810="","",DATA!N810)</f>
        <v/>
      </c>
      <c r="C880" s="203" t="str">
        <f>IF(DATA!O810="","",DATA!O810)</f>
        <v/>
      </c>
      <c r="D880" s="203" t="str">
        <f>IF(DATA!P810="","",DATA!P810)</f>
        <v/>
      </c>
      <c r="E880" s="13"/>
      <c r="F880" s="5" t="str">
        <f t="shared" si="88"/>
        <v/>
      </c>
      <c r="G880" s="1"/>
      <c r="H880" s="77">
        <f>IF(G880="",0,VLOOKUP(G880,REFCE!A:D,2,FALSE))</f>
        <v>0</v>
      </c>
      <c r="I880" s="77" t="str">
        <f t="shared" si="89"/>
        <v/>
      </c>
    </row>
    <row r="881" spans="1:9" x14ac:dyDescent="0.25">
      <c r="A881" s="203" t="str">
        <f>IF(DATA!M811="","",DATA!M811)</f>
        <v/>
      </c>
      <c r="B881" s="203" t="str">
        <f>IF(DATA!N811="","",DATA!N811)</f>
        <v/>
      </c>
      <c r="C881" s="203" t="str">
        <f>IF(DATA!O811="","",DATA!O811)</f>
        <v/>
      </c>
      <c r="D881" s="203" t="str">
        <f>IF(DATA!P811="","",DATA!P811)</f>
        <v/>
      </c>
      <c r="E881" s="13"/>
      <c r="F881" s="5" t="str">
        <f t="shared" si="88"/>
        <v/>
      </c>
      <c r="G881" s="1"/>
      <c r="H881" s="77">
        <f>IF(G881="",0,VLOOKUP(G881,REFCE!A:D,2,FALSE))</f>
        <v>0</v>
      </c>
      <c r="I881" s="77" t="str">
        <f t="shared" si="89"/>
        <v/>
      </c>
    </row>
    <row r="882" spans="1:9" x14ac:dyDescent="0.25">
      <c r="A882" s="203" t="str">
        <f>IF(DATA!M812="","",DATA!M812)</f>
        <v/>
      </c>
      <c r="B882" s="203" t="str">
        <f>IF(DATA!N812="","",DATA!N812)</f>
        <v/>
      </c>
      <c r="C882" s="203" t="str">
        <f>IF(DATA!O812="","",DATA!O812)</f>
        <v/>
      </c>
      <c r="D882" s="203" t="str">
        <f>IF(DATA!P812="","",DATA!P812)</f>
        <v/>
      </c>
      <c r="E882" s="13"/>
      <c r="F882" s="5" t="str">
        <f t="shared" si="88"/>
        <v/>
      </c>
      <c r="G882" s="1"/>
      <c r="H882" s="77">
        <f>IF(G882="",0,VLOOKUP(G882,REFCE!A:D,2,FALSE))</f>
        <v>0</v>
      </c>
      <c r="I882" s="77" t="str">
        <f t="shared" si="89"/>
        <v/>
      </c>
    </row>
    <row r="883" spans="1:9" x14ac:dyDescent="0.25">
      <c r="A883" s="203" t="str">
        <f>IF(DATA!M813="","",DATA!M813)</f>
        <v/>
      </c>
      <c r="B883" s="203" t="str">
        <f>IF(DATA!N813="","",DATA!N813)</f>
        <v/>
      </c>
      <c r="C883" s="203" t="str">
        <f>IF(DATA!O813="","",DATA!O813)</f>
        <v/>
      </c>
      <c r="D883" s="203" t="str">
        <f>IF(DATA!P813="","",DATA!P813)</f>
        <v/>
      </c>
      <c r="E883" s="13"/>
      <c r="F883" s="5" t="str">
        <f t="shared" si="88"/>
        <v/>
      </c>
      <c r="G883" s="1"/>
      <c r="H883" s="77">
        <f>IF(G883="",0,VLOOKUP(G883,REFCE!A:D,2,FALSE))</f>
        <v>0</v>
      </c>
      <c r="I883" s="77" t="str">
        <f t="shared" si="89"/>
        <v/>
      </c>
    </row>
    <row r="884" spans="1:9" x14ac:dyDescent="0.25">
      <c r="A884" s="203" t="str">
        <f>IF(DATA!M814="","",DATA!M814)</f>
        <v/>
      </c>
      <c r="B884" s="203" t="str">
        <f>IF(DATA!N814="","",DATA!N814)</f>
        <v/>
      </c>
      <c r="C884" s="203" t="str">
        <f>IF(DATA!O814="","",DATA!O814)</f>
        <v/>
      </c>
      <c r="D884" s="203" t="str">
        <f>IF(DATA!P814="","",DATA!P814)</f>
        <v/>
      </c>
      <c r="E884" s="13"/>
      <c r="F884" s="5" t="str">
        <f t="shared" si="88"/>
        <v/>
      </c>
      <c r="G884" s="1"/>
      <c r="H884" s="77">
        <f>IF(G884="",0,VLOOKUP(G884,REFCE!A:D,2,FALSE))</f>
        <v>0</v>
      </c>
      <c r="I884" s="77" t="str">
        <f t="shared" si="89"/>
        <v/>
      </c>
    </row>
    <row r="885" spans="1:9" x14ac:dyDescent="0.25">
      <c r="A885" s="203" t="str">
        <f>IF(DATA!M815="","",DATA!M815)</f>
        <v/>
      </c>
      <c r="B885" s="203" t="str">
        <f>IF(DATA!N815="","",DATA!N815)</f>
        <v/>
      </c>
      <c r="C885" s="203" t="str">
        <f>IF(DATA!O815="","",DATA!O815)</f>
        <v/>
      </c>
      <c r="D885" s="203" t="str">
        <f>IF(DATA!P815="","",DATA!P815)</f>
        <v/>
      </c>
      <c r="E885" s="13"/>
      <c r="F885" s="5" t="str">
        <f t="shared" si="88"/>
        <v/>
      </c>
      <c r="G885" s="1"/>
      <c r="H885" s="77">
        <f>IF(G885="",0,VLOOKUP(G885,REFCE!A:D,2,FALSE))</f>
        <v>0</v>
      </c>
      <c r="I885" s="77" t="str">
        <f t="shared" si="89"/>
        <v/>
      </c>
    </row>
    <row r="886" spans="1:9" x14ac:dyDescent="0.25">
      <c r="A886" s="203" t="str">
        <f>IF(DATA!M816="","",DATA!M816)</f>
        <v/>
      </c>
      <c r="B886" s="203" t="str">
        <f>IF(DATA!N816="","",DATA!N816)</f>
        <v/>
      </c>
      <c r="C886" s="203" t="str">
        <f>IF(DATA!O816="","",DATA!O816)</f>
        <v/>
      </c>
      <c r="D886" s="203" t="str">
        <f>IF(DATA!P816="","",DATA!P816)</f>
        <v/>
      </c>
      <c r="E886" s="13"/>
      <c r="F886" s="5" t="str">
        <f t="shared" si="88"/>
        <v/>
      </c>
      <c r="G886" s="1"/>
      <c r="H886" s="77">
        <f>IF(G886="",0,VLOOKUP(G886,REFCE!A:D,2,FALSE))</f>
        <v>0</v>
      </c>
      <c r="I886" s="77" t="str">
        <f t="shared" si="89"/>
        <v/>
      </c>
    </row>
    <row r="887" spans="1:9" x14ac:dyDescent="0.25">
      <c r="A887" s="203" t="str">
        <f>IF(DATA!M817="","",DATA!M817)</f>
        <v/>
      </c>
      <c r="B887" s="203" t="str">
        <f>IF(DATA!N817="","",DATA!N817)</f>
        <v/>
      </c>
      <c r="C887" s="203" t="str">
        <f>IF(DATA!O817="","",DATA!O817)</f>
        <v/>
      </c>
      <c r="D887" s="203" t="str">
        <f>IF(DATA!P817="","",DATA!P817)</f>
        <v/>
      </c>
      <c r="E887" s="13"/>
      <c r="F887" s="5" t="str">
        <f t="shared" si="88"/>
        <v/>
      </c>
      <c r="G887" s="1"/>
      <c r="H887" s="77">
        <f>IF(G887="",0,VLOOKUP(G887,REFCE!A:D,2,FALSE))</f>
        <v>0</v>
      </c>
      <c r="I887" s="77" t="str">
        <f t="shared" si="89"/>
        <v/>
      </c>
    </row>
    <row r="888" spans="1:9" x14ac:dyDescent="0.25">
      <c r="A888" s="203" t="str">
        <f>IF(DATA!M818="","",DATA!M818)</f>
        <v/>
      </c>
      <c r="B888" s="203" t="str">
        <f>IF(DATA!N818="","",DATA!N818)</f>
        <v/>
      </c>
      <c r="C888" s="203" t="str">
        <f>IF(DATA!O818="","",DATA!O818)</f>
        <v/>
      </c>
      <c r="D888" s="203" t="str">
        <f>IF(DATA!P818="","",DATA!P818)</f>
        <v/>
      </c>
      <c r="E888" s="13"/>
      <c r="F888" s="5" t="str">
        <f t="shared" si="88"/>
        <v/>
      </c>
      <c r="G888" s="1"/>
      <c r="H888" s="77">
        <f>IF(G888="",0,VLOOKUP(G888,REFCE!A:D,2,FALSE))</f>
        <v>0</v>
      </c>
      <c r="I888" s="77" t="str">
        <f t="shared" si="89"/>
        <v/>
      </c>
    </row>
    <row r="889" spans="1:9" x14ac:dyDescent="0.25">
      <c r="A889" s="203" t="str">
        <f>IF(DATA!M819="","",DATA!M819)</f>
        <v/>
      </c>
      <c r="B889" s="203" t="str">
        <f>IF(DATA!N819="","",DATA!N819)</f>
        <v/>
      </c>
      <c r="C889" s="203" t="str">
        <f>IF(DATA!O819="","",DATA!O819)</f>
        <v/>
      </c>
      <c r="D889" s="203" t="str">
        <f>IF(DATA!P819="","",DATA!P819)</f>
        <v/>
      </c>
      <c r="E889" s="13"/>
      <c r="F889" s="5" t="str">
        <f t="shared" si="88"/>
        <v/>
      </c>
      <c r="G889" s="1"/>
      <c r="H889" s="77">
        <f>IF(G889="",0,VLOOKUP(G889,REFCE!A:D,2,FALSE))</f>
        <v>0</v>
      </c>
      <c r="I889" s="77" t="str">
        <f t="shared" si="89"/>
        <v/>
      </c>
    </row>
    <row r="890" spans="1:9" x14ac:dyDescent="0.25">
      <c r="A890" s="203" t="str">
        <f>IF(DATA!M820="","",DATA!M820)</f>
        <v/>
      </c>
      <c r="B890" s="203" t="str">
        <f>IF(DATA!N820="","",DATA!N820)</f>
        <v/>
      </c>
      <c r="C890" s="203" t="str">
        <f>IF(DATA!O820="","",DATA!O820)</f>
        <v/>
      </c>
      <c r="D890" s="203" t="str">
        <f>IF(DATA!P820="","",DATA!P820)</f>
        <v/>
      </c>
      <c r="E890" s="13"/>
      <c r="F890" s="5" t="str">
        <f t="shared" si="88"/>
        <v/>
      </c>
      <c r="G890" s="1"/>
      <c r="H890" s="77">
        <f>IF(G890="",0,VLOOKUP(G890,REFCE!A:D,2,FALSE))</f>
        <v>0</v>
      </c>
      <c r="I890" s="77" t="str">
        <f t="shared" si="89"/>
        <v/>
      </c>
    </row>
    <row r="891" spans="1:9" x14ac:dyDescent="0.25">
      <c r="A891" s="203" t="str">
        <f>IF(DATA!M821="","",DATA!M821)</f>
        <v/>
      </c>
      <c r="B891" s="203" t="str">
        <f>IF(DATA!N821="","",DATA!N821)</f>
        <v/>
      </c>
      <c r="C891" s="203" t="str">
        <f>IF(DATA!O821="","",DATA!O821)</f>
        <v/>
      </c>
      <c r="D891" s="203" t="str">
        <f>IF(DATA!P821="","",DATA!P821)</f>
        <v/>
      </c>
      <c r="E891" s="13"/>
      <c r="F891" s="5" t="str">
        <f t="shared" si="88"/>
        <v/>
      </c>
      <c r="G891" s="1"/>
      <c r="H891" s="77">
        <f>IF(G891="",0,VLOOKUP(G891,REFCE!A:D,2,FALSE))</f>
        <v>0</v>
      </c>
      <c r="I891" s="77" t="str">
        <f t="shared" si="89"/>
        <v/>
      </c>
    </row>
    <row r="892" spans="1:9" x14ac:dyDescent="0.25">
      <c r="A892" s="203" t="str">
        <f>IF(DATA!M822="","",DATA!M822)</f>
        <v/>
      </c>
      <c r="B892" s="203" t="str">
        <f>IF(DATA!N822="","",DATA!N822)</f>
        <v/>
      </c>
      <c r="C892" s="203" t="str">
        <f>IF(DATA!O822="","",DATA!O822)</f>
        <v/>
      </c>
      <c r="D892" s="203" t="str">
        <f>IF(DATA!P822="","",DATA!P822)</f>
        <v/>
      </c>
      <c r="E892" s="13"/>
      <c r="F892" s="5" t="str">
        <f t="shared" si="88"/>
        <v/>
      </c>
      <c r="G892" s="1"/>
      <c r="H892" s="77">
        <f>IF(G892="",0,VLOOKUP(G892,REFCE!A:D,2,FALSE))</f>
        <v>0</v>
      </c>
      <c r="I892" s="77" t="str">
        <f t="shared" si="89"/>
        <v/>
      </c>
    </row>
    <row r="893" spans="1:9" x14ac:dyDescent="0.25">
      <c r="A893" s="203" t="str">
        <f>IF(DATA!M823="","",DATA!M823)</f>
        <v/>
      </c>
      <c r="B893" s="203" t="str">
        <f>IF(DATA!N823="","",DATA!N823)</f>
        <v/>
      </c>
      <c r="C893" s="203" t="str">
        <f>IF(DATA!O823="","",DATA!O823)</f>
        <v/>
      </c>
      <c r="D893" s="203" t="str">
        <f>IF(DATA!P823="","",DATA!P823)</f>
        <v/>
      </c>
      <c r="E893" s="13"/>
      <c r="F893" s="5" t="str">
        <f t="shared" si="88"/>
        <v/>
      </c>
      <c r="G893" s="1"/>
      <c r="H893" s="77">
        <f>IF(G893="",0,VLOOKUP(G893,REFCE!A:D,2,FALSE))</f>
        <v>0</v>
      </c>
      <c r="I893" s="77" t="str">
        <f t="shared" si="89"/>
        <v/>
      </c>
    </row>
    <row r="894" spans="1:9" x14ac:dyDescent="0.25">
      <c r="A894" s="203" t="str">
        <f>IF(DATA!M824="","",DATA!M824)</f>
        <v/>
      </c>
      <c r="B894" s="203" t="str">
        <f>IF(DATA!N824="","",DATA!N824)</f>
        <v/>
      </c>
      <c r="C894" s="203" t="str">
        <f>IF(DATA!O824="","",DATA!O824)</f>
        <v/>
      </c>
      <c r="D894" s="203" t="str">
        <f>IF(DATA!P824="","",DATA!P824)</f>
        <v/>
      </c>
      <c r="E894" s="13"/>
      <c r="F894" s="5" t="str">
        <f t="shared" si="88"/>
        <v/>
      </c>
      <c r="G894" s="1"/>
      <c r="H894" s="77">
        <f>IF(G894="",0,VLOOKUP(G894,REFCE!A:D,2,FALSE))</f>
        <v>0</v>
      </c>
      <c r="I894" s="77" t="str">
        <f t="shared" si="89"/>
        <v/>
      </c>
    </row>
    <row r="895" spans="1:9" x14ac:dyDescent="0.25">
      <c r="A895" s="203" t="str">
        <f>IF(DATA!M825="","",DATA!M825)</f>
        <v/>
      </c>
      <c r="B895" s="203" t="str">
        <f>IF(DATA!N825="","",DATA!N825)</f>
        <v/>
      </c>
      <c r="C895" s="203" t="str">
        <f>IF(DATA!O825="","",DATA!O825)</f>
        <v/>
      </c>
      <c r="D895" s="203" t="str">
        <f>IF(DATA!P825="","",DATA!P825)</f>
        <v/>
      </c>
      <c r="E895" s="13"/>
      <c r="F895" s="5" t="str">
        <f t="shared" si="88"/>
        <v/>
      </c>
      <c r="G895" s="1"/>
      <c r="H895" s="77">
        <f>IF(G895="",0,VLOOKUP(G895,REFCE!A:D,2,FALSE))</f>
        <v>0</v>
      </c>
      <c r="I895" s="77" t="str">
        <f t="shared" si="89"/>
        <v/>
      </c>
    </row>
    <row r="896" spans="1:9" x14ac:dyDescent="0.25">
      <c r="A896" s="203" t="str">
        <f>IF(DATA!M826="","",DATA!M826)</f>
        <v/>
      </c>
      <c r="B896" s="203" t="str">
        <f>IF(DATA!N826="","",DATA!N826)</f>
        <v/>
      </c>
      <c r="C896" s="203" t="str">
        <f>IF(DATA!O826="","",DATA!O826)</f>
        <v/>
      </c>
      <c r="D896" s="203" t="str">
        <f>IF(DATA!P826="","",DATA!P826)</f>
        <v/>
      </c>
      <c r="E896" s="13"/>
      <c r="F896" s="5" t="str">
        <f t="shared" si="88"/>
        <v/>
      </c>
      <c r="G896" s="1"/>
      <c r="H896" s="77">
        <f>IF(G896="",0,VLOOKUP(G896,REFCE!A:D,2,FALSE))</f>
        <v>0</v>
      </c>
      <c r="I896" s="77" t="str">
        <f t="shared" si="89"/>
        <v/>
      </c>
    </row>
    <row r="897" spans="1:9" x14ac:dyDescent="0.25">
      <c r="A897" s="203" t="str">
        <f>IF(DATA!M827="","",DATA!M827)</f>
        <v/>
      </c>
      <c r="B897" s="203" t="str">
        <f>IF(DATA!N827="","",DATA!N827)</f>
        <v/>
      </c>
      <c r="C897" s="203" t="str">
        <f>IF(DATA!O827="","",DATA!O827)</f>
        <v/>
      </c>
      <c r="D897" s="203" t="str">
        <f>IF(DATA!P827="","",DATA!P827)</f>
        <v/>
      </c>
      <c r="E897" s="13"/>
      <c r="F897" s="5" t="str">
        <f t="shared" si="88"/>
        <v/>
      </c>
      <c r="G897" s="1"/>
      <c r="H897" s="77">
        <f>IF(G897="",0,VLOOKUP(G897,REFCE!A:D,2,FALSE))</f>
        <v>0</v>
      </c>
      <c r="I897" s="77" t="str">
        <f t="shared" si="89"/>
        <v/>
      </c>
    </row>
    <row r="898" spans="1:9" x14ac:dyDescent="0.25">
      <c r="A898" s="203" t="str">
        <f>IF(DATA!M828="","",DATA!M828)</f>
        <v/>
      </c>
      <c r="B898" s="203" t="str">
        <f>IF(DATA!N828="","",DATA!N828)</f>
        <v/>
      </c>
      <c r="C898" s="203" t="str">
        <f>IF(DATA!O828="","",DATA!O828)</f>
        <v/>
      </c>
      <c r="D898" s="203" t="str">
        <f>IF(DATA!P828="","",DATA!P828)</f>
        <v/>
      </c>
      <c r="E898" s="13"/>
      <c r="F898" s="5" t="str">
        <f t="shared" si="88"/>
        <v/>
      </c>
      <c r="G898" s="1"/>
      <c r="H898" s="77">
        <f>IF(G898="",0,VLOOKUP(G898,REFCE!A:D,2,FALSE))</f>
        <v>0</v>
      </c>
      <c r="I898" s="77" t="str">
        <f t="shared" si="89"/>
        <v/>
      </c>
    </row>
    <row r="899" spans="1:9" x14ac:dyDescent="0.25">
      <c r="A899" s="203" t="str">
        <f>IF(DATA!M829="","",DATA!M829)</f>
        <v/>
      </c>
      <c r="B899" s="203" t="str">
        <f>IF(DATA!N829="","",DATA!N829)</f>
        <v/>
      </c>
      <c r="C899" s="203" t="str">
        <f>IF(DATA!O829="","",DATA!O829)</f>
        <v/>
      </c>
      <c r="D899" s="203" t="str">
        <f>IF(DATA!P829="","",DATA!P829)</f>
        <v/>
      </c>
      <c r="E899" s="13"/>
      <c r="F899" s="5" t="str">
        <f t="shared" si="88"/>
        <v/>
      </c>
      <c r="G899" s="1"/>
      <c r="H899" s="77">
        <f>IF(G899="",0,VLOOKUP(G899,REFCE!A:D,2,FALSE))</f>
        <v>0</v>
      </c>
      <c r="I899" s="77" t="str">
        <f t="shared" si="89"/>
        <v/>
      </c>
    </row>
    <row r="900" spans="1:9" x14ac:dyDescent="0.25">
      <c r="A900" s="203" t="str">
        <f>IF(DATA!M830="","",DATA!M830)</f>
        <v/>
      </c>
      <c r="B900" s="203" t="str">
        <f>IF(DATA!N830="","",DATA!N830)</f>
        <v/>
      </c>
      <c r="C900" s="203" t="str">
        <f>IF(DATA!O830="","",DATA!O830)</f>
        <v/>
      </c>
      <c r="D900" s="203" t="str">
        <f>IF(DATA!P830="","",DATA!P830)</f>
        <v/>
      </c>
      <c r="E900" s="13"/>
      <c r="F900" s="5" t="str">
        <f t="shared" si="88"/>
        <v/>
      </c>
      <c r="G900" s="1"/>
      <c r="H900" s="77">
        <f>IF(G900="",0,VLOOKUP(G900,REFCE!A:D,2,FALSE))</f>
        <v>0</v>
      </c>
      <c r="I900" s="77" t="str">
        <f t="shared" si="89"/>
        <v/>
      </c>
    </row>
    <row r="901" spans="1:9" x14ac:dyDescent="0.25">
      <c r="A901" s="203" t="str">
        <f>IF(DATA!M831="","",DATA!M831)</f>
        <v/>
      </c>
      <c r="B901" s="203" t="str">
        <f>IF(DATA!N831="","",DATA!N831)</f>
        <v/>
      </c>
      <c r="C901" s="203" t="str">
        <f>IF(DATA!O831="","",DATA!O831)</f>
        <v/>
      </c>
      <c r="D901" s="203" t="str">
        <f>IF(DATA!P831="","",DATA!P831)</f>
        <v/>
      </c>
      <c r="E901" s="13"/>
      <c r="F901" s="5" t="str">
        <f t="shared" si="88"/>
        <v/>
      </c>
      <c r="G901" s="1"/>
      <c r="H901" s="77">
        <f>IF(G901="",0,VLOOKUP(G901,REFCE!A:D,2,FALSE))</f>
        <v>0</v>
      </c>
      <c r="I901" s="77" t="str">
        <f t="shared" si="89"/>
        <v/>
      </c>
    </row>
    <row r="902" spans="1:9" x14ac:dyDescent="0.25">
      <c r="A902" s="203" t="str">
        <f>IF(DATA!M832="","",DATA!M832)</f>
        <v/>
      </c>
      <c r="B902" s="203" t="str">
        <f>IF(DATA!N832="","",DATA!N832)</f>
        <v/>
      </c>
      <c r="C902" s="203" t="str">
        <f>IF(DATA!O832="","",DATA!O832)</f>
        <v/>
      </c>
      <c r="D902" s="203" t="str">
        <f>IF(DATA!P832="","",DATA!P832)</f>
        <v/>
      </c>
      <c r="E902" s="13"/>
      <c r="F902" s="5" t="str">
        <f t="shared" si="88"/>
        <v/>
      </c>
      <c r="G902" s="1"/>
      <c r="H902" s="77">
        <f>IF(G902="",0,VLOOKUP(G902,REFCE!A:D,2,FALSE))</f>
        <v>0</v>
      </c>
      <c r="I902" s="77" t="str">
        <f t="shared" si="89"/>
        <v/>
      </c>
    </row>
    <row r="903" spans="1:9" x14ac:dyDescent="0.25">
      <c r="A903" s="203" t="str">
        <f>IF(DATA!M833="","",DATA!M833)</f>
        <v/>
      </c>
      <c r="B903" s="203" t="str">
        <f>IF(DATA!N833="","",DATA!N833)</f>
        <v/>
      </c>
      <c r="C903" s="203" t="str">
        <f>IF(DATA!O833="","",DATA!O833)</f>
        <v/>
      </c>
      <c r="D903" s="203" t="str">
        <f>IF(DATA!P833="","",DATA!P833)</f>
        <v/>
      </c>
      <c r="E903" s="13"/>
      <c r="F903" s="5" t="str">
        <f t="shared" si="88"/>
        <v/>
      </c>
      <c r="G903" s="1"/>
      <c r="H903" s="77">
        <f>IF(G903="",0,VLOOKUP(G903,REFCE!A:D,2,FALSE))</f>
        <v>0</v>
      </c>
      <c r="I903" s="77" t="str">
        <f t="shared" si="89"/>
        <v/>
      </c>
    </row>
    <row r="904" spans="1:9" x14ac:dyDescent="0.25">
      <c r="A904" s="203" t="str">
        <f>IF(DATA!M834="","",DATA!M834)</f>
        <v/>
      </c>
      <c r="B904" s="203" t="str">
        <f>IF(DATA!N834="","",DATA!N834)</f>
        <v/>
      </c>
      <c r="C904" s="203" t="str">
        <f>IF(DATA!O834="","",DATA!O834)</f>
        <v/>
      </c>
      <c r="D904" s="203" t="str">
        <f>IF(DATA!P834="","",DATA!P834)</f>
        <v/>
      </c>
      <c r="E904" s="13"/>
      <c r="F904" s="5" t="str">
        <f t="shared" si="88"/>
        <v/>
      </c>
      <c r="G904" s="1"/>
      <c r="H904" s="77">
        <f>IF(G904="",0,VLOOKUP(G904,REFCE!A:D,2,FALSE))</f>
        <v>0</v>
      </c>
      <c r="I904" s="77" t="str">
        <f t="shared" si="89"/>
        <v/>
      </c>
    </row>
    <row r="905" spans="1:9" x14ac:dyDescent="0.25">
      <c r="A905" s="203" t="str">
        <f>IF(DATA!M835="","",DATA!M835)</f>
        <v/>
      </c>
      <c r="B905" s="203" t="str">
        <f>IF(DATA!N835="","",DATA!N835)</f>
        <v/>
      </c>
      <c r="C905" s="203" t="str">
        <f>IF(DATA!O835="","",DATA!O835)</f>
        <v/>
      </c>
      <c r="D905" s="203" t="str">
        <f>IF(DATA!P835="","",DATA!P835)</f>
        <v/>
      </c>
      <c r="E905" s="13"/>
      <c r="F905" s="5" t="str">
        <f t="shared" si="88"/>
        <v/>
      </c>
      <c r="G905" s="1"/>
      <c r="H905" s="77">
        <f>IF(G905="",0,VLOOKUP(G905,REFCE!A:D,2,FALSE))</f>
        <v>0</v>
      </c>
      <c r="I905" s="77" t="str">
        <f t="shared" si="89"/>
        <v/>
      </c>
    </row>
    <row r="906" spans="1:9" x14ac:dyDescent="0.25">
      <c r="A906" s="203" t="str">
        <f>IF(DATA!M836="","",DATA!M836)</f>
        <v/>
      </c>
      <c r="B906" s="203" t="str">
        <f>IF(DATA!N836="","",DATA!N836)</f>
        <v/>
      </c>
      <c r="C906" s="203" t="str">
        <f>IF(DATA!O836="","",DATA!O836)</f>
        <v/>
      </c>
      <c r="D906" s="203" t="str">
        <f>IF(DATA!P836="","",DATA!P836)</f>
        <v/>
      </c>
      <c r="E906" s="13"/>
      <c r="F906" s="5" t="str">
        <f t="shared" si="88"/>
        <v/>
      </c>
      <c r="G906" s="1"/>
      <c r="H906" s="77">
        <f>IF(G906="",0,VLOOKUP(G906,REFCE!A:D,2,FALSE))</f>
        <v>0</v>
      </c>
      <c r="I906" s="77" t="str">
        <f t="shared" si="89"/>
        <v/>
      </c>
    </row>
    <row r="907" spans="1:9" x14ac:dyDescent="0.25">
      <c r="A907" s="203" t="str">
        <f>IF(DATA!M837="","",DATA!M837)</f>
        <v/>
      </c>
      <c r="B907" s="203" t="str">
        <f>IF(DATA!N837="","",DATA!N837)</f>
        <v/>
      </c>
      <c r="C907" s="203" t="str">
        <f>IF(DATA!O837="","",DATA!O837)</f>
        <v/>
      </c>
      <c r="D907" s="203" t="str">
        <f>IF(DATA!P837="","",DATA!P837)</f>
        <v/>
      </c>
      <c r="E907" s="13"/>
      <c r="F907" s="5" t="str">
        <f t="shared" si="88"/>
        <v/>
      </c>
      <c r="G907" s="1"/>
      <c r="H907" s="77">
        <f>IF(G907="",0,VLOOKUP(G907,REFCE!A:D,2,FALSE))</f>
        <v>0</v>
      </c>
      <c r="I907" s="77" t="str">
        <f t="shared" si="89"/>
        <v/>
      </c>
    </row>
    <row r="908" spans="1:9" x14ac:dyDescent="0.25">
      <c r="A908" s="203" t="str">
        <f>IF(DATA!M838="","",DATA!M838)</f>
        <v/>
      </c>
      <c r="B908" s="203" t="str">
        <f>IF(DATA!N838="","",DATA!N838)</f>
        <v/>
      </c>
      <c r="C908" s="203" t="str">
        <f>IF(DATA!O838="","",DATA!O838)</f>
        <v/>
      </c>
      <c r="D908" s="203" t="str">
        <f>IF(DATA!P838="","",DATA!P838)</f>
        <v/>
      </c>
      <c r="E908" s="13"/>
      <c r="F908" s="5" t="str">
        <f t="shared" si="88"/>
        <v/>
      </c>
      <c r="G908" s="1"/>
      <c r="H908" s="77">
        <f>IF(G908="",0,VLOOKUP(G908,REFCE!A:D,2,FALSE))</f>
        <v>0</v>
      </c>
      <c r="I908" s="77" t="str">
        <f t="shared" si="89"/>
        <v/>
      </c>
    </row>
    <row r="909" spans="1:9" x14ac:dyDescent="0.25">
      <c r="A909" s="203" t="str">
        <f>IF(DATA!M839="","",DATA!M839)</f>
        <v/>
      </c>
      <c r="B909" s="203" t="str">
        <f>IF(DATA!N839="","",DATA!N839)</f>
        <v/>
      </c>
      <c r="C909" s="203" t="str">
        <f>IF(DATA!O839="","",DATA!O839)</f>
        <v/>
      </c>
      <c r="D909" s="203" t="str">
        <f>IF(DATA!P839="","",DATA!P839)</f>
        <v/>
      </c>
      <c r="E909" s="13"/>
      <c r="F909" s="5" t="str">
        <f t="shared" si="88"/>
        <v/>
      </c>
      <c r="G909" s="1"/>
      <c r="H909" s="77">
        <f>IF(G909="",0,VLOOKUP(G909,REFCE!A:D,2,FALSE))</f>
        <v>0</v>
      </c>
      <c r="I909" s="77" t="str">
        <f t="shared" si="89"/>
        <v/>
      </c>
    </row>
    <row r="910" spans="1:9" x14ac:dyDescent="0.25">
      <c r="A910" s="203" t="str">
        <f>IF(DATA!M840="","",DATA!M840)</f>
        <v/>
      </c>
      <c r="B910" s="203" t="str">
        <f>IF(DATA!N840="","",DATA!N840)</f>
        <v/>
      </c>
      <c r="C910" s="203" t="str">
        <f>IF(DATA!O840="","",DATA!O840)</f>
        <v/>
      </c>
      <c r="D910" s="203" t="str">
        <f>IF(DATA!P840="","",DATA!P840)</f>
        <v/>
      </c>
      <c r="E910" s="13"/>
      <c r="F910" s="5" t="str">
        <f t="shared" ref="F910:F973" si="90">IF(D910="","",D910*E910)</f>
        <v/>
      </c>
      <c r="G910" s="1"/>
      <c r="H910" s="77">
        <f>IF(G910="",0,VLOOKUP(G910,REFCE!A:D,2,FALSE))</f>
        <v>0</v>
      </c>
      <c r="I910" s="77" t="str">
        <f t="shared" ref="I910:I973" si="91">IF(F910="","",F910*H910)</f>
        <v/>
      </c>
    </row>
    <row r="911" spans="1:9" x14ac:dyDescent="0.25">
      <c r="A911" s="203" t="str">
        <f>IF(DATA!M841="","",DATA!M841)</f>
        <v/>
      </c>
      <c r="B911" s="203" t="str">
        <f>IF(DATA!N841="","",DATA!N841)</f>
        <v/>
      </c>
      <c r="C911" s="203" t="str">
        <f>IF(DATA!O841="","",DATA!O841)</f>
        <v/>
      </c>
      <c r="D911" s="203" t="str">
        <f>IF(DATA!P841="","",DATA!P841)</f>
        <v/>
      </c>
      <c r="E911" s="13"/>
      <c r="F911" s="5" t="str">
        <f t="shared" si="90"/>
        <v/>
      </c>
      <c r="G911" s="1"/>
      <c r="H911" s="77">
        <f>IF(G911="",0,VLOOKUP(G911,REFCE!A:D,2,FALSE))</f>
        <v>0</v>
      </c>
      <c r="I911" s="77" t="str">
        <f t="shared" si="91"/>
        <v/>
      </c>
    </row>
    <row r="912" spans="1:9" x14ac:dyDescent="0.25">
      <c r="A912" s="203" t="str">
        <f>IF(DATA!M842="","",DATA!M842)</f>
        <v/>
      </c>
      <c r="B912" s="203" t="str">
        <f>IF(DATA!N842="","",DATA!N842)</f>
        <v/>
      </c>
      <c r="C912" s="203" t="str">
        <f>IF(DATA!O842="","",DATA!O842)</f>
        <v/>
      </c>
      <c r="D912" s="203" t="str">
        <f>IF(DATA!P842="","",DATA!P842)</f>
        <v/>
      </c>
      <c r="E912" s="13"/>
      <c r="F912" s="5" t="str">
        <f t="shared" si="90"/>
        <v/>
      </c>
      <c r="G912" s="1"/>
      <c r="H912" s="77">
        <f>IF(G912="",0,VLOOKUP(G912,REFCE!A:D,2,FALSE))</f>
        <v>0</v>
      </c>
      <c r="I912" s="77" t="str">
        <f t="shared" si="91"/>
        <v/>
      </c>
    </row>
    <row r="913" spans="1:9" x14ac:dyDescent="0.25">
      <c r="A913" s="203" t="str">
        <f>IF(DATA!M843="","",DATA!M843)</f>
        <v/>
      </c>
      <c r="B913" s="203" t="str">
        <f>IF(DATA!N843="","",DATA!N843)</f>
        <v/>
      </c>
      <c r="C913" s="203" t="str">
        <f>IF(DATA!O843="","",DATA!O843)</f>
        <v/>
      </c>
      <c r="D913" s="203" t="str">
        <f>IF(DATA!P843="","",DATA!P843)</f>
        <v/>
      </c>
      <c r="E913" s="13"/>
      <c r="F913" s="5" t="str">
        <f t="shared" si="90"/>
        <v/>
      </c>
      <c r="G913" s="1"/>
      <c r="H913" s="77">
        <f>IF(G913="",0,VLOOKUP(G913,REFCE!A:D,2,FALSE))</f>
        <v>0</v>
      </c>
      <c r="I913" s="77" t="str">
        <f t="shared" si="91"/>
        <v/>
      </c>
    </row>
    <row r="914" spans="1:9" x14ac:dyDescent="0.25">
      <c r="A914" s="203" t="str">
        <f>IF(DATA!M844="","",DATA!M844)</f>
        <v/>
      </c>
      <c r="B914" s="203" t="str">
        <f>IF(DATA!N844="","",DATA!N844)</f>
        <v/>
      </c>
      <c r="C914" s="203" t="str">
        <f>IF(DATA!O844="","",DATA!O844)</f>
        <v/>
      </c>
      <c r="D914" s="203" t="str">
        <f>IF(DATA!P844="","",DATA!P844)</f>
        <v/>
      </c>
      <c r="E914" s="13"/>
      <c r="F914" s="5" t="str">
        <f t="shared" si="90"/>
        <v/>
      </c>
      <c r="G914" s="1"/>
      <c r="H914" s="77">
        <f>IF(G914="",0,VLOOKUP(G914,REFCE!A:D,2,FALSE))</f>
        <v>0</v>
      </c>
      <c r="I914" s="77" t="str">
        <f t="shared" si="91"/>
        <v/>
      </c>
    </row>
    <row r="915" spans="1:9" x14ac:dyDescent="0.25">
      <c r="A915" s="203" t="str">
        <f>IF(DATA!M845="","",DATA!M845)</f>
        <v/>
      </c>
      <c r="B915" s="203" t="str">
        <f>IF(DATA!N845="","",DATA!N845)</f>
        <v/>
      </c>
      <c r="C915" s="203" t="str">
        <f>IF(DATA!O845="","",DATA!O845)</f>
        <v/>
      </c>
      <c r="D915" s="203" t="str">
        <f>IF(DATA!P845="","",DATA!P845)</f>
        <v/>
      </c>
      <c r="E915" s="13"/>
      <c r="F915" s="5" t="str">
        <f t="shared" si="90"/>
        <v/>
      </c>
      <c r="G915" s="1"/>
      <c r="H915" s="77">
        <f>IF(G915="",0,VLOOKUP(G915,REFCE!A:D,2,FALSE))</f>
        <v>0</v>
      </c>
      <c r="I915" s="77" t="str">
        <f t="shared" si="91"/>
        <v/>
      </c>
    </row>
    <row r="916" spans="1:9" x14ac:dyDescent="0.25">
      <c r="A916" s="203" t="str">
        <f>IF(DATA!M846="","",DATA!M846)</f>
        <v/>
      </c>
      <c r="B916" s="203" t="str">
        <f>IF(DATA!N846="","",DATA!N846)</f>
        <v/>
      </c>
      <c r="C916" s="203" t="str">
        <f>IF(DATA!O846="","",DATA!O846)</f>
        <v/>
      </c>
      <c r="D916" s="203" t="str">
        <f>IF(DATA!P846="","",DATA!P846)</f>
        <v/>
      </c>
      <c r="E916" s="13"/>
      <c r="F916" s="5" t="str">
        <f t="shared" si="90"/>
        <v/>
      </c>
      <c r="G916" s="1"/>
      <c r="H916" s="77">
        <f>IF(G916="",0,VLOOKUP(G916,REFCE!A:D,2,FALSE))</f>
        <v>0</v>
      </c>
      <c r="I916" s="77" t="str">
        <f t="shared" si="91"/>
        <v/>
      </c>
    </row>
    <row r="917" spans="1:9" x14ac:dyDescent="0.25">
      <c r="A917" s="203" t="str">
        <f>IF(DATA!M847="","",DATA!M847)</f>
        <v/>
      </c>
      <c r="B917" s="203" t="str">
        <f>IF(DATA!N847="","",DATA!N847)</f>
        <v/>
      </c>
      <c r="C917" s="203" t="str">
        <f>IF(DATA!O847="","",DATA!O847)</f>
        <v/>
      </c>
      <c r="D917" s="203" t="str">
        <f>IF(DATA!P847="","",DATA!P847)</f>
        <v/>
      </c>
      <c r="E917" s="13"/>
      <c r="F917" s="5" t="str">
        <f t="shared" si="90"/>
        <v/>
      </c>
      <c r="G917" s="1"/>
      <c r="H917" s="77">
        <f>IF(G917="",0,VLOOKUP(G917,REFCE!A:D,2,FALSE))</f>
        <v>0</v>
      </c>
      <c r="I917" s="77" t="str">
        <f t="shared" si="91"/>
        <v/>
      </c>
    </row>
    <row r="918" spans="1:9" x14ac:dyDescent="0.25">
      <c r="A918" s="203" t="str">
        <f>IF(DATA!M848="","",DATA!M848)</f>
        <v/>
      </c>
      <c r="B918" s="203" t="str">
        <f>IF(DATA!N848="","",DATA!N848)</f>
        <v/>
      </c>
      <c r="C918" s="203" t="str">
        <f>IF(DATA!O848="","",DATA!O848)</f>
        <v/>
      </c>
      <c r="D918" s="203" t="str">
        <f>IF(DATA!P848="","",DATA!P848)</f>
        <v/>
      </c>
      <c r="E918" s="13"/>
      <c r="F918" s="5" t="str">
        <f t="shared" si="90"/>
        <v/>
      </c>
      <c r="G918" s="1"/>
      <c r="H918" s="77">
        <f>IF(G918="",0,VLOOKUP(G918,REFCE!A:D,2,FALSE))</f>
        <v>0</v>
      </c>
      <c r="I918" s="77" t="str">
        <f t="shared" si="91"/>
        <v/>
      </c>
    </row>
    <row r="919" spans="1:9" x14ac:dyDescent="0.25">
      <c r="A919" s="203" t="str">
        <f>IF(DATA!M849="","",DATA!M849)</f>
        <v/>
      </c>
      <c r="B919" s="203" t="str">
        <f>IF(DATA!N849="","",DATA!N849)</f>
        <v/>
      </c>
      <c r="C919" s="203" t="str">
        <f>IF(DATA!O849="","",DATA!O849)</f>
        <v/>
      </c>
      <c r="D919" s="203" t="str">
        <f>IF(DATA!P849="","",DATA!P849)</f>
        <v/>
      </c>
      <c r="E919" s="13"/>
      <c r="F919" s="5" t="str">
        <f t="shared" si="90"/>
        <v/>
      </c>
      <c r="G919" s="1"/>
      <c r="H919" s="77">
        <f>IF(G919="",0,VLOOKUP(G919,REFCE!A:D,2,FALSE))</f>
        <v>0</v>
      </c>
      <c r="I919" s="77" t="str">
        <f t="shared" si="91"/>
        <v/>
      </c>
    </row>
    <row r="920" spans="1:9" x14ac:dyDescent="0.25">
      <c r="A920" s="203" t="str">
        <f>IF(DATA!M850="","",DATA!M850)</f>
        <v/>
      </c>
      <c r="B920" s="203" t="str">
        <f>IF(DATA!N850="","",DATA!N850)</f>
        <v/>
      </c>
      <c r="C920" s="203" t="str">
        <f>IF(DATA!O850="","",DATA!O850)</f>
        <v/>
      </c>
      <c r="D920" s="203" t="str">
        <f>IF(DATA!P850="","",DATA!P850)</f>
        <v/>
      </c>
      <c r="E920" s="13"/>
      <c r="F920" s="5" t="str">
        <f t="shared" si="90"/>
        <v/>
      </c>
      <c r="G920" s="1"/>
      <c r="H920" s="77">
        <f>IF(G920="",0,VLOOKUP(G920,REFCE!A:D,2,FALSE))</f>
        <v>0</v>
      </c>
      <c r="I920" s="77" t="str">
        <f t="shared" si="91"/>
        <v/>
      </c>
    </row>
    <row r="921" spans="1:9" x14ac:dyDescent="0.25">
      <c r="A921" s="203" t="str">
        <f>IF(DATA!M851="","",DATA!M851)</f>
        <v/>
      </c>
      <c r="B921" s="203" t="str">
        <f>IF(DATA!N851="","",DATA!N851)</f>
        <v/>
      </c>
      <c r="C921" s="203" t="str">
        <f>IF(DATA!O851="","",DATA!O851)</f>
        <v/>
      </c>
      <c r="D921" s="203" t="str">
        <f>IF(DATA!P851="","",DATA!P851)</f>
        <v/>
      </c>
      <c r="E921" s="13"/>
      <c r="F921" s="5" t="str">
        <f t="shared" si="90"/>
        <v/>
      </c>
      <c r="G921" s="1"/>
      <c r="H921" s="77">
        <f>IF(G921="",0,VLOOKUP(G921,REFCE!A:D,2,FALSE))</f>
        <v>0</v>
      </c>
      <c r="I921" s="77" t="str">
        <f t="shared" si="91"/>
        <v/>
      </c>
    </row>
    <row r="922" spans="1:9" x14ac:dyDescent="0.25">
      <c r="A922" s="203" t="str">
        <f>IF(DATA!M852="","",DATA!M852)</f>
        <v/>
      </c>
      <c r="B922" s="203" t="str">
        <f>IF(DATA!N852="","",DATA!N852)</f>
        <v/>
      </c>
      <c r="C922" s="203" t="str">
        <f>IF(DATA!O852="","",DATA!O852)</f>
        <v/>
      </c>
      <c r="D922" s="203" t="str">
        <f>IF(DATA!P852="","",DATA!P852)</f>
        <v/>
      </c>
      <c r="E922" s="13"/>
      <c r="F922" s="5" t="str">
        <f t="shared" si="90"/>
        <v/>
      </c>
      <c r="G922" s="1"/>
      <c r="H922" s="77">
        <f>IF(G922="",0,VLOOKUP(G922,REFCE!A:D,2,FALSE))</f>
        <v>0</v>
      </c>
      <c r="I922" s="77" t="str">
        <f t="shared" si="91"/>
        <v/>
      </c>
    </row>
    <row r="923" spans="1:9" x14ac:dyDescent="0.25">
      <c r="A923" s="203" t="str">
        <f>IF(DATA!M853="","",DATA!M853)</f>
        <v/>
      </c>
      <c r="B923" s="203" t="str">
        <f>IF(DATA!N853="","",DATA!N853)</f>
        <v/>
      </c>
      <c r="C923" s="203" t="str">
        <f>IF(DATA!O853="","",DATA!O853)</f>
        <v/>
      </c>
      <c r="D923" s="203" t="str">
        <f>IF(DATA!P853="","",DATA!P853)</f>
        <v/>
      </c>
      <c r="E923" s="13"/>
      <c r="F923" s="5" t="str">
        <f t="shared" si="90"/>
        <v/>
      </c>
      <c r="G923" s="1"/>
      <c r="H923" s="77">
        <f>IF(G923="",0,VLOOKUP(G923,REFCE!A:D,2,FALSE))</f>
        <v>0</v>
      </c>
      <c r="I923" s="77" t="str">
        <f t="shared" si="91"/>
        <v/>
      </c>
    </row>
    <row r="924" spans="1:9" x14ac:dyDescent="0.25">
      <c r="A924" s="203" t="str">
        <f>IF(DATA!M854="","",DATA!M854)</f>
        <v/>
      </c>
      <c r="B924" s="203" t="str">
        <f>IF(DATA!N854="","",DATA!N854)</f>
        <v/>
      </c>
      <c r="C924" s="203" t="str">
        <f>IF(DATA!O854="","",DATA!O854)</f>
        <v/>
      </c>
      <c r="D924" s="203" t="str">
        <f>IF(DATA!P854="","",DATA!P854)</f>
        <v/>
      </c>
      <c r="E924" s="13"/>
      <c r="F924" s="5" t="str">
        <f t="shared" si="90"/>
        <v/>
      </c>
      <c r="G924" s="1"/>
      <c r="H924" s="77">
        <f>IF(G924="",0,VLOOKUP(G924,REFCE!A:D,2,FALSE))</f>
        <v>0</v>
      </c>
      <c r="I924" s="77" t="str">
        <f t="shared" si="91"/>
        <v/>
      </c>
    </row>
    <row r="925" spans="1:9" x14ac:dyDescent="0.25">
      <c r="A925" s="203" t="str">
        <f>IF(DATA!M855="","",DATA!M855)</f>
        <v/>
      </c>
      <c r="B925" s="203" t="str">
        <f>IF(DATA!N855="","",DATA!N855)</f>
        <v/>
      </c>
      <c r="C925" s="203" t="str">
        <f>IF(DATA!O855="","",DATA!O855)</f>
        <v/>
      </c>
      <c r="D925" s="203" t="str">
        <f>IF(DATA!P855="","",DATA!P855)</f>
        <v/>
      </c>
      <c r="E925" s="13"/>
      <c r="F925" s="5" t="str">
        <f t="shared" si="90"/>
        <v/>
      </c>
      <c r="G925" s="1"/>
      <c r="H925" s="77">
        <f>IF(G925="",0,VLOOKUP(G925,REFCE!A:D,2,FALSE))</f>
        <v>0</v>
      </c>
      <c r="I925" s="77" t="str">
        <f t="shared" si="91"/>
        <v/>
      </c>
    </row>
    <row r="926" spans="1:9" x14ac:dyDescent="0.25">
      <c r="A926" s="203" t="str">
        <f>IF(DATA!M856="","",DATA!M856)</f>
        <v/>
      </c>
      <c r="B926" s="203" t="str">
        <f>IF(DATA!N856="","",DATA!N856)</f>
        <v/>
      </c>
      <c r="C926" s="203" t="str">
        <f>IF(DATA!O856="","",DATA!O856)</f>
        <v/>
      </c>
      <c r="D926" s="203" t="str">
        <f>IF(DATA!P856="","",DATA!P856)</f>
        <v/>
      </c>
      <c r="E926" s="13"/>
      <c r="F926" s="5" t="str">
        <f t="shared" si="90"/>
        <v/>
      </c>
      <c r="G926" s="1"/>
      <c r="H926" s="77">
        <f>IF(G926="",0,VLOOKUP(G926,REFCE!A:D,2,FALSE))</f>
        <v>0</v>
      </c>
      <c r="I926" s="77" t="str">
        <f t="shared" si="91"/>
        <v/>
      </c>
    </row>
    <row r="927" spans="1:9" x14ac:dyDescent="0.25">
      <c r="A927" s="203" t="str">
        <f>IF(DATA!M857="","",DATA!M857)</f>
        <v/>
      </c>
      <c r="B927" s="203" t="str">
        <f>IF(DATA!N857="","",DATA!N857)</f>
        <v/>
      </c>
      <c r="C927" s="203" t="str">
        <f>IF(DATA!O857="","",DATA!O857)</f>
        <v/>
      </c>
      <c r="D927" s="203" t="str">
        <f>IF(DATA!P857="","",DATA!P857)</f>
        <v/>
      </c>
      <c r="E927" s="13"/>
      <c r="F927" s="5" t="str">
        <f t="shared" si="90"/>
        <v/>
      </c>
      <c r="G927" s="1"/>
      <c r="H927" s="77">
        <f>IF(G927="",0,VLOOKUP(G927,REFCE!A:D,2,FALSE))</f>
        <v>0</v>
      </c>
      <c r="I927" s="77" t="str">
        <f t="shared" si="91"/>
        <v/>
      </c>
    </row>
    <row r="928" spans="1:9" x14ac:dyDescent="0.25">
      <c r="A928" s="203" t="str">
        <f>IF(DATA!M858="","",DATA!M858)</f>
        <v/>
      </c>
      <c r="B928" s="203" t="str">
        <f>IF(DATA!N858="","",DATA!N858)</f>
        <v/>
      </c>
      <c r="C928" s="203" t="str">
        <f>IF(DATA!O858="","",DATA!O858)</f>
        <v/>
      </c>
      <c r="D928" s="203" t="str">
        <f>IF(DATA!P858="","",DATA!P858)</f>
        <v/>
      </c>
      <c r="E928" s="13"/>
      <c r="F928" s="5" t="str">
        <f t="shared" si="90"/>
        <v/>
      </c>
      <c r="G928" s="1"/>
      <c r="H928" s="77">
        <f>IF(G928="",0,VLOOKUP(G928,REFCE!A:D,2,FALSE))</f>
        <v>0</v>
      </c>
      <c r="I928" s="77" t="str">
        <f t="shared" si="91"/>
        <v/>
      </c>
    </row>
    <row r="929" spans="1:9" x14ac:dyDescent="0.25">
      <c r="A929" s="203" t="str">
        <f>IF(DATA!M859="","",DATA!M859)</f>
        <v/>
      </c>
      <c r="B929" s="203" t="str">
        <f>IF(DATA!N859="","",DATA!N859)</f>
        <v/>
      </c>
      <c r="C929" s="203" t="str">
        <f>IF(DATA!O859="","",DATA!O859)</f>
        <v/>
      </c>
      <c r="D929" s="203" t="str">
        <f>IF(DATA!P859="","",DATA!P859)</f>
        <v/>
      </c>
      <c r="E929" s="13"/>
      <c r="F929" s="5" t="str">
        <f t="shared" si="90"/>
        <v/>
      </c>
      <c r="G929" s="1"/>
      <c r="H929" s="77">
        <f>IF(G929="",0,VLOOKUP(G929,REFCE!A:D,2,FALSE))</f>
        <v>0</v>
      </c>
      <c r="I929" s="77" t="str">
        <f t="shared" si="91"/>
        <v/>
      </c>
    </row>
    <row r="930" spans="1:9" x14ac:dyDescent="0.25">
      <c r="A930" s="203" t="str">
        <f>IF(DATA!M860="","",DATA!M860)</f>
        <v/>
      </c>
      <c r="B930" s="203" t="str">
        <f>IF(DATA!N860="","",DATA!N860)</f>
        <v/>
      </c>
      <c r="C930" s="203" t="str">
        <f>IF(DATA!O860="","",DATA!O860)</f>
        <v/>
      </c>
      <c r="D930" s="203" t="str">
        <f>IF(DATA!P860="","",DATA!P860)</f>
        <v/>
      </c>
      <c r="E930" s="13"/>
      <c r="F930" s="5" t="str">
        <f t="shared" si="90"/>
        <v/>
      </c>
      <c r="G930" s="1"/>
      <c r="H930" s="77">
        <f>IF(G930="",0,VLOOKUP(G930,REFCE!A:D,2,FALSE))</f>
        <v>0</v>
      </c>
      <c r="I930" s="77" t="str">
        <f t="shared" si="91"/>
        <v/>
      </c>
    </row>
    <row r="931" spans="1:9" x14ac:dyDescent="0.25">
      <c r="A931" s="203" t="str">
        <f>IF(DATA!M861="","",DATA!M861)</f>
        <v/>
      </c>
      <c r="B931" s="203" t="str">
        <f>IF(DATA!N861="","",DATA!N861)</f>
        <v/>
      </c>
      <c r="C931" s="203" t="str">
        <f>IF(DATA!O861="","",DATA!O861)</f>
        <v/>
      </c>
      <c r="D931" s="203" t="str">
        <f>IF(DATA!P861="","",DATA!P861)</f>
        <v/>
      </c>
      <c r="E931" s="13"/>
      <c r="F931" s="5" t="str">
        <f t="shared" si="90"/>
        <v/>
      </c>
      <c r="G931" s="1"/>
      <c r="H931" s="77">
        <f>IF(G931="",0,VLOOKUP(G931,REFCE!A:D,2,FALSE))</f>
        <v>0</v>
      </c>
      <c r="I931" s="77" t="str">
        <f t="shared" si="91"/>
        <v/>
      </c>
    </row>
    <row r="932" spans="1:9" x14ac:dyDescent="0.25">
      <c r="A932" s="203" t="str">
        <f>IF(DATA!M862="","",DATA!M862)</f>
        <v/>
      </c>
      <c r="B932" s="203" t="str">
        <f>IF(DATA!N862="","",DATA!N862)</f>
        <v/>
      </c>
      <c r="C932" s="203" t="str">
        <f>IF(DATA!O862="","",DATA!O862)</f>
        <v/>
      </c>
      <c r="D932" s="203" t="str">
        <f>IF(DATA!P862="","",DATA!P862)</f>
        <v/>
      </c>
      <c r="E932" s="13"/>
      <c r="F932" s="5" t="str">
        <f t="shared" si="90"/>
        <v/>
      </c>
      <c r="G932" s="1"/>
      <c r="H932" s="77">
        <f>IF(G932="",0,VLOOKUP(G932,REFCE!A:D,2,FALSE))</f>
        <v>0</v>
      </c>
      <c r="I932" s="77" t="str">
        <f t="shared" si="91"/>
        <v/>
      </c>
    </row>
    <row r="933" spans="1:9" x14ac:dyDescent="0.25">
      <c r="A933" s="203" t="str">
        <f>IF(DATA!M863="","",DATA!M863)</f>
        <v/>
      </c>
      <c r="B933" s="203" t="str">
        <f>IF(DATA!N863="","",DATA!N863)</f>
        <v/>
      </c>
      <c r="C933" s="203" t="str">
        <f>IF(DATA!O863="","",DATA!O863)</f>
        <v/>
      </c>
      <c r="D933" s="203" t="str">
        <f>IF(DATA!P863="","",DATA!P863)</f>
        <v/>
      </c>
      <c r="E933" s="13"/>
      <c r="F933" s="5" t="str">
        <f t="shared" si="90"/>
        <v/>
      </c>
      <c r="G933" s="1"/>
      <c r="H933" s="77">
        <f>IF(G933="",0,VLOOKUP(G933,REFCE!A:D,2,FALSE))</f>
        <v>0</v>
      </c>
      <c r="I933" s="77" t="str">
        <f t="shared" si="91"/>
        <v/>
      </c>
    </row>
    <row r="934" spans="1:9" x14ac:dyDescent="0.25">
      <c r="A934" s="203" t="str">
        <f>IF(DATA!M864="","",DATA!M864)</f>
        <v/>
      </c>
      <c r="B934" s="203" t="str">
        <f>IF(DATA!N864="","",DATA!N864)</f>
        <v/>
      </c>
      <c r="C934" s="203" t="str">
        <f>IF(DATA!O864="","",DATA!O864)</f>
        <v/>
      </c>
      <c r="D934" s="203" t="str">
        <f>IF(DATA!P864="","",DATA!P864)</f>
        <v/>
      </c>
      <c r="E934" s="13"/>
      <c r="F934" s="5" t="str">
        <f t="shared" si="90"/>
        <v/>
      </c>
      <c r="G934" s="1"/>
      <c r="H934" s="77">
        <f>IF(G934="",0,VLOOKUP(G934,REFCE!A:D,2,FALSE))</f>
        <v>0</v>
      </c>
      <c r="I934" s="77" t="str">
        <f t="shared" si="91"/>
        <v/>
      </c>
    </row>
    <row r="935" spans="1:9" x14ac:dyDescent="0.25">
      <c r="A935" s="203" t="str">
        <f>IF(DATA!M865="","",DATA!M865)</f>
        <v/>
      </c>
      <c r="B935" s="203" t="str">
        <f>IF(DATA!N865="","",DATA!N865)</f>
        <v/>
      </c>
      <c r="C935" s="203" t="str">
        <f>IF(DATA!O865="","",DATA!O865)</f>
        <v/>
      </c>
      <c r="D935" s="203" t="str">
        <f>IF(DATA!P865="","",DATA!P865)</f>
        <v/>
      </c>
      <c r="E935" s="13"/>
      <c r="F935" s="5" t="str">
        <f t="shared" si="90"/>
        <v/>
      </c>
      <c r="G935" s="1"/>
      <c r="H935" s="77">
        <f>IF(G935="",0,VLOOKUP(G935,REFCE!A:D,2,FALSE))</f>
        <v>0</v>
      </c>
      <c r="I935" s="77" t="str">
        <f t="shared" si="91"/>
        <v/>
      </c>
    </row>
    <row r="936" spans="1:9" x14ac:dyDescent="0.25">
      <c r="A936" s="203" t="str">
        <f>IF(DATA!M866="","",DATA!M866)</f>
        <v/>
      </c>
      <c r="B936" s="203" t="str">
        <f>IF(DATA!N866="","",DATA!N866)</f>
        <v/>
      </c>
      <c r="C936" s="203" t="str">
        <f>IF(DATA!O866="","",DATA!O866)</f>
        <v/>
      </c>
      <c r="D936" s="203" t="str">
        <f>IF(DATA!P866="","",DATA!P866)</f>
        <v/>
      </c>
      <c r="E936" s="13"/>
      <c r="F936" s="5" t="str">
        <f t="shared" si="90"/>
        <v/>
      </c>
      <c r="G936" s="1"/>
      <c r="H936" s="77">
        <f>IF(G936="",0,VLOOKUP(G936,REFCE!A:D,2,FALSE))</f>
        <v>0</v>
      </c>
      <c r="I936" s="77" t="str">
        <f t="shared" si="91"/>
        <v/>
      </c>
    </row>
    <row r="937" spans="1:9" x14ac:dyDescent="0.25">
      <c r="A937" s="203" t="str">
        <f>IF(DATA!M867="","",DATA!M867)</f>
        <v/>
      </c>
      <c r="B937" s="203" t="str">
        <f>IF(DATA!N867="","",DATA!N867)</f>
        <v/>
      </c>
      <c r="C937" s="203" t="str">
        <f>IF(DATA!O867="","",DATA!O867)</f>
        <v/>
      </c>
      <c r="D937" s="203" t="str">
        <f>IF(DATA!P867="","",DATA!P867)</f>
        <v/>
      </c>
      <c r="E937" s="13"/>
      <c r="F937" s="5" t="str">
        <f t="shared" si="90"/>
        <v/>
      </c>
      <c r="G937" s="1"/>
      <c r="H937" s="77">
        <f>IF(G937="",0,VLOOKUP(G937,REFCE!A:D,2,FALSE))</f>
        <v>0</v>
      </c>
      <c r="I937" s="77" t="str">
        <f t="shared" si="91"/>
        <v/>
      </c>
    </row>
    <row r="938" spans="1:9" x14ac:dyDescent="0.25">
      <c r="A938" s="203" t="str">
        <f>IF(DATA!M868="","",DATA!M868)</f>
        <v/>
      </c>
      <c r="B938" s="203" t="str">
        <f>IF(DATA!N868="","",DATA!N868)</f>
        <v/>
      </c>
      <c r="C938" s="203" t="str">
        <f>IF(DATA!O868="","",DATA!O868)</f>
        <v/>
      </c>
      <c r="D938" s="203" t="str">
        <f>IF(DATA!P868="","",DATA!P868)</f>
        <v/>
      </c>
      <c r="E938" s="13"/>
      <c r="F938" s="5" t="str">
        <f t="shared" si="90"/>
        <v/>
      </c>
      <c r="G938" s="1"/>
      <c r="H938" s="77">
        <f>IF(G938="",0,VLOOKUP(G938,REFCE!A:D,2,FALSE))</f>
        <v>0</v>
      </c>
      <c r="I938" s="77" t="str">
        <f t="shared" si="91"/>
        <v/>
      </c>
    </row>
    <row r="939" spans="1:9" x14ac:dyDescent="0.25">
      <c r="A939" s="203" t="str">
        <f>IF(DATA!M869="","",DATA!M869)</f>
        <v/>
      </c>
      <c r="B939" s="203" t="str">
        <f>IF(DATA!N869="","",DATA!N869)</f>
        <v/>
      </c>
      <c r="C939" s="203" t="str">
        <f>IF(DATA!O869="","",DATA!O869)</f>
        <v/>
      </c>
      <c r="D939" s="203" t="str">
        <f>IF(DATA!P869="","",DATA!P869)</f>
        <v/>
      </c>
      <c r="E939" s="13"/>
      <c r="F939" s="5" t="str">
        <f t="shared" si="90"/>
        <v/>
      </c>
      <c r="G939" s="1"/>
      <c r="H939" s="77">
        <f>IF(G939="",0,VLOOKUP(G939,REFCE!A:D,2,FALSE))</f>
        <v>0</v>
      </c>
      <c r="I939" s="77" t="str">
        <f t="shared" si="91"/>
        <v/>
      </c>
    </row>
    <row r="940" spans="1:9" x14ac:dyDescent="0.25">
      <c r="A940" s="203" t="str">
        <f>IF(DATA!M870="","",DATA!M870)</f>
        <v/>
      </c>
      <c r="B940" s="203" t="str">
        <f>IF(DATA!N870="","",DATA!N870)</f>
        <v/>
      </c>
      <c r="C940" s="203" t="str">
        <f>IF(DATA!O870="","",DATA!O870)</f>
        <v/>
      </c>
      <c r="D940" s="203" t="str">
        <f>IF(DATA!P870="","",DATA!P870)</f>
        <v/>
      </c>
      <c r="E940" s="13"/>
      <c r="F940" s="5" t="str">
        <f t="shared" si="90"/>
        <v/>
      </c>
      <c r="G940" s="1"/>
      <c r="H940" s="77">
        <f>IF(G940="",0,VLOOKUP(G940,REFCE!A:D,2,FALSE))</f>
        <v>0</v>
      </c>
      <c r="I940" s="77" t="str">
        <f t="shared" si="91"/>
        <v/>
      </c>
    </row>
    <row r="941" spans="1:9" x14ac:dyDescent="0.25">
      <c r="A941" s="203" t="str">
        <f>IF(DATA!M871="","",DATA!M871)</f>
        <v/>
      </c>
      <c r="B941" s="203" t="str">
        <f>IF(DATA!N871="","",DATA!N871)</f>
        <v/>
      </c>
      <c r="C941" s="203" t="str">
        <f>IF(DATA!O871="","",DATA!O871)</f>
        <v/>
      </c>
      <c r="D941" s="203" t="str">
        <f>IF(DATA!P871="","",DATA!P871)</f>
        <v/>
      </c>
      <c r="E941" s="13"/>
      <c r="F941" s="5" t="str">
        <f t="shared" si="90"/>
        <v/>
      </c>
      <c r="G941" s="1"/>
      <c r="H941" s="77">
        <f>IF(G941="",0,VLOOKUP(G941,REFCE!A:D,2,FALSE))</f>
        <v>0</v>
      </c>
      <c r="I941" s="77" t="str">
        <f t="shared" si="91"/>
        <v/>
      </c>
    </row>
    <row r="942" spans="1:9" x14ac:dyDescent="0.25">
      <c r="A942" s="203" t="str">
        <f>IF(DATA!M872="","",DATA!M872)</f>
        <v/>
      </c>
      <c r="B942" s="203" t="str">
        <f>IF(DATA!N872="","",DATA!N872)</f>
        <v/>
      </c>
      <c r="C942" s="203" t="str">
        <f>IF(DATA!O872="","",DATA!O872)</f>
        <v/>
      </c>
      <c r="D942" s="203" t="str">
        <f>IF(DATA!P872="","",DATA!P872)</f>
        <v/>
      </c>
      <c r="E942" s="13"/>
      <c r="F942" s="5" t="str">
        <f t="shared" si="90"/>
        <v/>
      </c>
      <c r="G942" s="1"/>
      <c r="H942" s="77">
        <f>IF(G942="",0,VLOOKUP(G942,REFCE!A:D,2,FALSE))</f>
        <v>0</v>
      </c>
      <c r="I942" s="77" t="str">
        <f t="shared" si="91"/>
        <v/>
      </c>
    </row>
    <row r="943" spans="1:9" x14ac:dyDescent="0.25">
      <c r="A943" s="203" t="str">
        <f>IF(DATA!M873="","",DATA!M873)</f>
        <v/>
      </c>
      <c r="B943" s="203" t="str">
        <f>IF(DATA!N873="","",DATA!N873)</f>
        <v/>
      </c>
      <c r="C943" s="203" t="str">
        <f>IF(DATA!O873="","",DATA!O873)</f>
        <v/>
      </c>
      <c r="D943" s="203" t="str">
        <f>IF(DATA!P873="","",DATA!P873)</f>
        <v/>
      </c>
      <c r="E943" s="13"/>
      <c r="F943" s="5" t="str">
        <f t="shared" si="90"/>
        <v/>
      </c>
      <c r="G943" s="1"/>
      <c r="H943" s="77">
        <f>IF(G943="",0,VLOOKUP(G943,REFCE!A:D,2,FALSE))</f>
        <v>0</v>
      </c>
      <c r="I943" s="77" t="str">
        <f t="shared" si="91"/>
        <v/>
      </c>
    </row>
    <row r="944" spans="1:9" x14ac:dyDescent="0.25">
      <c r="A944" s="203" t="str">
        <f>IF(DATA!M874="","",DATA!M874)</f>
        <v/>
      </c>
      <c r="B944" s="203" t="str">
        <f>IF(DATA!N874="","",DATA!N874)</f>
        <v/>
      </c>
      <c r="C944" s="203" t="str">
        <f>IF(DATA!O874="","",DATA!O874)</f>
        <v/>
      </c>
      <c r="D944" s="203" t="str">
        <f>IF(DATA!P874="","",DATA!P874)</f>
        <v/>
      </c>
      <c r="E944" s="13"/>
      <c r="F944" s="5" t="str">
        <f t="shared" si="90"/>
        <v/>
      </c>
      <c r="G944" s="1"/>
      <c r="H944" s="77">
        <f>IF(G944="",0,VLOOKUP(G944,REFCE!A:D,2,FALSE))</f>
        <v>0</v>
      </c>
      <c r="I944" s="77" t="str">
        <f t="shared" si="91"/>
        <v/>
      </c>
    </row>
    <row r="945" spans="1:9" x14ac:dyDescent="0.25">
      <c r="A945" s="203" t="str">
        <f>IF(DATA!M875="","",DATA!M875)</f>
        <v/>
      </c>
      <c r="B945" s="203" t="str">
        <f>IF(DATA!N875="","",DATA!N875)</f>
        <v/>
      </c>
      <c r="C945" s="203" t="str">
        <f>IF(DATA!O875="","",DATA!O875)</f>
        <v/>
      </c>
      <c r="D945" s="203" t="str">
        <f>IF(DATA!P875="","",DATA!P875)</f>
        <v/>
      </c>
      <c r="E945" s="13"/>
      <c r="F945" s="5" t="str">
        <f t="shared" si="90"/>
        <v/>
      </c>
      <c r="G945" s="1"/>
      <c r="H945" s="77">
        <f>IF(G945="",0,VLOOKUP(G945,REFCE!A:D,2,FALSE))</f>
        <v>0</v>
      </c>
      <c r="I945" s="77" t="str">
        <f t="shared" si="91"/>
        <v/>
      </c>
    </row>
    <row r="946" spans="1:9" x14ac:dyDescent="0.25">
      <c r="A946" s="203" t="str">
        <f>IF(DATA!M876="","",DATA!M876)</f>
        <v/>
      </c>
      <c r="B946" s="203" t="str">
        <f>IF(DATA!N876="","",DATA!N876)</f>
        <v/>
      </c>
      <c r="C946" s="203" t="str">
        <f>IF(DATA!O876="","",DATA!O876)</f>
        <v/>
      </c>
      <c r="D946" s="203" t="str">
        <f>IF(DATA!P876="","",DATA!P876)</f>
        <v/>
      </c>
      <c r="E946" s="13"/>
      <c r="F946" s="5" t="str">
        <f t="shared" si="90"/>
        <v/>
      </c>
      <c r="G946" s="1"/>
      <c r="H946" s="77">
        <f>IF(G946="",0,VLOOKUP(G946,REFCE!A:D,2,FALSE))</f>
        <v>0</v>
      </c>
      <c r="I946" s="77" t="str">
        <f t="shared" si="91"/>
        <v/>
      </c>
    </row>
    <row r="947" spans="1:9" x14ac:dyDescent="0.25">
      <c r="A947" s="203" t="str">
        <f>IF(DATA!M877="","",DATA!M877)</f>
        <v/>
      </c>
      <c r="B947" s="203" t="str">
        <f>IF(DATA!N877="","",DATA!N877)</f>
        <v/>
      </c>
      <c r="C947" s="203" t="str">
        <f>IF(DATA!O877="","",DATA!O877)</f>
        <v/>
      </c>
      <c r="D947" s="203" t="str">
        <f>IF(DATA!P877="","",DATA!P877)</f>
        <v/>
      </c>
      <c r="E947" s="13"/>
      <c r="F947" s="5" t="str">
        <f t="shared" si="90"/>
        <v/>
      </c>
      <c r="G947" s="1"/>
      <c r="H947" s="77">
        <f>IF(G947="",0,VLOOKUP(G947,REFCE!A:D,2,FALSE))</f>
        <v>0</v>
      </c>
      <c r="I947" s="77" t="str">
        <f t="shared" si="91"/>
        <v/>
      </c>
    </row>
    <row r="948" spans="1:9" x14ac:dyDescent="0.25">
      <c r="A948" s="203" t="str">
        <f>IF(DATA!M878="","",DATA!M878)</f>
        <v/>
      </c>
      <c r="B948" s="203" t="str">
        <f>IF(DATA!N878="","",DATA!N878)</f>
        <v/>
      </c>
      <c r="C948" s="203" t="str">
        <f>IF(DATA!O878="","",DATA!O878)</f>
        <v/>
      </c>
      <c r="D948" s="203" t="str">
        <f>IF(DATA!P878="","",DATA!P878)</f>
        <v/>
      </c>
      <c r="E948" s="13"/>
      <c r="F948" s="5" t="str">
        <f t="shared" si="90"/>
        <v/>
      </c>
      <c r="G948" s="1"/>
      <c r="H948" s="77">
        <f>IF(G948="",0,VLOOKUP(G948,REFCE!A:D,2,FALSE))</f>
        <v>0</v>
      </c>
      <c r="I948" s="77" t="str">
        <f t="shared" si="91"/>
        <v/>
      </c>
    </row>
    <row r="949" spans="1:9" x14ac:dyDescent="0.25">
      <c r="A949" s="203" t="str">
        <f>IF(DATA!M879="","",DATA!M879)</f>
        <v/>
      </c>
      <c r="B949" s="203" t="str">
        <f>IF(DATA!N879="","",DATA!N879)</f>
        <v/>
      </c>
      <c r="C949" s="203" t="str">
        <f>IF(DATA!O879="","",DATA!O879)</f>
        <v/>
      </c>
      <c r="D949" s="203" t="str">
        <f>IF(DATA!P879="","",DATA!P879)</f>
        <v/>
      </c>
      <c r="E949" s="13"/>
      <c r="F949" s="5" t="str">
        <f t="shared" si="90"/>
        <v/>
      </c>
      <c r="G949" s="1"/>
      <c r="H949" s="77">
        <f>IF(G949="",0,VLOOKUP(G949,REFCE!A:D,2,FALSE))</f>
        <v>0</v>
      </c>
      <c r="I949" s="77" t="str">
        <f t="shared" si="91"/>
        <v/>
      </c>
    </row>
    <row r="950" spans="1:9" x14ac:dyDescent="0.25">
      <c r="A950" s="203" t="str">
        <f>IF(DATA!M880="","",DATA!M880)</f>
        <v/>
      </c>
      <c r="B950" s="203" t="str">
        <f>IF(DATA!N880="","",DATA!N880)</f>
        <v/>
      </c>
      <c r="C950" s="203" t="str">
        <f>IF(DATA!O880="","",DATA!O880)</f>
        <v/>
      </c>
      <c r="D950" s="203" t="str">
        <f>IF(DATA!P880="","",DATA!P880)</f>
        <v/>
      </c>
      <c r="E950" s="13"/>
      <c r="F950" s="5" t="str">
        <f t="shared" si="90"/>
        <v/>
      </c>
      <c r="G950" s="1"/>
      <c r="H950" s="77">
        <f>IF(G950="",0,VLOOKUP(G950,REFCE!A:D,2,FALSE))</f>
        <v>0</v>
      </c>
      <c r="I950" s="77" t="str">
        <f t="shared" si="91"/>
        <v/>
      </c>
    </row>
    <row r="951" spans="1:9" x14ac:dyDescent="0.25">
      <c r="A951" s="203" t="str">
        <f>IF(DATA!M881="","",DATA!M881)</f>
        <v/>
      </c>
      <c r="B951" s="203" t="str">
        <f>IF(DATA!N881="","",DATA!N881)</f>
        <v/>
      </c>
      <c r="C951" s="203" t="str">
        <f>IF(DATA!O881="","",DATA!O881)</f>
        <v/>
      </c>
      <c r="D951" s="203" t="str">
        <f>IF(DATA!P881="","",DATA!P881)</f>
        <v/>
      </c>
      <c r="E951" s="13"/>
      <c r="F951" s="5" t="str">
        <f t="shared" si="90"/>
        <v/>
      </c>
      <c r="G951" s="1"/>
      <c r="H951" s="77">
        <f>IF(G951="",0,VLOOKUP(G951,REFCE!A:D,2,FALSE))</f>
        <v>0</v>
      </c>
      <c r="I951" s="77" t="str">
        <f t="shared" si="91"/>
        <v/>
      </c>
    </row>
    <row r="952" spans="1:9" x14ac:dyDescent="0.25">
      <c r="A952" s="203" t="str">
        <f>IF(DATA!M882="","",DATA!M882)</f>
        <v/>
      </c>
      <c r="B952" s="203" t="str">
        <f>IF(DATA!N882="","",DATA!N882)</f>
        <v/>
      </c>
      <c r="C952" s="203" t="str">
        <f>IF(DATA!O882="","",DATA!O882)</f>
        <v/>
      </c>
      <c r="D952" s="203" t="str">
        <f>IF(DATA!P882="","",DATA!P882)</f>
        <v/>
      </c>
      <c r="E952" s="13"/>
      <c r="F952" s="5" t="str">
        <f t="shared" si="90"/>
        <v/>
      </c>
      <c r="G952" s="1"/>
      <c r="H952" s="77">
        <f>IF(G952="",0,VLOOKUP(G952,REFCE!A:D,2,FALSE))</f>
        <v>0</v>
      </c>
      <c r="I952" s="77" t="str">
        <f t="shared" si="91"/>
        <v/>
      </c>
    </row>
    <row r="953" spans="1:9" x14ac:dyDescent="0.25">
      <c r="A953" s="203" t="str">
        <f>IF(DATA!M883="","",DATA!M883)</f>
        <v/>
      </c>
      <c r="B953" s="203" t="str">
        <f>IF(DATA!N883="","",DATA!N883)</f>
        <v/>
      </c>
      <c r="C953" s="203" t="str">
        <f>IF(DATA!O883="","",DATA!O883)</f>
        <v/>
      </c>
      <c r="D953" s="203" t="str">
        <f>IF(DATA!P883="","",DATA!P883)</f>
        <v/>
      </c>
      <c r="E953" s="13"/>
      <c r="F953" s="5" t="str">
        <f t="shared" si="90"/>
        <v/>
      </c>
      <c r="G953" s="1"/>
      <c r="H953" s="77">
        <f>IF(G953="",0,VLOOKUP(G953,REFCE!A:D,2,FALSE))</f>
        <v>0</v>
      </c>
      <c r="I953" s="77" t="str">
        <f t="shared" si="91"/>
        <v/>
      </c>
    </row>
    <row r="954" spans="1:9" x14ac:dyDescent="0.25">
      <c r="A954" s="203" t="str">
        <f>IF(DATA!M884="","",DATA!M884)</f>
        <v/>
      </c>
      <c r="B954" s="203" t="str">
        <f>IF(DATA!N884="","",DATA!N884)</f>
        <v/>
      </c>
      <c r="C954" s="203" t="str">
        <f>IF(DATA!O884="","",DATA!O884)</f>
        <v/>
      </c>
      <c r="D954" s="203" t="str">
        <f>IF(DATA!P884="","",DATA!P884)</f>
        <v/>
      </c>
      <c r="E954" s="13"/>
      <c r="F954" s="5" t="str">
        <f t="shared" si="90"/>
        <v/>
      </c>
      <c r="G954" s="1"/>
      <c r="H954" s="77">
        <f>IF(G954="",0,VLOOKUP(G954,REFCE!A:D,2,FALSE))</f>
        <v>0</v>
      </c>
      <c r="I954" s="77" t="str">
        <f t="shared" si="91"/>
        <v/>
      </c>
    </row>
    <row r="955" spans="1:9" x14ac:dyDescent="0.25">
      <c r="A955" s="203" t="str">
        <f>IF(DATA!M885="","",DATA!M885)</f>
        <v/>
      </c>
      <c r="B955" s="203" t="str">
        <f>IF(DATA!N885="","",DATA!N885)</f>
        <v/>
      </c>
      <c r="C955" s="203" t="str">
        <f>IF(DATA!O885="","",DATA!O885)</f>
        <v/>
      </c>
      <c r="D955" s="203" t="str">
        <f>IF(DATA!P885="","",DATA!P885)</f>
        <v/>
      </c>
      <c r="E955" s="13"/>
      <c r="F955" s="5" t="str">
        <f t="shared" si="90"/>
        <v/>
      </c>
      <c r="G955" s="1"/>
      <c r="H955" s="77">
        <f>IF(G955="",0,VLOOKUP(G955,REFCE!A:D,2,FALSE))</f>
        <v>0</v>
      </c>
      <c r="I955" s="77" t="str">
        <f t="shared" si="91"/>
        <v/>
      </c>
    </row>
    <row r="956" spans="1:9" x14ac:dyDescent="0.25">
      <c r="A956" s="203" t="str">
        <f>IF(DATA!M886="","",DATA!M886)</f>
        <v/>
      </c>
      <c r="B956" s="203" t="str">
        <f>IF(DATA!N886="","",DATA!N886)</f>
        <v/>
      </c>
      <c r="C956" s="203" t="str">
        <f>IF(DATA!O886="","",DATA!O886)</f>
        <v/>
      </c>
      <c r="D956" s="203" t="str">
        <f>IF(DATA!P886="","",DATA!P886)</f>
        <v/>
      </c>
      <c r="E956" s="13"/>
      <c r="F956" s="5" t="str">
        <f t="shared" si="90"/>
        <v/>
      </c>
      <c r="G956" s="1"/>
      <c r="H956" s="77">
        <f>IF(G956="",0,VLOOKUP(G956,REFCE!A:D,2,FALSE))</f>
        <v>0</v>
      </c>
      <c r="I956" s="77" t="str">
        <f t="shared" si="91"/>
        <v/>
      </c>
    </row>
    <row r="957" spans="1:9" x14ac:dyDescent="0.25">
      <c r="A957" s="203" t="str">
        <f>IF(DATA!M887="","",DATA!M887)</f>
        <v/>
      </c>
      <c r="B957" s="203" t="str">
        <f>IF(DATA!N887="","",DATA!N887)</f>
        <v/>
      </c>
      <c r="C957" s="203" t="str">
        <f>IF(DATA!O887="","",DATA!O887)</f>
        <v/>
      </c>
      <c r="D957" s="203" t="str">
        <f>IF(DATA!P887="","",DATA!P887)</f>
        <v/>
      </c>
      <c r="E957" s="13"/>
      <c r="F957" s="5" t="str">
        <f t="shared" si="90"/>
        <v/>
      </c>
      <c r="G957" s="1"/>
      <c r="H957" s="77">
        <f>IF(G957="",0,VLOOKUP(G957,REFCE!A:D,2,FALSE))</f>
        <v>0</v>
      </c>
      <c r="I957" s="77" t="str">
        <f t="shared" si="91"/>
        <v/>
      </c>
    </row>
    <row r="958" spans="1:9" x14ac:dyDescent="0.25">
      <c r="A958" s="203" t="str">
        <f>IF(DATA!M888="","",DATA!M888)</f>
        <v/>
      </c>
      <c r="B958" s="203" t="str">
        <f>IF(DATA!N888="","",DATA!N888)</f>
        <v/>
      </c>
      <c r="C958" s="203" t="str">
        <f>IF(DATA!O888="","",DATA!O888)</f>
        <v/>
      </c>
      <c r="D958" s="203" t="str">
        <f>IF(DATA!P888="","",DATA!P888)</f>
        <v/>
      </c>
      <c r="E958" s="13"/>
      <c r="F958" s="5" t="str">
        <f t="shared" si="90"/>
        <v/>
      </c>
      <c r="G958" s="1"/>
      <c r="H958" s="77">
        <f>IF(G958="",0,VLOOKUP(G958,REFCE!A:D,2,FALSE))</f>
        <v>0</v>
      </c>
      <c r="I958" s="77" t="str">
        <f t="shared" si="91"/>
        <v/>
      </c>
    </row>
    <row r="959" spans="1:9" x14ac:dyDescent="0.25">
      <c r="A959" s="203" t="str">
        <f>IF(DATA!M889="","",DATA!M889)</f>
        <v/>
      </c>
      <c r="B959" s="203" t="str">
        <f>IF(DATA!N889="","",DATA!N889)</f>
        <v/>
      </c>
      <c r="C959" s="203" t="str">
        <f>IF(DATA!O889="","",DATA!O889)</f>
        <v/>
      </c>
      <c r="D959" s="203" t="str">
        <f>IF(DATA!P889="","",DATA!P889)</f>
        <v/>
      </c>
      <c r="E959" s="13"/>
      <c r="F959" s="5" t="str">
        <f t="shared" si="90"/>
        <v/>
      </c>
      <c r="G959" s="1"/>
      <c r="H959" s="77">
        <f>IF(G959="",0,VLOOKUP(G959,REFCE!A:D,2,FALSE))</f>
        <v>0</v>
      </c>
      <c r="I959" s="77" t="str">
        <f t="shared" si="91"/>
        <v/>
      </c>
    </row>
    <row r="960" spans="1:9" x14ac:dyDescent="0.25">
      <c r="A960" s="203" t="str">
        <f>IF(DATA!M890="","",DATA!M890)</f>
        <v/>
      </c>
      <c r="B960" s="203" t="str">
        <f>IF(DATA!N890="","",DATA!N890)</f>
        <v/>
      </c>
      <c r="C960" s="203" t="str">
        <f>IF(DATA!O890="","",DATA!O890)</f>
        <v/>
      </c>
      <c r="D960" s="203" t="str">
        <f>IF(DATA!P890="","",DATA!P890)</f>
        <v/>
      </c>
      <c r="E960" s="13"/>
      <c r="F960" s="5" t="str">
        <f t="shared" si="90"/>
        <v/>
      </c>
      <c r="G960" s="1"/>
      <c r="H960" s="77">
        <f>IF(G960="",0,VLOOKUP(G960,REFCE!A:D,2,FALSE))</f>
        <v>0</v>
      </c>
      <c r="I960" s="77" t="str">
        <f t="shared" si="91"/>
        <v/>
      </c>
    </row>
    <row r="961" spans="1:9" x14ac:dyDescent="0.25">
      <c r="A961" s="203" t="str">
        <f>IF(DATA!M891="","",DATA!M891)</f>
        <v/>
      </c>
      <c r="B961" s="203" t="str">
        <f>IF(DATA!N891="","",DATA!N891)</f>
        <v/>
      </c>
      <c r="C961" s="203" t="str">
        <f>IF(DATA!O891="","",DATA!O891)</f>
        <v/>
      </c>
      <c r="D961" s="203" t="str">
        <f>IF(DATA!P891="","",DATA!P891)</f>
        <v/>
      </c>
      <c r="E961" s="13"/>
      <c r="F961" s="5" t="str">
        <f t="shared" si="90"/>
        <v/>
      </c>
      <c r="G961" s="1"/>
      <c r="H961" s="77">
        <f>IF(G961="",0,VLOOKUP(G961,REFCE!A:D,2,FALSE))</f>
        <v>0</v>
      </c>
      <c r="I961" s="77" t="str">
        <f t="shared" si="91"/>
        <v/>
      </c>
    </row>
    <row r="962" spans="1:9" x14ac:dyDescent="0.25">
      <c r="A962" s="203" t="str">
        <f>IF(DATA!M892="","",DATA!M892)</f>
        <v/>
      </c>
      <c r="B962" s="203" t="str">
        <f>IF(DATA!N892="","",DATA!N892)</f>
        <v/>
      </c>
      <c r="C962" s="203" t="str">
        <f>IF(DATA!O892="","",DATA!O892)</f>
        <v/>
      </c>
      <c r="D962" s="203" t="str">
        <f>IF(DATA!P892="","",DATA!P892)</f>
        <v/>
      </c>
      <c r="E962" s="13"/>
      <c r="F962" s="5" t="str">
        <f t="shared" si="90"/>
        <v/>
      </c>
      <c r="G962" s="1"/>
      <c r="H962" s="77">
        <f>IF(G962="",0,VLOOKUP(G962,REFCE!A:D,2,FALSE))</f>
        <v>0</v>
      </c>
      <c r="I962" s="77" t="str">
        <f t="shared" si="91"/>
        <v/>
      </c>
    </row>
    <row r="963" spans="1:9" x14ac:dyDescent="0.25">
      <c r="A963" s="203" t="str">
        <f>IF(DATA!M893="","",DATA!M893)</f>
        <v/>
      </c>
      <c r="B963" s="203" t="str">
        <f>IF(DATA!N893="","",DATA!N893)</f>
        <v/>
      </c>
      <c r="C963" s="203" t="str">
        <f>IF(DATA!O893="","",DATA!O893)</f>
        <v/>
      </c>
      <c r="D963" s="203" t="str">
        <f>IF(DATA!P893="","",DATA!P893)</f>
        <v/>
      </c>
      <c r="E963" s="13"/>
      <c r="F963" s="5" t="str">
        <f t="shared" si="90"/>
        <v/>
      </c>
      <c r="G963" s="1"/>
      <c r="H963" s="77">
        <f>IF(G963="",0,VLOOKUP(G963,REFCE!A:D,2,FALSE))</f>
        <v>0</v>
      </c>
      <c r="I963" s="77" t="str">
        <f t="shared" si="91"/>
        <v/>
      </c>
    </row>
    <row r="964" spans="1:9" x14ac:dyDescent="0.25">
      <c r="A964" s="203" t="str">
        <f>IF(DATA!M894="","",DATA!M894)</f>
        <v/>
      </c>
      <c r="B964" s="203" t="str">
        <f>IF(DATA!N894="","",DATA!N894)</f>
        <v/>
      </c>
      <c r="C964" s="203" t="str">
        <f>IF(DATA!O894="","",DATA!O894)</f>
        <v/>
      </c>
      <c r="D964" s="203" t="str">
        <f>IF(DATA!P894="","",DATA!P894)</f>
        <v/>
      </c>
      <c r="E964" s="13"/>
      <c r="F964" s="5" t="str">
        <f t="shared" si="90"/>
        <v/>
      </c>
      <c r="G964" s="1"/>
      <c r="H964" s="77">
        <f>IF(G964="",0,VLOOKUP(G964,REFCE!A:D,2,FALSE))</f>
        <v>0</v>
      </c>
      <c r="I964" s="77" t="str">
        <f t="shared" si="91"/>
        <v/>
      </c>
    </row>
    <row r="965" spans="1:9" x14ac:dyDescent="0.25">
      <c r="A965" s="203" t="str">
        <f>IF(DATA!M895="","",DATA!M895)</f>
        <v/>
      </c>
      <c r="B965" s="203" t="str">
        <f>IF(DATA!N895="","",DATA!N895)</f>
        <v/>
      </c>
      <c r="C965" s="203" t="str">
        <f>IF(DATA!O895="","",DATA!O895)</f>
        <v/>
      </c>
      <c r="D965" s="203" t="str">
        <f>IF(DATA!P895="","",DATA!P895)</f>
        <v/>
      </c>
      <c r="E965" s="13"/>
      <c r="F965" s="5" t="str">
        <f t="shared" si="90"/>
        <v/>
      </c>
      <c r="G965" s="1"/>
      <c r="H965" s="77">
        <f>IF(G965="",0,VLOOKUP(G965,REFCE!A:D,2,FALSE))</f>
        <v>0</v>
      </c>
      <c r="I965" s="77" t="str">
        <f t="shared" si="91"/>
        <v/>
      </c>
    </row>
    <row r="966" spans="1:9" x14ac:dyDescent="0.25">
      <c r="A966" s="203" t="str">
        <f>IF(DATA!M896="","",DATA!M896)</f>
        <v/>
      </c>
      <c r="B966" s="203" t="str">
        <f>IF(DATA!N896="","",DATA!N896)</f>
        <v/>
      </c>
      <c r="C966" s="203" t="str">
        <f>IF(DATA!O896="","",DATA!O896)</f>
        <v/>
      </c>
      <c r="D966" s="203" t="str">
        <f>IF(DATA!P896="","",DATA!P896)</f>
        <v/>
      </c>
      <c r="E966" s="13"/>
      <c r="F966" s="5" t="str">
        <f t="shared" si="90"/>
        <v/>
      </c>
      <c r="G966" s="1"/>
      <c r="H966" s="77">
        <f>IF(G966="",0,VLOOKUP(G966,REFCE!A:D,2,FALSE))</f>
        <v>0</v>
      </c>
      <c r="I966" s="77" t="str">
        <f t="shared" si="91"/>
        <v/>
      </c>
    </row>
    <row r="967" spans="1:9" x14ac:dyDescent="0.25">
      <c r="A967" s="203" t="str">
        <f>IF(DATA!M897="","",DATA!M897)</f>
        <v/>
      </c>
      <c r="B967" s="203" t="str">
        <f>IF(DATA!N897="","",DATA!N897)</f>
        <v/>
      </c>
      <c r="C967" s="203" t="str">
        <f>IF(DATA!O897="","",DATA!O897)</f>
        <v/>
      </c>
      <c r="D967" s="203" t="str">
        <f>IF(DATA!P897="","",DATA!P897)</f>
        <v/>
      </c>
      <c r="E967" s="13"/>
      <c r="F967" s="5" t="str">
        <f t="shared" si="90"/>
        <v/>
      </c>
      <c r="G967" s="1"/>
      <c r="H967" s="77">
        <f>IF(G967="",0,VLOOKUP(G967,REFCE!A:D,2,FALSE))</f>
        <v>0</v>
      </c>
      <c r="I967" s="77" t="str">
        <f t="shared" si="91"/>
        <v/>
      </c>
    </row>
    <row r="968" spans="1:9" x14ac:dyDescent="0.25">
      <c r="A968" s="203" t="str">
        <f>IF(DATA!M898="","",DATA!M898)</f>
        <v/>
      </c>
      <c r="B968" s="203" t="str">
        <f>IF(DATA!N898="","",DATA!N898)</f>
        <v/>
      </c>
      <c r="C968" s="203" t="str">
        <f>IF(DATA!O898="","",DATA!O898)</f>
        <v/>
      </c>
      <c r="D968" s="203" t="str">
        <f>IF(DATA!P898="","",DATA!P898)</f>
        <v/>
      </c>
      <c r="E968" s="13"/>
      <c r="F968" s="5" t="str">
        <f t="shared" si="90"/>
        <v/>
      </c>
      <c r="G968" s="1"/>
      <c r="H968" s="77">
        <f>IF(G968="",0,VLOOKUP(G968,REFCE!A:D,2,FALSE))</f>
        <v>0</v>
      </c>
      <c r="I968" s="77" t="str">
        <f t="shared" si="91"/>
        <v/>
      </c>
    </row>
    <row r="969" spans="1:9" x14ac:dyDescent="0.25">
      <c r="A969" s="203" t="str">
        <f>IF(DATA!M899="","",DATA!M899)</f>
        <v/>
      </c>
      <c r="B969" s="203" t="str">
        <f>IF(DATA!N899="","",DATA!N899)</f>
        <v/>
      </c>
      <c r="C969" s="203" t="str">
        <f>IF(DATA!O899="","",DATA!O899)</f>
        <v/>
      </c>
      <c r="D969" s="203" t="str">
        <f>IF(DATA!P899="","",DATA!P899)</f>
        <v/>
      </c>
      <c r="E969" s="13"/>
      <c r="F969" s="5" t="str">
        <f t="shared" si="90"/>
        <v/>
      </c>
      <c r="G969" s="1"/>
      <c r="H969" s="77">
        <f>IF(G969="",0,VLOOKUP(G969,REFCE!A:D,2,FALSE))</f>
        <v>0</v>
      </c>
      <c r="I969" s="77" t="str">
        <f t="shared" si="91"/>
        <v/>
      </c>
    </row>
    <row r="970" spans="1:9" x14ac:dyDescent="0.25">
      <c r="A970" s="203" t="str">
        <f>IF(DATA!M900="","",DATA!M900)</f>
        <v/>
      </c>
      <c r="B970" s="203" t="str">
        <f>IF(DATA!N900="","",DATA!N900)</f>
        <v/>
      </c>
      <c r="C970" s="203" t="str">
        <f>IF(DATA!O900="","",DATA!O900)</f>
        <v/>
      </c>
      <c r="D970" s="203" t="str">
        <f>IF(DATA!P900="","",DATA!P900)</f>
        <v/>
      </c>
      <c r="E970" s="13"/>
      <c r="F970" s="5" t="str">
        <f t="shared" si="90"/>
        <v/>
      </c>
      <c r="G970" s="1"/>
      <c r="H970" s="77">
        <f>IF(G970="",0,VLOOKUP(G970,REFCE!A:D,2,FALSE))</f>
        <v>0</v>
      </c>
      <c r="I970" s="77" t="str">
        <f t="shared" si="91"/>
        <v/>
      </c>
    </row>
    <row r="971" spans="1:9" x14ac:dyDescent="0.25">
      <c r="A971" s="203" t="str">
        <f>IF(DATA!M901="","",DATA!M901)</f>
        <v/>
      </c>
      <c r="B971" s="203" t="str">
        <f>IF(DATA!N901="","",DATA!N901)</f>
        <v/>
      </c>
      <c r="C971" s="203" t="str">
        <f>IF(DATA!O901="","",DATA!O901)</f>
        <v/>
      </c>
      <c r="D971" s="203" t="str">
        <f>IF(DATA!P901="","",DATA!P901)</f>
        <v/>
      </c>
      <c r="E971" s="13"/>
      <c r="F971" s="5" t="str">
        <f t="shared" si="90"/>
        <v/>
      </c>
      <c r="G971" s="1"/>
      <c r="H971" s="77">
        <f>IF(G971="",0,VLOOKUP(G971,REFCE!A:D,2,FALSE))</f>
        <v>0</v>
      </c>
      <c r="I971" s="77" t="str">
        <f t="shared" si="91"/>
        <v/>
      </c>
    </row>
    <row r="972" spans="1:9" x14ac:dyDescent="0.25">
      <c r="A972" s="203" t="str">
        <f>IF(DATA!M902="","",DATA!M902)</f>
        <v/>
      </c>
      <c r="B972" s="203" t="str">
        <f>IF(DATA!N902="","",DATA!N902)</f>
        <v/>
      </c>
      <c r="C972" s="203" t="str">
        <f>IF(DATA!O902="","",DATA!O902)</f>
        <v/>
      </c>
      <c r="D972" s="203" t="str">
        <f>IF(DATA!P902="","",DATA!P902)</f>
        <v/>
      </c>
      <c r="E972" s="13"/>
      <c r="F972" s="5" t="str">
        <f t="shared" si="90"/>
        <v/>
      </c>
      <c r="G972" s="1"/>
      <c r="H972" s="77">
        <f>IF(G972="",0,VLOOKUP(G972,REFCE!A:D,2,FALSE))</f>
        <v>0</v>
      </c>
      <c r="I972" s="77" t="str">
        <f t="shared" si="91"/>
        <v/>
      </c>
    </row>
    <row r="973" spans="1:9" x14ac:dyDescent="0.25">
      <c r="A973" s="203" t="str">
        <f>IF(DATA!M903="","",DATA!M903)</f>
        <v/>
      </c>
      <c r="B973" s="203" t="str">
        <f>IF(DATA!N903="","",DATA!N903)</f>
        <v/>
      </c>
      <c r="C973" s="203" t="str">
        <f>IF(DATA!O903="","",DATA!O903)</f>
        <v/>
      </c>
      <c r="D973" s="203" t="str">
        <f>IF(DATA!P903="","",DATA!P903)</f>
        <v/>
      </c>
      <c r="E973" s="13"/>
      <c r="F973" s="5" t="str">
        <f t="shared" si="90"/>
        <v/>
      </c>
      <c r="G973" s="1"/>
      <c r="H973" s="77">
        <f>IF(G973="",0,VLOOKUP(G973,REFCE!A:D,2,FALSE))</f>
        <v>0</v>
      </c>
      <c r="I973" s="77" t="str">
        <f t="shared" si="91"/>
        <v/>
      </c>
    </row>
    <row r="974" spans="1:9" x14ac:dyDescent="0.25">
      <c r="A974" s="203" t="str">
        <f>IF(DATA!M904="","",DATA!M904)</f>
        <v/>
      </c>
      <c r="B974" s="203" t="str">
        <f>IF(DATA!N904="","",DATA!N904)</f>
        <v/>
      </c>
      <c r="C974" s="203" t="str">
        <f>IF(DATA!O904="","",DATA!O904)</f>
        <v/>
      </c>
      <c r="D974" s="203" t="str">
        <f>IF(DATA!P904="","",DATA!P904)</f>
        <v/>
      </c>
      <c r="E974" s="13"/>
      <c r="F974" s="5" t="str">
        <f t="shared" ref="F974:F1037" si="92">IF(D974="","",D974*E974)</f>
        <v/>
      </c>
      <c r="G974" s="1"/>
      <c r="H974" s="77">
        <f>IF(G974="",0,VLOOKUP(G974,REFCE!A:D,2,FALSE))</f>
        <v>0</v>
      </c>
      <c r="I974" s="77" t="str">
        <f t="shared" ref="I974:I1037" si="93">IF(F974="","",F974*H974)</f>
        <v/>
      </c>
    </row>
    <row r="975" spans="1:9" x14ac:dyDescent="0.25">
      <c r="A975" s="203" t="str">
        <f>IF(DATA!M905="","",DATA!M905)</f>
        <v/>
      </c>
      <c r="B975" s="203" t="str">
        <f>IF(DATA!N905="","",DATA!N905)</f>
        <v/>
      </c>
      <c r="C975" s="203" t="str">
        <f>IF(DATA!O905="","",DATA!O905)</f>
        <v/>
      </c>
      <c r="D975" s="203" t="str">
        <f>IF(DATA!P905="","",DATA!P905)</f>
        <v/>
      </c>
      <c r="E975" s="13"/>
      <c r="F975" s="5" t="str">
        <f t="shared" si="92"/>
        <v/>
      </c>
      <c r="G975" s="1"/>
      <c r="H975" s="77">
        <f>IF(G975="",0,VLOOKUP(G975,REFCE!A:D,2,FALSE))</f>
        <v>0</v>
      </c>
      <c r="I975" s="77" t="str">
        <f t="shared" si="93"/>
        <v/>
      </c>
    </row>
    <row r="976" spans="1:9" x14ac:dyDescent="0.25">
      <c r="A976" s="203" t="str">
        <f>IF(DATA!M906="","",DATA!M906)</f>
        <v/>
      </c>
      <c r="B976" s="203" t="str">
        <f>IF(DATA!N906="","",DATA!N906)</f>
        <v/>
      </c>
      <c r="C976" s="203" t="str">
        <f>IF(DATA!O906="","",DATA!O906)</f>
        <v/>
      </c>
      <c r="D976" s="203" t="str">
        <f>IF(DATA!P906="","",DATA!P906)</f>
        <v/>
      </c>
      <c r="E976" s="13"/>
      <c r="F976" s="5" t="str">
        <f t="shared" si="92"/>
        <v/>
      </c>
      <c r="G976" s="1"/>
      <c r="H976" s="77">
        <f>IF(G976="",0,VLOOKUP(G976,REFCE!A:D,2,FALSE))</f>
        <v>0</v>
      </c>
      <c r="I976" s="77" t="str">
        <f t="shared" si="93"/>
        <v/>
      </c>
    </row>
    <row r="977" spans="1:9" x14ac:dyDescent="0.25">
      <c r="A977" s="203" t="str">
        <f>IF(DATA!M907="","",DATA!M907)</f>
        <v/>
      </c>
      <c r="B977" s="203" t="str">
        <f>IF(DATA!N907="","",DATA!N907)</f>
        <v/>
      </c>
      <c r="C977" s="203" t="str">
        <f>IF(DATA!O907="","",DATA!O907)</f>
        <v/>
      </c>
      <c r="D977" s="203" t="str">
        <f>IF(DATA!P907="","",DATA!P907)</f>
        <v/>
      </c>
      <c r="E977" s="13"/>
      <c r="F977" s="5" t="str">
        <f t="shared" si="92"/>
        <v/>
      </c>
      <c r="G977" s="1"/>
      <c r="H977" s="77">
        <f>IF(G977="",0,VLOOKUP(G977,REFCE!A:D,2,FALSE))</f>
        <v>0</v>
      </c>
      <c r="I977" s="77" t="str">
        <f t="shared" si="93"/>
        <v/>
      </c>
    </row>
    <row r="978" spans="1:9" x14ac:dyDescent="0.25">
      <c r="A978" s="203" t="str">
        <f>IF(DATA!M908="","",DATA!M908)</f>
        <v/>
      </c>
      <c r="B978" s="203" t="str">
        <f>IF(DATA!N908="","",DATA!N908)</f>
        <v/>
      </c>
      <c r="C978" s="203" t="str">
        <f>IF(DATA!O908="","",DATA!O908)</f>
        <v/>
      </c>
      <c r="D978" s="203" t="str">
        <f>IF(DATA!P908="","",DATA!P908)</f>
        <v/>
      </c>
      <c r="E978" s="13"/>
      <c r="F978" s="5" t="str">
        <f t="shared" si="92"/>
        <v/>
      </c>
      <c r="G978" s="1"/>
      <c r="H978" s="77">
        <f>IF(G978="",0,VLOOKUP(G978,REFCE!A:D,2,FALSE))</f>
        <v>0</v>
      </c>
      <c r="I978" s="77" t="str">
        <f t="shared" si="93"/>
        <v/>
      </c>
    </row>
    <row r="979" spans="1:9" x14ac:dyDescent="0.25">
      <c r="A979" s="203" t="str">
        <f>IF(DATA!M909="","",DATA!M909)</f>
        <v/>
      </c>
      <c r="B979" s="203" t="str">
        <f>IF(DATA!N909="","",DATA!N909)</f>
        <v/>
      </c>
      <c r="C979" s="203" t="str">
        <f>IF(DATA!O909="","",DATA!O909)</f>
        <v/>
      </c>
      <c r="D979" s="203" t="str">
        <f>IF(DATA!P909="","",DATA!P909)</f>
        <v/>
      </c>
      <c r="E979" s="13"/>
      <c r="F979" s="5" t="str">
        <f t="shared" si="92"/>
        <v/>
      </c>
      <c r="G979" s="1"/>
      <c r="H979" s="77">
        <f>IF(G979="",0,VLOOKUP(G979,REFCE!A:D,2,FALSE))</f>
        <v>0</v>
      </c>
      <c r="I979" s="77" t="str">
        <f t="shared" si="93"/>
        <v/>
      </c>
    </row>
    <row r="980" spans="1:9" x14ac:dyDescent="0.25">
      <c r="A980" s="203" t="str">
        <f>IF(DATA!M910="","",DATA!M910)</f>
        <v/>
      </c>
      <c r="B980" s="203" t="str">
        <f>IF(DATA!N910="","",DATA!N910)</f>
        <v/>
      </c>
      <c r="C980" s="203" t="str">
        <f>IF(DATA!O910="","",DATA!O910)</f>
        <v/>
      </c>
      <c r="D980" s="203" t="str">
        <f>IF(DATA!P910="","",DATA!P910)</f>
        <v/>
      </c>
      <c r="E980" s="13"/>
      <c r="F980" s="5" t="str">
        <f t="shared" si="92"/>
        <v/>
      </c>
      <c r="G980" s="1"/>
      <c r="H980" s="77">
        <f>IF(G980="",0,VLOOKUP(G980,REFCE!A:D,2,FALSE))</f>
        <v>0</v>
      </c>
      <c r="I980" s="77" t="str">
        <f t="shared" si="93"/>
        <v/>
      </c>
    </row>
    <row r="981" spans="1:9" x14ac:dyDescent="0.25">
      <c r="A981" s="203" t="str">
        <f>IF(DATA!M911="","",DATA!M911)</f>
        <v/>
      </c>
      <c r="B981" s="203" t="str">
        <f>IF(DATA!N911="","",DATA!N911)</f>
        <v/>
      </c>
      <c r="C981" s="203" t="str">
        <f>IF(DATA!O911="","",DATA!O911)</f>
        <v/>
      </c>
      <c r="D981" s="203" t="str">
        <f>IF(DATA!P911="","",DATA!P911)</f>
        <v/>
      </c>
      <c r="E981" s="13"/>
      <c r="F981" s="5" t="str">
        <f t="shared" si="92"/>
        <v/>
      </c>
      <c r="G981" s="1"/>
      <c r="H981" s="77">
        <f>IF(G981="",0,VLOOKUP(G981,REFCE!A:D,2,FALSE))</f>
        <v>0</v>
      </c>
      <c r="I981" s="77" t="str">
        <f t="shared" si="93"/>
        <v/>
      </c>
    </row>
    <row r="982" spans="1:9" x14ac:dyDescent="0.25">
      <c r="A982" s="203" t="str">
        <f>IF(DATA!M912="","",DATA!M912)</f>
        <v/>
      </c>
      <c r="B982" s="203" t="str">
        <f>IF(DATA!N912="","",DATA!N912)</f>
        <v/>
      </c>
      <c r="C982" s="203" t="str">
        <f>IF(DATA!O912="","",DATA!O912)</f>
        <v/>
      </c>
      <c r="D982" s="203" t="str">
        <f>IF(DATA!P912="","",DATA!P912)</f>
        <v/>
      </c>
      <c r="E982" s="13"/>
      <c r="F982" s="5" t="str">
        <f t="shared" si="92"/>
        <v/>
      </c>
      <c r="G982" s="1"/>
      <c r="H982" s="77">
        <f>IF(G982="",0,VLOOKUP(G982,REFCE!A:D,2,FALSE))</f>
        <v>0</v>
      </c>
      <c r="I982" s="77" t="str">
        <f t="shared" si="93"/>
        <v/>
      </c>
    </row>
    <row r="983" spans="1:9" x14ac:dyDescent="0.25">
      <c r="A983" s="203" t="str">
        <f>IF(DATA!M913="","",DATA!M913)</f>
        <v/>
      </c>
      <c r="B983" s="203" t="str">
        <f>IF(DATA!N913="","",DATA!N913)</f>
        <v/>
      </c>
      <c r="C983" s="203" t="str">
        <f>IF(DATA!O913="","",DATA!O913)</f>
        <v/>
      </c>
      <c r="D983" s="203" t="str">
        <f>IF(DATA!P913="","",DATA!P913)</f>
        <v/>
      </c>
      <c r="E983" s="13"/>
      <c r="F983" s="5" t="str">
        <f t="shared" si="92"/>
        <v/>
      </c>
      <c r="G983" s="1"/>
      <c r="H983" s="77">
        <f>IF(G983="",0,VLOOKUP(G983,REFCE!A:D,2,FALSE))</f>
        <v>0</v>
      </c>
      <c r="I983" s="77" t="str">
        <f t="shared" si="93"/>
        <v/>
      </c>
    </row>
    <row r="984" spans="1:9" x14ac:dyDescent="0.25">
      <c r="A984" s="203" t="str">
        <f>IF(DATA!M914="","",DATA!M914)</f>
        <v/>
      </c>
      <c r="B984" s="203" t="str">
        <f>IF(DATA!N914="","",DATA!N914)</f>
        <v/>
      </c>
      <c r="C984" s="203" t="str">
        <f>IF(DATA!O914="","",DATA!O914)</f>
        <v/>
      </c>
      <c r="D984" s="203" t="str">
        <f>IF(DATA!P914="","",DATA!P914)</f>
        <v/>
      </c>
      <c r="E984" s="13"/>
      <c r="F984" s="5" t="str">
        <f t="shared" si="92"/>
        <v/>
      </c>
      <c r="G984" s="1"/>
      <c r="H984" s="77">
        <f>IF(G984="",0,VLOOKUP(G984,REFCE!A:D,2,FALSE))</f>
        <v>0</v>
      </c>
      <c r="I984" s="77" t="str">
        <f t="shared" si="93"/>
        <v/>
      </c>
    </row>
    <row r="985" spans="1:9" x14ac:dyDescent="0.25">
      <c r="A985" s="203" t="str">
        <f>IF(DATA!M915="","",DATA!M915)</f>
        <v/>
      </c>
      <c r="B985" s="203" t="str">
        <f>IF(DATA!N915="","",DATA!N915)</f>
        <v/>
      </c>
      <c r="C985" s="203" t="str">
        <f>IF(DATA!O915="","",DATA!O915)</f>
        <v/>
      </c>
      <c r="D985" s="203" t="str">
        <f>IF(DATA!P915="","",DATA!P915)</f>
        <v/>
      </c>
      <c r="E985" s="13"/>
      <c r="F985" s="5" t="str">
        <f t="shared" si="92"/>
        <v/>
      </c>
      <c r="G985" s="1"/>
      <c r="H985" s="77">
        <f>IF(G985="",0,VLOOKUP(G985,REFCE!A:D,2,FALSE))</f>
        <v>0</v>
      </c>
      <c r="I985" s="77" t="str">
        <f t="shared" si="93"/>
        <v/>
      </c>
    </row>
    <row r="986" spans="1:9" x14ac:dyDescent="0.25">
      <c r="A986" s="203" t="str">
        <f>IF(DATA!M916="","",DATA!M916)</f>
        <v/>
      </c>
      <c r="B986" s="203" t="str">
        <f>IF(DATA!N916="","",DATA!N916)</f>
        <v/>
      </c>
      <c r="C986" s="203" t="str">
        <f>IF(DATA!O916="","",DATA!O916)</f>
        <v/>
      </c>
      <c r="D986" s="203" t="str">
        <f>IF(DATA!P916="","",DATA!P916)</f>
        <v/>
      </c>
      <c r="E986" s="13"/>
      <c r="F986" s="5" t="str">
        <f t="shared" si="92"/>
        <v/>
      </c>
      <c r="G986" s="1"/>
      <c r="H986" s="77">
        <f>IF(G986="",0,VLOOKUP(G986,REFCE!A:D,2,FALSE))</f>
        <v>0</v>
      </c>
      <c r="I986" s="77" t="str">
        <f t="shared" si="93"/>
        <v/>
      </c>
    </row>
    <row r="987" spans="1:9" x14ac:dyDescent="0.25">
      <c r="A987" s="203" t="str">
        <f>IF(DATA!M917="","",DATA!M917)</f>
        <v/>
      </c>
      <c r="B987" s="203" t="str">
        <f>IF(DATA!N917="","",DATA!N917)</f>
        <v/>
      </c>
      <c r="C987" s="203" t="str">
        <f>IF(DATA!O917="","",DATA!O917)</f>
        <v/>
      </c>
      <c r="D987" s="203" t="str">
        <f>IF(DATA!P917="","",DATA!P917)</f>
        <v/>
      </c>
      <c r="E987" s="13"/>
      <c r="F987" s="5" t="str">
        <f t="shared" si="92"/>
        <v/>
      </c>
      <c r="G987" s="1"/>
      <c r="H987" s="77">
        <f>IF(G987="",0,VLOOKUP(G987,REFCE!A:D,2,FALSE))</f>
        <v>0</v>
      </c>
      <c r="I987" s="77" t="str">
        <f t="shared" si="93"/>
        <v/>
      </c>
    </row>
    <row r="988" spans="1:9" x14ac:dyDescent="0.25">
      <c r="A988" s="203" t="str">
        <f>IF(DATA!M918="","",DATA!M918)</f>
        <v/>
      </c>
      <c r="B988" s="203" t="str">
        <f>IF(DATA!N918="","",DATA!N918)</f>
        <v/>
      </c>
      <c r="C988" s="203" t="str">
        <f>IF(DATA!O918="","",DATA!O918)</f>
        <v/>
      </c>
      <c r="D988" s="203" t="str">
        <f>IF(DATA!P918="","",DATA!P918)</f>
        <v/>
      </c>
      <c r="E988" s="13"/>
      <c r="F988" s="5" t="str">
        <f t="shared" si="92"/>
        <v/>
      </c>
      <c r="G988" s="1"/>
      <c r="H988" s="77">
        <f>IF(G988="",0,VLOOKUP(G988,REFCE!A:D,2,FALSE))</f>
        <v>0</v>
      </c>
      <c r="I988" s="77" t="str">
        <f t="shared" si="93"/>
        <v/>
      </c>
    </row>
    <row r="989" spans="1:9" x14ac:dyDescent="0.25">
      <c r="A989" s="203" t="str">
        <f>IF(DATA!M919="","",DATA!M919)</f>
        <v/>
      </c>
      <c r="B989" s="203" t="str">
        <f>IF(DATA!N919="","",DATA!N919)</f>
        <v/>
      </c>
      <c r="C989" s="203" t="str">
        <f>IF(DATA!O919="","",DATA!O919)</f>
        <v/>
      </c>
      <c r="D989" s="203" t="str">
        <f>IF(DATA!P919="","",DATA!P919)</f>
        <v/>
      </c>
      <c r="E989" s="13"/>
      <c r="F989" s="5" t="str">
        <f t="shared" si="92"/>
        <v/>
      </c>
      <c r="G989" s="1"/>
      <c r="H989" s="77">
        <f>IF(G989="",0,VLOOKUP(G989,REFCE!A:D,2,FALSE))</f>
        <v>0</v>
      </c>
      <c r="I989" s="77" t="str">
        <f t="shared" si="93"/>
        <v/>
      </c>
    </row>
    <row r="990" spans="1:9" x14ac:dyDescent="0.25">
      <c r="A990" s="203" t="str">
        <f>IF(DATA!M920="","",DATA!M920)</f>
        <v/>
      </c>
      <c r="B990" s="203" t="str">
        <f>IF(DATA!N920="","",DATA!N920)</f>
        <v/>
      </c>
      <c r="C990" s="203" t="str">
        <f>IF(DATA!O920="","",DATA!O920)</f>
        <v/>
      </c>
      <c r="D990" s="203" t="str">
        <f>IF(DATA!P920="","",DATA!P920)</f>
        <v/>
      </c>
      <c r="E990" s="13"/>
      <c r="F990" s="5" t="str">
        <f t="shared" si="92"/>
        <v/>
      </c>
      <c r="G990" s="1"/>
      <c r="H990" s="77">
        <f>IF(G990="",0,VLOOKUP(G990,REFCE!A:D,2,FALSE))</f>
        <v>0</v>
      </c>
      <c r="I990" s="77" t="str">
        <f t="shared" si="93"/>
        <v/>
      </c>
    </row>
    <row r="991" spans="1:9" x14ac:dyDescent="0.25">
      <c r="A991" s="203" t="str">
        <f>IF(DATA!M921="","",DATA!M921)</f>
        <v/>
      </c>
      <c r="B991" s="203" t="str">
        <f>IF(DATA!N921="","",DATA!N921)</f>
        <v/>
      </c>
      <c r="C991" s="203" t="str">
        <f>IF(DATA!O921="","",DATA!O921)</f>
        <v/>
      </c>
      <c r="D991" s="203" t="str">
        <f>IF(DATA!P921="","",DATA!P921)</f>
        <v/>
      </c>
      <c r="E991" s="13"/>
      <c r="F991" s="5" t="str">
        <f t="shared" si="92"/>
        <v/>
      </c>
      <c r="G991" s="1"/>
      <c r="H991" s="77">
        <f>IF(G991="",0,VLOOKUP(G991,REFCE!A:D,2,FALSE))</f>
        <v>0</v>
      </c>
      <c r="I991" s="77" t="str">
        <f t="shared" si="93"/>
        <v/>
      </c>
    </row>
    <row r="992" spans="1:9" x14ac:dyDescent="0.25">
      <c r="A992" s="203" t="str">
        <f>IF(DATA!M922="","",DATA!M922)</f>
        <v/>
      </c>
      <c r="B992" s="203" t="str">
        <f>IF(DATA!N922="","",DATA!N922)</f>
        <v/>
      </c>
      <c r="C992" s="203" t="str">
        <f>IF(DATA!O922="","",DATA!O922)</f>
        <v/>
      </c>
      <c r="D992" s="203" t="str">
        <f>IF(DATA!P922="","",DATA!P922)</f>
        <v/>
      </c>
      <c r="E992" s="13"/>
      <c r="F992" s="5" t="str">
        <f t="shared" si="92"/>
        <v/>
      </c>
      <c r="G992" s="1"/>
      <c r="H992" s="77">
        <f>IF(G992="",0,VLOOKUP(G992,REFCE!A:D,2,FALSE))</f>
        <v>0</v>
      </c>
      <c r="I992" s="77" t="str">
        <f t="shared" si="93"/>
        <v/>
      </c>
    </row>
    <row r="993" spans="1:9" x14ac:dyDescent="0.25">
      <c r="A993" s="203" t="str">
        <f>IF(DATA!M923="","",DATA!M923)</f>
        <v/>
      </c>
      <c r="B993" s="203" t="str">
        <f>IF(DATA!N923="","",DATA!N923)</f>
        <v/>
      </c>
      <c r="C993" s="203" t="str">
        <f>IF(DATA!O923="","",DATA!O923)</f>
        <v/>
      </c>
      <c r="D993" s="203" t="str">
        <f>IF(DATA!P923="","",DATA!P923)</f>
        <v/>
      </c>
      <c r="E993" s="13"/>
      <c r="F993" s="5" t="str">
        <f t="shared" si="92"/>
        <v/>
      </c>
      <c r="G993" s="1"/>
      <c r="H993" s="77">
        <f>IF(G993="",0,VLOOKUP(G993,REFCE!A:D,2,FALSE))</f>
        <v>0</v>
      </c>
      <c r="I993" s="77" t="str">
        <f t="shared" si="93"/>
        <v/>
      </c>
    </row>
    <row r="994" spans="1:9" x14ac:dyDescent="0.25">
      <c r="A994" s="203" t="str">
        <f>IF(DATA!M924="","",DATA!M924)</f>
        <v/>
      </c>
      <c r="B994" s="203" t="str">
        <f>IF(DATA!N924="","",DATA!N924)</f>
        <v/>
      </c>
      <c r="C994" s="203" t="str">
        <f>IF(DATA!O924="","",DATA!O924)</f>
        <v/>
      </c>
      <c r="D994" s="203" t="str">
        <f>IF(DATA!P924="","",DATA!P924)</f>
        <v/>
      </c>
      <c r="E994" s="13"/>
      <c r="F994" s="5" t="str">
        <f t="shared" si="92"/>
        <v/>
      </c>
      <c r="G994" s="1"/>
      <c r="H994" s="77">
        <f>IF(G994="",0,VLOOKUP(G994,REFCE!A:D,2,FALSE))</f>
        <v>0</v>
      </c>
      <c r="I994" s="77" t="str">
        <f t="shared" si="93"/>
        <v/>
      </c>
    </row>
    <row r="995" spans="1:9" x14ac:dyDescent="0.25">
      <c r="A995" s="203" t="str">
        <f>IF(DATA!M925="","",DATA!M925)</f>
        <v/>
      </c>
      <c r="B995" s="203" t="str">
        <f>IF(DATA!N925="","",DATA!N925)</f>
        <v/>
      </c>
      <c r="C995" s="203" t="str">
        <f>IF(DATA!O925="","",DATA!O925)</f>
        <v/>
      </c>
      <c r="D995" s="203" t="str">
        <f>IF(DATA!P925="","",DATA!P925)</f>
        <v/>
      </c>
      <c r="E995" s="13"/>
      <c r="F995" s="5" t="str">
        <f t="shared" si="92"/>
        <v/>
      </c>
      <c r="G995" s="1"/>
      <c r="H995" s="77">
        <f>IF(G995="",0,VLOOKUP(G995,REFCE!A:D,2,FALSE))</f>
        <v>0</v>
      </c>
      <c r="I995" s="77" t="str">
        <f t="shared" si="93"/>
        <v/>
      </c>
    </row>
    <row r="996" spans="1:9" x14ac:dyDescent="0.25">
      <c r="A996" s="203" t="str">
        <f>IF(DATA!M926="","",DATA!M926)</f>
        <v/>
      </c>
      <c r="B996" s="203" t="str">
        <f>IF(DATA!N926="","",DATA!N926)</f>
        <v/>
      </c>
      <c r="C996" s="203" t="str">
        <f>IF(DATA!O926="","",DATA!O926)</f>
        <v/>
      </c>
      <c r="D996" s="203" t="str">
        <f>IF(DATA!P926="","",DATA!P926)</f>
        <v/>
      </c>
      <c r="E996" s="13"/>
      <c r="F996" s="5" t="str">
        <f t="shared" si="92"/>
        <v/>
      </c>
      <c r="G996" s="1"/>
      <c r="H996" s="77">
        <f>IF(G996="",0,VLOOKUP(G996,REFCE!A:D,2,FALSE))</f>
        <v>0</v>
      </c>
      <c r="I996" s="77" t="str">
        <f t="shared" si="93"/>
        <v/>
      </c>
    </row>
    <row r="997" spans="1:9" x14ac:dyDescent="0.25">
      <c r="A997" s="203" t="str">
        <f>IF(DATA!M927="","",DATA!M927)</f>
        <v/>
      </c>
      <c r="B997" s="203" t="str">
        <f>IF(DATA!N927="","",DATA!N927)</f>
        <v/>
      </c>
      <c r="C997" s="203" t="str">
        <f>IF(DATA!O927="","",DATA!O927)</f>
        <v/>
      </c>
      <c r="D997" s="203" t="str">
        <f>IF(DATA!P927="","",DATA!P927)</f>
        <v/>
      </c>
      <c r="E997" s="13"/>
      <c r="F997" s="5" t="str">
        <f t="shared" si="92"/>
        <v/>
      </c>
      <c r="G997" s="1"/>
      <c r="H997" s="77">
        <f>IF(G997="",0,VLOOKUP(G997,REFCE!A:D,2,FALSE))</f>
        <v>0</v>
      </c>
      <c r="I997" s="77" t="str">
        <f t="shared" si="93"/>
        <v/>
      </c>
    </row>
    <row r="998" spans="1:9" x14ac:dyDescent="0.25">
      <c r="A998" s="203" t="str">
        <f>IF(DATA!M928="","",DATA!M928)</f>
        <v/>
      </c>
      <c r="B998" s="203" t="str">
        <f>IF(DATA!N928="","",DATA!N928)</f>
        <v/>
      </c>
      <c r="C998" s="203" t="str">
        <f>IF(DATA!O928="","",DATA!O928)</f>
        <v/>
      </c>
      <c r="D998" s="203" t="str">
        <f>IF(DATA!P928="","",DATA!P928)</f>
        <v/>
      </c>
      <c r="E998" s="13"/>
      <c r="F998" s="5" t="str">
        <f t="shared" si="92"/>
        <v/>
      </c>
      <c r="G998" s="1"/>
      <c r="H998" s="77">
        <f>IF(G998="",0,VLOOKUP(G998,REFCE!A:D,2,FALSE))</f>
        <v>0</v>
      </c>
      <c r="I998" s="77" t="str">
        <f t="shared" si="93"/>
        <v/>
      </c>
    </row>
    <row r="999" spans="1:9" x14ac:dyDescent="0.25">
      <c r="A999" s="203" t="str">
        <f>IF(DATA!M929="","",DATA!M929)</f>
        <v/>
      </c>
      <c r="B999" s="203" t="str">
        <f>IF(DATA!N929="","",DATA!N929)</f>
        <v/>
      </c>
      <c r="C999" s="203" t="str">
        <f>IF(DATA!O929="","",DATA!O929)</f>
        <v/>
      </c>
      <c r="D999" s="203" t="str">
        <f>IF(DATA!P929="","",DATA!P929)</f>
        <v/>
      </c>
      <c r="E999" s="13"/>
      <c r="F999" s="5" t="str">
        <f t="shared" si="92"/>
        <v/>
      </c>
      <c r="G999" s="1"/>
      <c r="H999" s="77">
        <f>IF(G999="",0,VLOOKUP(G999,REFCE!A:D,2,FALSE))</f>
        <v>0</v>
      </c>
      <c r="I999" s="77" t="str">
        <f t="shared" si="93"/>
        <v/>
      </c>
    </row>
    <row r="1000" spans="1:9" x14ac:dyDescent="0.25">
      <c r="A1000" s="203" t="str">
        <f>IF(DATA!M930="","",DATA!M930)</f>
        <v/>
      </c>
      <c r="B1000" s="203" t="str">
        <f>IF(DATA!N930="","",DATA!N930)</f>
        <v/>
      </c>
      <c r="C1000" s="203" t="str">
        <f>IF(DATA!O930="","",DATA!O930)</f>
        <v/>
      </c>
      <c r="D1000" s="203" t="str">
        <f>IF(DATA!P930="","",DATA!P930)</f>
        <v/>
      </c>
      <c r="E1000" s="13"/>
      <c r="F1000" s="5" t="str">
        <f t="shared" si="92"/>
        <v/>
      </c>
      <c r="G1000" s="1"/>
      <c r="H1000" s="77">
        <f>IF(G1000="",0,VLOOKUP(G1000,REFCE!A:D,2,FALSE))</f>
        <v>0</v>
      </c>
      <c r="I1000" s="77" t="str">
        <f t="shared" si="93"/>
        <v/>
      </c>
    </row>
    <row r="1001" spans="1:9" x14ac:dyDescent="0.25">
      <c r="A1001" s="203" t="str">
        <f>IF(DATA!M931="","",DATA!M931)</f>
        <v/>
      </c>
      <c r="B1001" s="203" t="str">
        <f>IF(DATA!N931="","",DATA!N931)</f>
        <v/>
      </c>
      <c r="C1001" s="203" t="str">
        <f>IF(DATA!O931="","",DATA!O931)</f>
        <v/>
      </c>
      <c r="D1001" s="203" t="str">
        <f>IF(DATA!P931="","",DATA!P931)</f>
        <v/>
      </c>
      <c r="E1001" s="13"/>
      <c r="F1001" s="5" t="str">
        <f t="shared" si="92"/>
        <v/>
      </c>
      <c r="G1001" s="1"/>
      <c r="H1001" s="77">
        <f>IF(G1001="",0,VLOOKUP(G1001,REFCE!A:D,2,FALSE))</f>
        <v>0</v>
      </c>
      <c r="I1001" s="77" t="str">
        <f t="shared" si="93"/>
        <v/>
      </c>
    </row>
    <row r="1002" spans="1:9" x14ac:dyDescent="0.25">
      <c r="A1002" s="203" t="str">
        <f>IF(DATA!M932="","",DATA!M932)</f>
        <v/>
      </c>
      <c r="B1002" s="203" t="str">
        <f>IF(DATA!N932="","",DATA!N932)</f>
        <v/>
      </c>
      <c r="C1002" s="203" t="str">
        <f>IF(DATA!O932="","",DATA!O932)</f>
        <v/>
      </c>
      <c r="D1002" s="203" t="str">
        <f>IF(DATA!P932="","",DATA!P932)</f>
        <v/>
      </c>
      <c r="E1002" s="13"/>
      <c r="F1002" s="5" t="str">
        <f t="shared" si="92"/>
        <v/>
      </c>
      <c r="G1002" s="1"/>
      <c r="H1002" s="77">
        <f>IF(G1002="",0,VLOOKUP(G1002,REFCE!A:D,2,FALSE))</f>
        <v>0</v>
      </c>
      <c r="I1002" s="77" t="str">
        <f t="shared" si="93"/>
        <v/>
      </c>
    </row>
    <row r="1003" spans="1:9" x14ac:dyDescent="0.25">
      <c r="A1003" s="203" t="str">
        <f>IF(DATA!M933="","",DATA!M933)</f>
        <v/>
      </c>
      <c r="B1003" s="203" t="str">
        <f>IF(DATA!N933="","",DATA!N933)</f>
        <v/>
      </c>
      <c r="C1003" s="203" t="str">
        <f>IF(DATA!O933="","",DATA!O933)</f>
        <v/>
      </c>
      <c r="D1003" s="203" t="str">
        <f>IF(DATA!P933="","",DATA!P933)</f>
        <v/>
      </c>
      <c r="E1003" s="13"/>
      <c r="F1003" s="5" t="str">
        <f t="shared" si="92"/>
        <v/>
      </c>
      <c r="G1003" s="1"/>
      <c r="H1003" s="77">
        <f>IF(G1003="",0,VLOOKUP(G1003,REFCE!A:D,2,FALSE))</f>
        <v>0</v>
      </c>
      <c r="I1003" s="77" t="str">
        <f t="shared" si="93"/>
        <v/>
      </c>
    </row>
    <row r="1004" spans="1:9" x14ac:dyDescent="0.25">
      <c r="A1004" s="203" t="str">
        <f>IF(DATA!M934="","",DATA!M934)</f>
        <v/>
      </c>
      <c r="B1004" s="203" t="str">
        <f>IF(DATA!N934="","",DATA!N934)</f>
        <v/>
      </c>
      <c r="C1004" s="203" t="str">
        <f>IF(DATA!O934="","",DATA!O934)</f>
        <v/>
      </c>
      <c r="D1004" s="203" t="str">
        <f>IF(DATA!P934="","",DATA!P934)</f>
        <v/>
      </c>
      <c r="E1004" s="13"/>
      <c r="F1004" s="5" t="str">
        <f t="shared" si="92"/>
        <v/>
      </c>
      <c r="G1004" s="1"/>
      <c r="H1004" s="77">
        <f>IF(G1004="",0,VLOOKUP(G1004,REFCE!A:D,2,FALSE))</f>
        <v>0</v>
      </c>
      <c r="I1004" s="77" t="str">
        <f t="shared" si="93"/>
        <v/>
      </c>
    </row>
    <row r="1005" spans="1:9" x14ac:dyDescent="0.25">
      <c r="A1005" s="203" t="str">
        <f>IF(DATA!M935="","",DATA!M935)</f>
        <v/>
      </c>
      <c r="B1005" s="203" t="str">
        <f>IF(DATA!N935="","",DATA!N935)</f>
        <v/>
      </c>
      <c r="C1005" s="203" t="str">
        <f>IF(DATA!O935="","",DATA!O935)</f>
        <v/>
      </c>
      <c r="D1005" s="203" t="str">
        <f>IF(DATA!P935="","",DATA!P935)</f>
        <v/>
      </c>
      <c r="E1005" s="13"/>
      <c r="F1005" s="5" t="str">
        <f t="shared" si="92"/>
        <v/>
      </c>
      <c r="G1005" s="1"/>
      <c r="H1005" s="77">
        <f>IF(G1005="",0,VLOOKUP(G1005,REFCE!A:D,2,FALSE))</f>
        <v>0</v>
      </c>
      <c r="I1005" s="77" t="str">
        <f t="shared" si="93"/>
        <v/>
      </c>
    </row>
    <row r="1006" spans="1:9" x14ac:dyDescent="0.25">
      <c r="A1006" s="203" t="str">
        <f>IF(DATA!M936="","",DATA!M936)</f>
        <v/>
      </c>
      <c r="B1006" s="203" t="str">
        <f>IF(DATA!N936="","",DATA!N936)</f>
        <v/>
      </c>
      <c r="C1006" s="203" t="str">
        <f>IF(DATA!O936="","",DATA!O936)</f>
        <v/>
      </c>
      <c r="D1006" s="203" t="str">
        <f>IF(DATA!P936="","",DATA!P936)</f>
        <v/>
      </c>
      <c r="E1006" s="13"/>
      <c r="F1006" s="5" t="str">
        <f t="shared" si="92"/>
        <v/>
      </c>
      <c r="G1006" s="1"/>
      <c r="H1006" s="77">
        <f>IF(G1006="",0,VLOOKUP(G1006,REFCE!A:D,2,FALSE))</f>
        <v>0</v>
      </c>
      <c r="I1006" s="77" t="str">
        <f t="shared" si="93"/>
        <v/>
      </c>
    </row>
    <row r="1007" spans="1:9" x14ac:dyDescent="0.25">
      <c r="A1007" s="203" t="str">
        <f>IF(DATA!M937="","",DATA!M937)</f>
        <v/>
      </c>
      <c r="B1007" s="203" t="str">
        <f>IF(DATA!N937="","",DATA!N937)</f>
        <v/>
      </c>
      <c r="C1007" s="203" t="str">
        <f>IF(DATA!O937="","",DATA!O937)</f>
        <v/>
      </c>
      <c r="D1007" s="203" t="str">
        <f>IF(DATA!P937="","",DATA!P937)</f>
        <v/>
      </c>
      <c r="E1007" s="13"/>
      <c r="F1007" s="5" t="str">
        <f t="shared" si="92"/>
        <v/>
      </c>
      <c r="G1007" s="1"/>
      <c r="H1007" s="77">
        <f>IF(G1007="",0,VLOOKUP(G1007,REFCE!A:D,2,FALSE))</f>
        <v>0</v>
      </c>
      <c r="I1007" s="77" t="str">
        <f t="shared" si="93"/>
        <v/>
      </c>
    </row>
    <row r="1008" spans="1:9" x14ac:dyDescent="0.25">
      <c r="A1008" s="203" t="str">
        <f>IF(DATA!M938="","",DATA!M938)</f>
        <v/>
      </c>
      <c r="B1008" s="203" t="str">
        <f>IF(DATA!N938="","",DATA!N938)</f>
        <v/>
      </c>
      <c r="C1008" s="203" t="str">
        <f>IF(DATA!O938="","",DATA!O938)</f>
        <v/>
      </c>
      <c r="D1008" s="203" t="str">
        <f>IF(DATA!P938="","",DATA!P938)</f>
        <v/>
      </c>
      <c r="E1008" s="13"/>
      <c r="F1008" s="5" t="str">
        <f t="shared" si="92"/>
        <v/>
      </c>
      <c r="G1008" s="1"/>
      <c r="H1008" s="77">
        <f>IF(G1008="",0,VLOOKUP(G1008,REFCE!A:D,2,FALSE))</f>
        <v>0</v>
      </c>
      <c r="I1008" s="77" t="str">
        <f t="shared" si="93"/>
        <v/>
      </c>
    </row>
    <row r="1009" spans="1:9" x14ac:dyDescent="0.25">
      <c r="A1009" s="203" t="str">
        <f>IF(DATA!M939="","",DATA!M939)</f>
        <v/>
      </c>
      <c r="B1009" s="203" t="str">
        <f>IF(DATA!N939="","",DATA!N939)</f>
        <v/>
      </c>
      <c r="C1009" s="203" t="str">
        <f>IF(DATA!O939="","",DATA!O939)</f>
        <v/>
      </c>
      <c r="D1009" s="203" t="str">
        <f>IF(DATA!P939="","",DATA!P939)</f>
        <v/>
      </c>
      <c r="E1009" s="13"/>
      <c r="F1009" s="5" t="str">
        <f t="shared" si="92"/>
        <v/>
      </c>
      <c r="G1009" s="1"/>
      <c r="H1009" s="77">
        <f>IF(G1009="",0,VLOOKUP(G1009,REFCE!A:D,2,FALSE))</f>
        <v>0</v>
      </c>
      <c r="I1009" s="77" t="str">
        <f t="shared" si="93"/>
        <v/>
      </c>
    </row>
    <row r="1010" spans="1:9" x14ac:dyDescent="0.25">
      <c r="A1010" s="203" t="str">
        <f>IF(DATA!M940="","",DATA!M940)</f>
        <v/>
      </c>
      <c r="B1010" s="203" t="str">
        <f>IF(DATA!N940="","",DATA!N940)</f>
        <v/>
      </c>
      <c r="C1010" s="203" t="str">
        <f>IF(DATA!O940="","",DATA!O940)</f>
        <v/>
      </c>
      <c r="D1010" s="203" t="str">
        <f>IF(DATA!P940="","",DATA!P940)</f>
        <v/>
      </c>
      <c r="E1010" s="13"/>
      <c r="F1010" s="5" t="str">
        <f t="shared" si="92"/>
        <v/>
      </c>
      <c r="G1010" s="1"/>
      <c r="H1010" s="77">
        <f>IF(G1010="",0,VLOOKUP(G1010,REFCE!A:D,2,FALSE))</f>
        <v>0</v>
      </c>
      <c r="I1010" s="77" t="str">
        <f t="shared" si="93"/>
        <v/>
      </c>
    </row>
    <row r="1011" spans="1:9" x14ac:dyDescent="0.25">
      <c r="A1011" s="203" t="str">
        <f>IF(DATA!M941="","",DATA!M941)</f>
        <v/>
      </c>
      <c r="B1011" s="203" t="str">
        <f>IF(DATA!N941="","",DATA!N941)</f>
        <v/>
      </c>
      <c r="C1011" s="203" t="str">
        <f>IF(DATA!O941="","",DATA!O941)</f>
        <v/>
      </c>
      <c r="D1011" s="203" t="str">
        <f>IF(DATA!P941="","",DATA!P941)</f>
        <v/>
      </c>
      <c r="E1011" s="13"/>
      <c r="F1011" s="5" t="str">
        <f t="shared" si="92"/>
        <v/>
      </c>
      <c r="G1011" s="1"/>
      <c r="H1011" s="77">
        <f>IF(G1011="",0,VLOOKUP(G1011,REFCE!A:D,2,FALSE))</f>
        <v>0</v>
      </c>
      <c r="I1011" s="77" t="str">
        <f t="shared" si="93"/>
        <v/>
      </c>
    </row>
    <row r="1012" spans="1:9" x14ac:dyDescent="0.25">
      <c r="A1012" s="203" t="str">
        <f>IF(DATA!M942="","",DATA!M942)</f>
        <v/>
      </c>
      <c r="B1012" s="203" t="str">
        <f>IF(DATA!N942="","",DATA!N942)</f>
        <v/>
      </c>
      <c r="C1012" s="203" t="str">
        <f>IF(DATA!O942="","",DATA!O942)</f>
        <v/>
      </c>
      <c r="D1012" s="203" t="str">
        <f>IF(DATA!P942="","",DATA!P942)</f>
        <v/>
      </c>
      <c r="E1012" s="13"/>
      <c r="F1012" s="5" t="str">
        <f t="shared" si="92"/>
        <v/>
      </c>
      <c r="G1012" s="1"/>
      <c r="H1012" s="77">
        <f>IF(G1012="",0,VLOOKUP(G1012,REFCE!A:D,2,FALSE))</f>
        <v>0</v>
      </c>
      <c r="I1012" s="77" t="str">
        <f t="shared" si="93"/>
        <v/>
      </c>
    </row>
    <row r="1013" spans="1:9" x14ac:dyDescent="0.25">
      <c r="A1013" s="203" t="str">
        <f>IF(DATA!M943="","",DATA!M943)</f>
        <v/>
      </c>
      <c r="B1013" s="203" t="str">
        <f>IF(DATA!N943="","",DATA!N943)</f>
        <v/>
      </c>
      <c r="C1013" s="203" t="str">
        <f>IF(DATA!O943="","",DATA!O943)</f>
        <v/>
      </c>
      <c r="D1013" s="203" t="str">
        <f>IF(DATA!P943="","",DATA!P943)</f>
        <v/>
      </c>
      <c r="E1013" s="13"/>
      <c r="F1013" s="5" t="str">
        <f t="shared" si="92"/>
        <v/>
      </c>
      <c r="G1013" s="1"/>
      <c r="H1013" s="77">
        <f>IF(G1013="",0,VLOOKUP(G1013,REFCE!A:D,2,FALSE))</f>
        <v>0</v>
      </c>
      <c r="I1013" s="77" t="str">
        <f t="shared" si="93"/>
        <v/>
      </c>
    </row>
    <row r="1014" spans="1:9" x14ac:dyDescent="0.25">
      <c r="A1014" s="203" t="str">
        <f>IF(DATA!M944="","",DATA!M944)</f>
        <v/>
      </c>
      <c r="B1014" s="203" t="str">
        <f>IF(DATA!N944="","",DATA!N944)</f>
        <v/>
      </c>
      <c r="C1014" s="203" t="str">
        <f>IF(DATA!O944="","",DATA!O944)</f>
        <v/>
      </c>
      <c r="D1014" s="203" t="str">
        <f>IF(DATA!P944="","",DATA!P944)</f>
        <v/>
      </c>
      <c r="E1014" s="13"/>
      <c r="F1014" s="5" t="str">
        <f t="shared" si="92"/>
        <v/>
      </c>
      <c r="G1014" s="1"/>
      <c r="H1014" s="77">
        <f>IF(G1014="",0,VLOOKUP(G1014,REFCE!A:D,2,FALSE))</f>
        <v>0</v>
      </c>
      <c r="I1014" s="77" t="str">
        <f t="shared" si="93"/>
        <v/>
      </c>
    </row>
    <row r="1015" spans="1:9" x14ac:dyDescent="0.25">
      <c r="A1015" s="203" t="str">
        <f>IF(DATA!M945="","",DATA!M945)</f>
        <v/>
      </c>
      <c r="B1015" s="203" t="str">
        <f>IF(DATA!N945="","",DATA!N945)</f>
        <v/>
      </c>
      <c r="C1015" s="203" t="str">
        <f>IF(DATA!O945="","",DATA!O945)</f>
        <v/>
      </c>
      <c r="D1015" s="203" t="str">
        <f>IF(DATA!P945="","",DATA!P945)</f>
        <v/>
      </c>
      <c r="E1015" s="13"/>
      <c r="F1015" s="5" t="str">
        <f t="shared" si="92"/>
        <v/>
      </c>
      <c r="G1015" s="1"/>
      <c r="H1015" s="77">
        <f>IF(G1015="",0,VLOOKUP(G1015,REFCE!A:D,2,FALSE))</f>
        <v>0</v>
      </c>
      <c r="I1015" s="77" t="str">
        <f t="shared" si="93"/>
        <v/>
      </c>
    </row>
    <row r="1016" spans="1:9" x14ac:dyDescent="0.25">
      <c r="A1016" s="203" t="str">
        <f>IF(DATA!M946="","",DATA!M946)</f>
        <v/>
      </c>
      <c r="B1016" s="203" t="str">
        <f>IF(DATA!N946="","",DATA!N946)</f>
        <v/>
      </c>
      <c r="C1016" s="203" t="str">
        <f>IF(DATA!O946="","",DATA!O946)</f>
        <v/>
      </c>
      <c r="D1016" s="203" t="str">
        <f>IF(DATA!P946="","",DATA!P946)</f>
        <v/>
      </c>
      <c r="E1016" s="13"/>
      <c r="F1016" s="5" t="str">
        <f t="shared" si="92"/>
        <v/>
      </c>
      <c r="G1016" s="1"/>
      <c r="H1016" s="77">
        <f>IF(G1016="",0,VLOOKUP(G1016,REFCE!A:D,2,FALSE))</f>
        <v>0</v>
      </c>
      <c r="I1016" s="77" t="str">
        <f t="shared" si="93"/>
        <v/>
      </c>
    </row>
    <row r="1017" spans="1:9" x14ac:dyDescent="0.25">
      <c r="A1017" s="203" t="str">
        <f>IF(DATA!M947="","",DATA!M947)</f>
        <v/>
      </c>
      <c r="B1017" s="203" t="str">
        <f>IF(DATA!N947="","",DATA!N947)</f>
        <v/>
      </c>
      <c r="C1017" s="203" t="str">
        <f>IF(DATA!O947="","",DATA!O947)</f>
        <v/>
      </c>
      <c r="D1017" s="203" t="str">
        <f>IF(DATA!P947="","",DATA!P947)</f>
        <v/>
      </c>
      <c r="E1017" s="13"/>
      <c r="F1017" s="5" t="str">
        <f t="shared" si="92"/>
        <v/>
      </c>
      <c r="G1017" s="1"/>
      <c r="H1017" s="77">
        <f>IF(G1017="",0,VLOOKUP(G1017,REFCE!A:D,2,FALSE))</f>
        <v>0</v>
      </c>
      <c r="I1017" s="77" t="str">
        <f t="shared" si="93"/>
        <v/>
      </c>
    </row>
    <row r="1018" spans="1:9" x14ac:dyDescent="0.25">
      <c r="A1018" s="203" t="str">
        <f>IF(DATA!M948="","",DATA!M948)</f>
        <v/>
      </c>
      <c r="B1018" s="203" t="str">
        <f>IF(DATA!N948="","",DATA!N948)</f>
        <v/>
      </c>
      <c r="C1018" s="203" t="str">
        <f>IF(DATA!O948="","",DATA!O948)</f>
        <v/>
      </c>
      <c r="D1018" s="203" t="str">
        <f>IF(DATA!P948="","",DATA!P948)</f>
        <v/>
      </c>
      <c r="E1018" s="13"/>
      <c r="F1018" s="5" t="str">
        <f t="shared" si="92"/>
        <v/>
      </c>
      <c r="G1018" s="1"/>
      <c r="H1018" s="77">
        <f>IF(G1018="",0,VLOOKUP(G1018,REFCE!A:D,2,FALSE))</f>
        <v>0</v>
      </c>
      <c r="I1018" s="77" t="str">
        <f t="shared" si="93"/>
        <v/>
      </c>
    </row>
    <row r="1019" spans="1:9" x14ac:dyDescent="0.25">
      <c r="A1019" s="203" t="str">
        <f>IF(DATA!M949="","",DATA!M949)</f>
        <v/>
      </c>
      <c r="B1019" s="203" t="str">
        <f>IF(DATA!N949="","",DATA!N949)</f>
        <v/>
      </c>
      <c r="C1019" s="203" t="str">
        <f>IF(DATA!O949="","",DATA!O949)</f>
        <v/>
      </c>
      <c r="D1019" s="203" t="str">
        <f>IF(DATA!P949="","",DATA!P949)</f>
        <v/>
      </c>
      <c r="E1019" s="13"/>
      <c r="F1019" s="5" t="str">
        <f t="shared" si="92"/>
        <v/>
      </c>
      <c r="G1019" s="1"/>
      <c r="H1019" s="77">
        <f>IF(G1019="",0,VLOOKUP(G1019,REFCE!A:D,2,FALSE))</f>
        <v>0</v>
      </c>
      <c r="I1019" s="77" t="str">
        <f t="shared" si="93"/>
        <v/>
      </c>
    </row>
    <row r="1020" spans="1:9" x14ac:dyDescent="0.25">
      <c r="A1020" s="203" t="str">
        <f>IF(DATA!M950="","",DATA!M950)</f>
        <v/>
      </c>
      <c r="B1020" s="203" t="str">
        <f>IF(DATA!N950="","",DATA!N950)</f>
        <v/>
      </c>
      <c r="C1020" s="203" t="str">
        <f>IF(DATA!O950="","",DATA!O950)</f>
        <v/>
      </c>
      <c r="D1020" s="203" t="str">
        <f>IF(DATA!P950="","",DATA!P950)</f>
        <v/>
      </c>
      <c r="E1020" s="13"/>
      <c r="F1020" s="5" t="str">
        <f t="shared" si="92"/>
        <v/>
      </c>
      <c r="G1020" s="1"/>
      <c r="H1020" s="77">
        <f>IF(G1020="",0,VLOOKUP(G1020,REFCE!A:D,2,FALSE))</f>
        <v>0</v>
      </c>
      <c r="I1020" s="77" t="str">
        <f t="shared" si="93"/>
        <v/>
      </c>
    </row>
    <row r="1021" spans="1:9" x14ac:dyDescent="0.25">
      <c r="A1021" s="203" t="str">
        <f>IF(DATA!M951="","",DATA!M951)</f>
        <v/>
      </c>
      <c r="B1021" s="203" t="str">
        <f>IF(DATA!N951="","",DATA!N951)</f>
        <v/>
      </c>
      <c r="C1021" s="203" t="str">
        <f>IF(DATA!O951="","",DATA!O951)</f>
        <v/>
      </c>
      <c r="D1021" s="203" t="str">
        <f>IF(DATA!P951="","",DATA!P951)</f>
        <v/>
      </c>
      <c r="E1021" s="13"/>
      <c r="F1021" s="5" t="str">
        <f t="shared" si="92"/>
        <v/>
      </c>
      <c r="G1021" s="1"/>
      <c r="H1021" s="77">
        <f>IF(G1021="",0,VLOOKUP(G1021,REFCE!A:D,2,FALSE))</f>
        <v>0</v>
      </c>
      <c r="I1021" s="77" t="str">
        <f t="shared" si="93"/>
        <v/>
      </c>
    </row>
    <row r="1022" spans="1:9" x14ac:dyDescent="0.25">
      <c r="A1022" s="203" t="str">
        <f>IF(DATA!M952="","",DATA!M952)</f>
        <v/>
      </c>
      <c r="B1022" s="203" t="str">
        <f>IF(DATA!N952="","",DATA!N952)</f>
        <v/>
      </c>
      <c r="C1022" s="203" t="str">
        <f>IF(DATA!O952="","",DATA!O952)</f>
        <v/>
      </c>
      <c r="D1022" s="203" t="str">
        <f>IF(DATA!P952="","",DATA!P952)</f>
        <v/>
      </c>
      <c r="E1022" s="13"/>
      <c r="F1022" s="5" t="str">
        <f t="shared" si="92"/>
        <v/>
      </c>
      <c r="G1022" s="1"/>
      <c r="H1022" s="77">
        <f>IF(G1022="",0,VLOOKUP(G1022,REFCE!A:D,2,FALSE))</f>
        <v>0</v>
      </c>
      <c r="I1022" s="77" t="str">
        <f t="shared" si="93"/>
        <v/>
      </c>
    </row>
    <row r="1023" spans="1:9" x14ac:dyDescent="0.25">
      <c r="A1023" s="203" t="str">
        <f>IF(DATA!M953="","",DATA!M953)</f>
        <v/>
      </c>
      <c r="B1023" s="203" t="str">
        <f>IF(DATA!N953="","",DATA!N953)</f>
        <v/>
      </c>
      <c r="C1023" s="203" t="str">
        <f>IF(DATA!O953="","",DATA!O953)</f>
        <v/>
      </c>
      <c r="D1023" s="203" t="str">
        <f>IF(DATA!P953="","",DATA!P953)</f>
        <v/>
      </c>
      <c r="E1023" s="13"/>
      <c r="F1023" s="5" t="str">
        <f t="shared" si="92"/>
        <v/>
      </c>
      <c r="G1023" s="1"/>
      <c r="H1023" s="77">
        <f>IF(G1023="",0,VLOOKUP(G1023,REFCE!A:D,2,FALSE))</f>
        <v>0</v>
      </c>
      <c r="I1023" s="77" t="str">
        <f t="shared" si="93"/>
        <v/>
      </c>
    </row>
    <row r="1024" spans="1:9" x14ac:dyDescent="0.25">
      <c r="A1024" s="203" t="str">
        <f>IF(DATA!M954="","",DATA!M954)</f>
        <v/>
      </c>
      <c r="B1024" s="203" t="str">
        <f>IF(DATA!N954="","",DATA!N954)</f>
        <v/>
      </c>
      <c r="C1024" s="203" t="str">
        <f>IF(DATA!O954="","",DATA!O954)</f>
        <v/>
      </c>
      <c r="D1024" s="203" t="str">
        <f>IF(DATA!P954="","",DATA!P954)</f>
        <v/>
      </c>
      <c r="E1024" s="13"/>
      <c r="F1024" s="5" t="str">
        <f t="shared" si="92"/>
        <v/>
      </c>
      <c r="G1024" s="1"/>
      <c r="H1024" s="77">
        <f>IF(G1024="",0,VLOOKUP(G1024,REFCE!A:D,2,FALSE))</f>
        <v>0</v>
      </c>
      <c r="I1024" s="77" t="str">
        <f t="shared" si="93"/>
        <v/>
      </c>
    </row>
    <row r="1025" spans="1:9" x14ac:dyDescent="0.25">
      <c r="A1025" s="203" t="str">
        <f>IF(DATA!M955="","",DATA!M955)</f>
        <v/>
      </c>
      <c r="B1025" s="203" t="str">
        <f>IF(DATA!N955="","",DATA!N955)</f>
        <v/>
      </c>
      <c r="C1025" s="203" t="str">
        <f>IF(DATA!O955="","",DATA!O955)</f>
        <v/>
      </c>
      <c r="D1025" s="203" t="str">
        <f>IF(DATA!P955="","",DATA!P955)</f>
        <v/>
      </c>
      <c r="E1025" s="13"/>
      <c r="F1025" s="5" t="str">
        <f t="shared" si="92"/>
        <v/>
      </c>
      <c r="G1025" s="1"/>
      <c r="H1025" s="77">
        <f>IF(G1025="",0,VLOOKUP(G1025,REFCE!A:D,2,FALSE))</f>
        <v>0</v>
      </c>
      <c r="I1025" s="77" t="str">
        <f t="shared" si="93"/>
        <v/>
      </c>
    </row>
    <row r="1026" spans="1:9" x14ac:dyDescent="0.25">
      <c r="A1026" s="203" t="str">
        <f>IF(DATA!M956="","",DATA!M956)</f>
        <v/>
      </c>
      <c r="B1026" s="203" t="str">
        <f>IF(DATA!N956="","",DATA!N956)</f>
        <v/>
      </c>
      <c r="C1026" s="203" t="str">
        <f>IF(DATA!O956="","",DATA!O956)</f>
        <v/>
      </c>
      <c r="D1026" s="203" t="str">
        <f>IF(DATA!P956="","",DATA!P956)</f>
        <v/>
      </c>
      <c r="E1026" s="13"/>
      <c r="F1026" s="5" t="str">
        <f t="shared" si="92"/>
        <v/>
      </c>
      <c r="G1026" s="1"/>
      <c r="H1026" s="77">
        <f>IF(G1026="",0,VLOOKUP(G1026,REFCE!A:D,2,FALSE))</f>
        <v>0</v>
      </c>
      <c r="I1026" s="77" t="str">
        <f t="shared" si="93"/>
        <v/>
      </c>
    </row>
    <row r="1027" spans="1:9" x14ac:dyDescent="0.25">
      <c r="A1027" s="203" t="str">
        <f>IF(DATA!M957="","",DATA!M957)</f>
        <v/>
      </c>
      <c r="B1027" s="203" t="str">
        <f>IF(DATA!N957="","",DATA!N957)</f>
        <v/>
      </c>
      <c r="C1027" s="203" t="str">
        <f>IF(DATA!O957="","",DATA!O957)</f>
        <v/>
      </c>
      <c r="D1027" s="203" t="str">
        <f>IF(DATA!P957="","",DATA!P957)</f>
        <v/>
      </c>
      <c r="E1027" s="13"/>
      <c r="F1027" s="5" t="str">
        <f t="shared" si="92"/>
        <v/>
      </c>
      <c r="G1027" s="1"/>
      <c r="H1027" s="77">
        <f>IF(G1027="",0,VLOOKUP(G1027,REFCE!A:D,2,FALSE))</f>
        <v>0</v>
      </c>
      <c r="I1027" s="77" t="str">
        <f t="shared" si="93"/>
        <v/>
      </c>
    </row>
    <row r="1028" spans="1:9" x14ac:dyDescent="0.25">
      <c r="A1028" s="203" t="str">
        <f>IF(DATA!M958="","",DATA!M958)</f>
        <v/>
      </c>
      <c r="B1028" s="203" t="str">
        <f>IF(DATA!N958="","",DATA!N958)</f>
        <v/>
      </c>
      <c r="C1028" s="203" t="str">
        <f>IF(DATA!O958="","",DATA!O958)</f>
        <v/>
      </c>
      <c r="D1028" s="203" t="str">
        <f>IF(DATA!P958="","",DATA!P958)</f>
        <v/>
      </c>
      <c r="E1028" s="13"/>
      <c r="F1028" s="5" t="str">
        <f t="shared" si="92"/>
        <v/>
      </c>
      <c r="G1028" s="1"/>
      <c r="H1028" s="77">
        <f>IF(G1028="",0,VLOOKUP(G1028,REFCE!A:D,2,FALSE))</f>
        <v>0</v>
      </c>
      <c r="I1028" s="77" t="str">
        <f t="shared" si="93"/>
        <v/>
      </c>
    </row>
    <row r="1029" spans="1:9" x14ac:dyDescent="0.25">
      <c r="A1029" s="203" t="str">
        <f>IF(DATA!M959="","",DATA!M959)</f>
        <v/>
      </c>
      <c r="B1029" s="203" t="str">
        <f>IF(DATA!N959="","",DATA!N959)</f>
        <v/>
      </c>
      <c r="C1029" s="203" t="str">
        <f>IF(DATA!O959="","",DATA!O959)</f>
        <v/>
      </c>
      <c r="D1029" s="203" t="str">
        <f>IF(DATA!P959="","",DATA!P959)</f>
        <v/>
      </c>
      <c r="E1029" s="13"/>
      <c r="F1029" s="5" t="str">
        <f t="shared" si="92"/>
        <v/>
      </c>
      <c r="G1029" s="1"/>
      <c r="H1029" s="77">
        <f>IF(G1029="",0,VLOOKUP(G1029,REFCE!A:D,2,FALSE))</f>
        <v>0</v>
      </c>
      <c r="I1029" s="77" t="str">
        <f t="shared" si="93"/>
        <v/>
      </c>
    </row>
    <row r="1030" spans="1:9" x14ac:dyDescent="0.25">
      <c r="A1030" s="203" t="str">
        <f>IF(DATA!M960="","",DATA!M960)</f>
        <v/>
      </c>
      <c r="B1030" s="203" t="str">
        <f>IF(DATA!N960="","",DATA!N960)</f>
        <v/>
      </c>
      <c r="C1030" s="203" t="str">
        <f>IF(DATA!O960="","",DATA!O960)</f>
        <v/>
      </c>
      <c r="D1030" s="203" t="str">
        <f>IF(DATA!P960="","",DATA!P960)</f>
        <v/>
      </c>
      <c r="E1030" s="13"/>
      <c r="F1030" s="5" t="str">
        <f t="shared" si="92"/>
        <v/>
      </c>
      <c r="G1030" s="1"/>
      <c r="H1030" s="77">
        <f>IF(G1030="",0,VLOOKUP(G1030,REFCE!A:D,2,FALSE))</f>
        <v>0</v>
      </c>
      <c r="I1030" s="77" t="str">
        <f t="shared" si="93"/>
        <v/>
      </c>
    </row>
    <row r="1031" spans="1:9" x14ac:dyDescent="0.25">
      <c r="A1031" s="203" t="str">
        <f>IF(DATA!M961="","",DATA!M961)</f>
        <v/>
      </c>
      <c r="B1031" s="203" t="str">
        <f>IF(DATA!N961="","",DATA!N961)</f>
        <v/>
      </c>
      <c r="C1031" s="203" t="str">
        <f>IF(DATA!O961="","",DATA!O961)</f>
        <v/>
      </c>
      <c r="D1031" s="203" t="str">
        <f>IF(DATA!P961="","",DATA!P961)</f>
        <v/>
      </c>
      <c r="E1031" s="13"/>
      <c r="F1031" s="5" t="str">
        <f t="shared" si="92"/>
        <v/>
      </c>
      <c r="G1031" s="1"/>
      <c r="H1031" s="77">
        <f>IF(G1031="",0,VLOOKUP(G1031,REFCE!A:D,2,FALSE))</f>
        <v>0</v>
      </c>
      <c r="I1031" s="77" t="str">
        <f t="shared" si="93"/>
        <v/>
      </c>
    </row>
    <row r="1032" spans="1:9" x14ac:dyDescent="0.25">
      <c r="A1032" s="203" t="str">
        <f>IF(DATA!M962="","",DATA!M962)</f>
        <v/>
      </c>
      <c r="B1032" s="203" t="str">
        <f>IF(DATA!N962="","",DATA!N962)</f>
        <v/>
      </c>
      <c r="C1032" s="203" t="str">
        <f>IF(DATA!O962="","",DATA!O962)</f>
        <v/>
      </c>
      <c r="D1032" s="203" t="str">
        <f>IF(DATA!P962="","",DATA!P962)</f>
        <v/>
      </c>
      <c r="E1032" s="13"/>
      <c r="F1032" s="5" t="str">
        <f t="shared" si="92"/>
        <v/>
      </c>
      <c r="G1032" s="1"/>
      <c r="H1032" s="77">
        <f>IF(G1032="",0,VLOOKUP(G1032,REFCE!A:D,2,FALSE))</f>
        <v>0</v>
      </c>
      <c r="I1032" s="77" t="str">
        <f t="shared" si="93"/>
        <v/>
      </c>
    </row>
    <row r="1033" spans="1:9" x14ac:dyDescent="0.25">
      <c r="A1033" s="203" t="str">
        <f>IF(DATA!M963="","",DATA!M963)</f>
        <v/>
      </c>
      <c r="B1033" s="203" t="str">
        <f>IF(DATA!N963="","",DATA!N963)</f>
        <v/>
      </c>
      <c r="C1033" s="203" t="str">
        <f>IF(DATA!O963="","",DATA!O963)</f>
        <v/>
      </c>
      <c r="D1033" s="203" t="str">
        <f>IF(DATA!P963="","",DATA!P963)</f>
        <v/>
      </c>
      <c r="E1033" s="13"/>
      <c r="F1033" s="5" t="str">
        <f t="shared" si="92"/>
        <v/>
      </c>
      <c r="G1033" s="1"/>
      <c r="H1033" s="77">
        <f>IF(G1033="",0,VLOOKUP(G1033,REFCE!A:D,2,FALSE))</f>
        <v>0</v>
      </c>
      <c r="I1033" s="77" t="str">
        <f t="shared" si="93"/>
        <v/>
      </c>
    </row>
    <row r="1034" spans="1:9" x14ac:dyDescent="0.25">
      <c r="A1034" s="203" t="str">
        <f>IF(DATA!M964="","",DATA!M964)</f>
        <v/>
      </c>
      <c r="B1034" s="203" t="str">
        <f>IF(DATA!N964="","",DATA!N964)</f>
        <v/>
      </c>
      <c r="C1034" s="203" t="str">
        <f>IF(DATA!O964="","",DATA!O964)</f>
        <v/>
      </c>
      <c r="D1034" s="203" t="str">
        <f>IF(DATA!P964="","",DATA!P964)</f>
        <v/>
      </c>
      <c r="E1034" s="13"/>
      <c r="F1034" s="5" t="str">
        <f t="shared" si="92"/>
        <v/>
      </c>
      <c r="G1034" s="1"/>
      <c r="H1034" s="77">
        <f>IF(G1034="",0,VLOOKUP(G1034,REFCE!A:D,2,FALSE))</f>
        <v>0</v>
      </c>
      <c r="I1034" s="77" t="str">
        <f t="shared" si="93"/>
        <v/>
      </c>
    </row>
    <row r="1035" spans="1:9" x14ac:dyDescent="0.25">
      <c r="A1035" s="203" t="str">
        <f>IF(DATA!M965="","",DATA!M965)</f>
        <v/>
      </c>
      <c r="B1035" s="203" t="str">
        <f>IF(DATA!N965="","",DATA!N965)</f>
        <v/>
      </c>
      <c r="C1035" s="203" t="str">
        <f>IF(DATA!O965="","",DATA!O965)</f>
        <v/>
      </c>
      <c r="D1035" s="203" t="str">
        <f>IF(DATA!P965="","",DATA!P965)</f>
        <v/>
      </c>
      <c r="E1035" s="13"/>
      <c r="F1035" s="5" t="str">
        <f t="shared" si="92"/>
        <v/>
      </c>
      <c r="G1035" s="1"/>
      <c r="H1035" s="77">
        <f>IF(G1035="",0,VLOOKUP(G1035,REFCE!A:D,2,FALSE))</f>
        <v>0</v>
      </c>
      <c r="I1035" s="77" t="str">
        <f t="shared" si="93"/>
        <v/>
      </c>
    </row>
    <row r="1036" spans="1:9" x14ac:dyDescent="0.25">
      <c r="A1036" s="203" t="str">
        <f>IF(DATA!M966="","",DATA!M966)</f>
        <v/>
      </c>
      <c r="B1036" s="203" t="str">
        <f>IF(DATA!N966="","",DATA!N966)</f>
        <v/>
      </c>
      <c r="C1036" s="203" t="str">
        <f>IF(DATA!O966="","",DATA!O966)</f>
        <v/>
      </c>
      <c r="D1036" s="203" t="str">
        <f>IF(DATA!P966="","",DATA!P966)</f>
        <v/>
      </c>
      <c r="E1036" s="13"/>
      <c r="F1036" s="5" t="str">
        <f t="shared" si="92"/>
        <v/>
      </c>
      <c r="G1036" s="1"/>
      <c r="H1036" s="77">
        <f>IF(G1036="",0,VLOOKUP(G1036,REFCE!A:D,2,FALSE))</f>
        <v>0</v>
      </c>
      <c r="I1036" s="77" t="str">
        <f t="shared" si="93"/>
        <v/>
      </c>
    </row>
    <row r="1037" spans="1:9" x14ac:dyDescent="0.25">
      <c r="A1037" s="203" t="str">
        <f>IF(DATA!M967="","",DATA!M967)</f>
        <v/>
      </c>
      <c r="B1037" s="203" t="str">
        <f>IF(DATA!N967="","",DATA!N967)</f>
        <v/>
      </c>
      <c r="C1037" s="203" t="str">
        <f>IF(DATA!O967="","",DATA!O967)</f>
        <v/>
      </c>
      <c r="D1037" s="203" t="str">
        <f>IF(DATA!P967="","",DATA!P967)</f>
        <v/>
      </c>
      <c r="E1037" s="13"/>
      <c r="F1037" s="5" t="str">
        <f t="shared" si="92"/>
        <v/>
      </c>
      <c r="G1037" s="1"/>
      <c r="H1037" s="77">
        <f>IF(G1037="",0,VLOOKUP(G1037,REFCE!A:D,2,FALSE))</f>
        <v>0</v>
      </c>
      <c r="I1037" s="77" t="str">
        <f t="shared" si="93"/>
        <v/>
      </c>
    </row>
    <row r="1038" spans="1:9" x14ac:dyDescent="0.25">
      <c r="A1038" s="203" t="str">
        <f>IF(DATA!M968="","",DATA!M968)</f>
        <v/>
      </c>
      <c r="B1038" s="203" t="str">
        <f>IF(DATA!N968="","",DATA!N968)</f>
        <v/>
      </c>
      <c r="C1038" s="203" t="str">
        <f>IF(DATA!O968="","",DATA!O968)</f>
        <v/>
      </c>
      <c r="D1038" s="203" t="str">
        <f>IF(DATA!P968="","",DATA!P968)</f>
        <v/>
      </c>
      <c r="E1038" s="13"/>
      <c r="F1038" s="5" t="str">
        <f t="shared" ref="F1038:F1101" si="94">IF(D1038="","",D1038*E1038)</f>
        <v/>
      </c>
      <c r="G1038" s="1"/>
      <c r="H1038" s="77">
        <f>IF(G1038="",0,VLOOKUP(G1038,REFCE!A:D,2,FALSE))</f>
        <v>0</v>
      </c>
      <c r="I1038" s="77" t="str">
        <f t="shared" ref="I1038:I1101" si="95">IF(F1038="","",F1038*H1038)</f>
        <v/>
      </c>
    </row>
    <row r="1039" spans="1:9" x14ac:dyDescent="0.25">
      <c r="A1039" s="203" t="str">
        <f>IF(DATA!M969="","",DATA!M969)</f>
        <v/>
      </c>
      <c r="B1039" s="203" t="str">
        <f>IF(DATA!N969="","",DATA!N969)</f>
        <v/>
      </c>
      <c r="C1039" s="203" t="str">
        <f>IF(DATA!O969="","",DATA!O969)</f>
        <v/>
      </c>
      <c r="D1039" s="203" t="str">
        <f>IF(DATA!P969="","",DATA!P969)</f>
        <v/>
      </c>
      <c r="E1039" s="13"/>
      <c r="F1039" s="5" t="str">
        <f t="shared" si="94"/>
        <v/>
      </c>
      <c r="G1039" s="1"/>
      <c r="H1039" s="77">
        <f>IF(G1039="",0,VLOOKUP(G1039,REFCE!A:D,2,FALSE))</f>
        <v>0</v>
      </c>
      <c r="I1039" s="77" t="str">
        <f t="shared" si="95"/>
        <v/>
      </c>
    </row>
    <row r="1040" spans="1:9" x14ac:dyDescent="0.25">
      <c r="A1040" s="203" t="str">
        <f>IF(DATA!M970="","",DATA!M970)</f>
        <v/>
      </c>
      <c r="B1040" s="203" t="str">
        <f>IF(DATA!N970="","",DATA!N970)</f>
        <v/>
      </c>
      <c r="C1040" s="203" t="str">
        <f>IF(DATA!O970="","",DATA!O970)</f>
        <v/>
      </c>
      <c r="D1040" s="203" t="str">
        <f>IF(DATA!P970="","",DATA!P970)</f>
        <v/>
      </c>
      <c r="E1040" s="13"/>
      <c r="F1040" s="5" t="str">
        <f t="shared" si="94"/>
        <v/>
      </c>
      <c r="G1040" s="1"/>
      <c r="H1040" s="77">
        <f>IF(G1040="",0,VLOOKUP(G1040,REFCE!A:D,2,FALSE))</f>
        <v>0</v>
      </c>
      <c r="I1040" s="77" t="str">
        <f t="shared" si="95"/>
        <v/>
      </c>
    </row>
    <row r="1041" spans="1:9" x14ac:dyDescent="0.25">
      <c r="A1041" s="203" t="str">
        <f>IF(DATA!M971="","",DATA!M971)</f>
        <v/>
      </c>
      <c r="B1041" s="203" t="str">
        <f>IF(DATA!N971="","",DATA!N971)</f>
        <v/>
      </c>
      <c r="C1041" s="203" t="str">
        <f>IF(DATA!O971="","",DATA!O971)</f>
        <v/>
      </c>
      <c r="D1041" s="203" t="str">
        <f>IF(DATA!P971="","",DATA!P971)</f>
        <v/>
      </c>
      <c r="E1041" s="13"/>
      <c r="F1041" s="5" t="str">
        <f t="shared" si="94"/>
        <v/>
      </c>
      <c r="G1041" s="1"/>
      <c r="H1041" s="77">
        <f>IF(G1041="",0,VLOOKUP(G1041,REFCE!A:D,2,FALSE))</f>
        <v>0</v>
      </c>
      <c r="I1041" s="77" t="str">
        <f t="shared" si="95"/>
        <v/>
      </c>
    </row>
    <row r="1042" spans="1:9" x14ac:dyDescent="0.25">
      <c r="A1042" s="203" t="str">
        <f>IF(DATA!M972="","",DATA!M972)</f>
        <v/>
      </c>
      <c r="B1042" s="203" t="str">
        <f>IF(DATA!N972="","",DATA!N972)</f>
        <v/>
      </c>
      <c r="C1042" s="203" t="str">
        <f>IF(DATA!O972="","",DATA!O972)</f>
        <v/>
      </c>
      <c r="D1042" s="203" t="str">
        <f>IF(DATA!P972="","",DATA!P972)</f>
        <v/>
      </c>
      <c r="E1042" s="13"/>
      <c r="F1042" s="5" t="str">
        <f t="shared" si="94"/>
        <v/>
      </c>
      <c r="G1042" s="1"/>
      <c r="H1042" s="77">
        <f>IF(G1042="",0,VLOOKUP(G1042,REFCE!A:D,2,FALSE))</f>
        <v>0</v>
      </c>
      <c r="I1042" s="77" t="str">
        <f t="shared" si="95"/>
        <v/>
      </c>
    </row>
    <row r="1043" spans="1:9" x14ac:dyDescent="0.25">
      <c r="A1043" s="203" t="str">
        <f>IF(DATA!M973="","",DATA!M973)</f>
        <v/>
      </c>
      <c r="B1043" s="203" t="str">
        <f>IF(DATA!N973="","",DATA!N973)</f>
        <v/>
      </c>
      <c r="C1043" s="203" t="str">
        <f>IF(DATA!O973="","",DATA!O973)</f>
        <v/>
      </c>
      <c r="D1043" s="203" t="str">
        <f>IF(DATA!P973="","",DATA!P973)</f>
        <v/>
      </c>
      <c r="E1043" s="13"/>
      <c r="F1043" s="5" t="str">
        <f t="shared" si="94"/>
        <v/>
      </c>
      <c r="G1043" s="1"/>
      <c r="H1043" s="77">
        <f>IF(G1043="",0,VLOOKUP(G1043,REFCE!A:D,2,FALSE))</f>
        <v>0</v>
      </c>
      <c r="I1043" s="77" t="str">
        <f t="shared" si="95"/>
        <v/>
      </c>
    </row>
    <row r="1044" spans="1:9" x14ac:dyDescent="0.25">
      <c r="A1044" s="203" t="str">
        <f>IF(DATA!M974="","",DATA!M974)</f>
        <v/>
      </c>
      <c r="B1044" s="203" t="str">
        <f>IF(DATA!N974="","",DATA!N974)</f>
        <v/>
      </c>
      <c r="C1044" s="203" t="str">
        <f>IF(DATA!O974="","",DATA!O974)</f>
        <v/>
      </c>
      <c r="D1044" s="203" t="str">
        <f>IF(DATA!P974="","",DATA!P974)</f>
        <v/>
      </c>
      <c r="E1044" s="13"/>
      <c r="F1044" s="5" t="str">
        <f t="shared" si="94"/>
        <v/>
      </c>
      <c r="G1044" s="1"/>
      <c r="H1044" s="77">
        <f>IF(G1044="",0,VLOOKUP(G1044,REFCE!A:D,2,FALSE))</f>
        <v>0</v>
      </c>
      <c r="I1044" s="77" t="str">
        <f t="shared" si="95"/>
        <v/>
      </c>
    </row>
    <row r="1045" spans="1:9" x14ac:dyDescent="0.25">
      <c r="A1045" s="203" t="str">
        <f>IF(DATA!M975="","",DATA!M975)</f>
        <v/>
      </c>
      <c r="B1045" s="203" t="str">
        <f>IF(DATA!N975="","",DATA!N975)</f>
        <v/>
      </c>
      <c r="C1045" s="203" t="str">
        <f>IF(DATA!O975="","",DATA!O975)</f>
        <v/>
      </c>
      <c r="D1045" s="203" t="str">
        <f>IF(DATA!P975="","",DATA!P975)</f>
        <v/>
      </c>
      <c r="E1045" s="13"/>
      <c r="F1045" s="5" t="str">
        <f t="shared" si="94"/>
        <v/>
      </c>
      <c r="G1045" s="1"/>
      <c r="H1045" s="77">
        <f>IF(G1045="",0,VLOOKUP(G1045,REFCE!A:D,2,FALSE))</f>
        <v>0</v>
      </c>
      <c r="I1045" s="77" t="str">
        <f t="shared" si="95"/>
        <v/>
      </c>
    </row>
    <row r="1046" spans="1:9" x14ac:dyDescent="0.25">
      <c r="A1046" s="203" t="str">
        <f>IF(DATA!M976="","",DATA!M976)</f>
        <v/>
      </c>
      <c r="B1046" s="203" t="str">
        <f>IF(DATA!N976="","",DATA!N976)</f>
        <v/>
      </c>
      <c r="C1046" s="203" t="str">
        <f>IF(DATA!O976="","",DATA!O976)</f>
        <v/>
      </c>
      <c r="D1046" s="203" t="str">
        <f>IF(DATA!P976="","",DATA!P976)</f>
        <v/>
      </c>
      <c r="E1046" s="13"/>
      <c r="F1046" s="5" t="str">
        <f t="shared" si="94"/>
        <v/>
      </c>
      <c r="G1046" s="1"/>
      <c r="H1046" s="77">
        <f>IF(G1046="",0,VLOOKUP(G1046,REFCE!A:D,2,FALSE))</f>
        <v>0</v>
      </c>
      <c r="I1046" s="77" t="str">
        <f t="shared" si="95"/>
        <v/>
      </c>
    </row>
    <row r="1047" spans="1:9" x14ac:dyDescent="0.25">
      <c r="A1047" s="203" t="str">
        <f>IF(DATA!M977="","",DATA!M977)</f>
        <v/>
      </c>
      <c r="B1047" s="203" t="str">
        <f>IF(DATA!N977="","",DATA!N977)</f>
        <v/>
      </c>
      <c r="C1047" s="203" t="str">
        <f>IF(DATA!O977="","",DATA!O977)</f>
        <v/>
      </c>
      <c r="D1047" s="203" t="str">
        <f>IF(DATA!P977="","",DATA!P977)</f>
        <v/>
      </c>
      <c r="E1047" s="13"/>
      <c r="F1047" s="5" t="str">
        <f t="shared" si="94"/>
        <v/>
      </c>
      <c r="G1047" s="1"/>
      <c r="H1047" s="77">
        <f>IF(G1047="",0,VLOOKUP(G1047,REFCE!A:D,2,FALSE))</f>
        <v>0</v>
      </c>
      <c r="I1047" s="77" t="str">
        <f t="shared" si="95"/>
        <v/>
      </c>
    </row>
    <row r="1048" spans="1:9" x14ac:dyDescent="0.25">
      <c r="A1048" s="203" t="str">
        <f>IF(DATA!M978="","",DATA!M978)</f>
        <v/>
      </c>
      <c r="B1048" s="203" t="str">
        <f>IF(DATA!N978="","",DATA!N978)</f>
        <v/>
      </c>
      <c r="C1048" s="203" t="str">
        <f>IF(DATA!O978="","",DATA!O978)</f>
        <v/>
      </c>
      <c r="D1048" s="203" t="str">
        <f>IF(DATA!P978="","",DATA!P978)</f>
        <v/>
      </c>
      <c r="E1048" s="13"/>
      <c r="F1048" s="5" t="str">
        <f t="shared" si="94"/>
        <v/>
      </c>
      <c r="G1048" s="1"/>
      <c r="H1048" s="77">
        <f>IF(G1048="",0,VLOOKUP(G1048,REFCE!A:D,2,FALSE))</f>
        <v>0</v>
      </c>
      <c r="I1048" s="77" t="str">
        <f t="shared" si="95"/>
        <v/>
      </c>
    </row>
    <row r="1049" spans="1:9" x14ac:dyDescent="0.25">
      <c r="A1049" s="203" t="str">
        <f>IF(DATA!M979="","",DATA!M979)</f>
        <v/>
      </c>
      <c r="B1049" s="203" t="str">
        <f>IF(DATA!N979="","",DATA!N979)</f>
        <v/>
      </c>
      <c r="C1049" s="203" t="str">
        <f>IF(DATA!O979="","",DATA!O979)</f>
        <v/>
      </c>
      <c r="D1049" s="203" t="str">
        <f>IF(DATA!P979="","",DATA!P979)</f>
        <v/>
      </c>
      <c r="E1049" s="13"/>
      <c r="F1049" s="5" t="str">
        <f t="shared" si="94"/>
        <v/>
      </c>
      <c r="G1049" s="1"/>
      <c r="H1049" s="77">
        <f>IF(G1049="",0,VLOOKUP(G1049,REFCE!A:D,2,FALSE))</f>
        <v>0</v>
      </c>
      <c r="I1049" s="77" t="str">
        <f t="shared" si="95"/>
        <v/>
      </c>
    </row>
    <row r="1050" spans="1:9" x14ac:dyDescent="0.25">
      <c r="A1050" s="203" t="str">
        <f>IF(DATA!M980="","",DATA!M980)</f>
        <v/>
      </c>
      <c r="B1050" s="203" t="str">
        <f>IF(DATA!N980="","",DATA!N980)</f>
        <v/>
      </c>
      <c r="C1050" s="203" t="str">
        <f>IF(DATA!O980="","",DATA!O980)</f>
        <v/>
      </c>
      <c r="D1050" s="203" t="str">
        <f>IF(DATA!P980="","",DATA!P980)</f>
        <v/>
      </c>
      <c r="E1050" s="13"/>
      <c r="F1050" s="5" t="str">
        <f t="shared" si="94"/>
        <v/>
      </c>
      <c r="G1050" s="1"/>
      <c r="H1050" s="77">
        <f>IF(G1050="",0,VLOOKUP(G1050,REFCE!A:D,2,FALSE))</f>
        <v>0</v>
      </c>
      <c r="I1050" s="77" t="str">
        <f t="shared" si="95"/>
        <v/>
      </c>
    </row>
    <row r="1051" spans="1:9" x14ac:dyDescent="0.25">
      <c r="A1051" s="203" t="str">
        <f>IF(DATA!M981="","",DATA!M981)</f>
        <v/>
      </c>
      <c r="B1051" s="203" t="str">
        <f>IF(DATA!N981="","",DATA!N981)</f>
        <v/>
      </c>
      <c r="C1051" s="203" t="str">
        <f>IF(DATA!O981="","",DATA!O981)</f>
        <v/>
      </c>
      <c r="D1051" s="203" t="str">
        <f>IF(DATA!P981="","",DATA!P981)</f>
        <v/>
      </c>
      <c r="E1051" s="13"/>
      <c r="F1051" s="5" t="str">
        <f t="shared" si="94"/>
        <v/>
      </c>
      <c r="G1051" s="1"/>
      <c r="H1051" s="77">
        <f>IF(G1051="",0,VLOOKUP(G1051,REFCE!A:D,2,FALSE))</f>
        <v>0</v>
      </c>
      <c r="I1051" s="77" t="str">
        <f t="shared" si="95"/>
        <v/>
      </c>
    </row>
    <row r="1052" spans="1:9" x14ac:dyDescent="0.25">
      <c r="A1052" s="203" t="str">
        <f>IF(DATA!M982="","",DATA!M982)</f>
        <v/>
      </c>
      <c r="B1052" s="203" t="str">
        <f>IF(DATA!N982="","",DATA!N982)</f>
        <v/>
      </c>
      <c r="C1052" s="203" t="str">
        <f>IF(DATA!O982="","",DATA!O982)</f>
        <v/>
      </c>
      <c r="D1052" s="203" t="str">
        <f>IF(DATA!P982="","",DATA!P982)</f>
        <v/>
      </c>
      <c r="E1052" s="13"/>
      <c r="F1052" s="5" t="str">
        <f t="shared" si="94"/>
        <v/>
      </c>
      <c r="G1052" s="1"/>
      <c r="H1052" s="77">
        <f>IF(G1052="",0,VLOOKUP(G1052,REFCE!A:D,2,FALSE))</f>
        <v>0</v>
      </c>
      <c r="I1052" s="77" t="str">
        <f t="shared" si="95"/>
        <v/>
      </c>
    </row>
    <row r="1053" spans="1:9" x14ac:dyDescent="0.25">
      <c r="A1053" s="203" t="str">
        <f>IF(DATA!M983="","",DATA!M983)</f>
        <v/>
      </c>
      <c r="B1053" s="203" t="str">
        <f>IF(DATA!N983="","",DATA!N983)</f>
        <v/>
      </c>
      <c r="C1053" s="203" t="str">
        <f>IF(DATA!O983="","",DATA!O983)</f>
        <v/>
      </c>
      <c r="D1053" s="203" t="str">
        <f>IF(DATA!P983="","",DATA!P983)</f>
        <v/>
      </c>
      <c r="E1053" s="13"/>
      <c r="F1053" s="5" t="str">
        <f t="shared" si="94"/>
        <v/>
      </c>
      <c r="G1053" s="1"/>
      <c r="H1053" s="77">
        <f>IF(G1053="",0,VLOOKUP(G1053,REFCE!A:D,2,FALSE))</f>
        <v>0</v>
      </c>
      <c r="I1053" s="77" t="str">
        <f t="shared" si="95"/>
        <v/>
      </c>
    </row>
    <row r="1054" spans="1:9" x14ac:dyDescent="0.25">
      <c r="A1054" s="203" t="str">
        <f>IF(DATA!M984="","",DATA!M984)</f>
        <v/>
      </c>
      <c r="B1054" s="203" t="str">
        <f>IF(DATA!N984="","",DATA!N984)</f>
        <v/>
      </c>
      <c r="C1054" s="203" t="str">
        <f>IF(DATA!O984="","",DATA!O984)</f>
        <v/>
      </c>
      <c r="D1054" s="203" t="str">
        <f>IF(DATA!P984="","",DATA!P984)</f>
        <v/>
      </c>
      <c r="E1054" s="13"/>
      <c r="F1054" s="5" t="str">
        <f t="shared" si="94"/>
        <v/>
      </c>
      <c r="G1054" s="1"/>
      <c r="H1054" s="77">
        <f>IF(G1054="",0,VLOOKUP(G1054,REFCE!A:D,2,FALSE))</f>
        <v>0</v>
      </c>
      <c r="I1054" s="77" t="str">
        <f t="shared" si="95"/>
        <v/>
      </c>
    </row>
    <row r="1055" spans="1:9" x14ac:dyDescent="0.25">
      <c r="A1055" s="203" t="str">
        <f>IF(DATA!M985="","",DATA!M985)</f>
        <v/>
      </c>
      <c r="B1055" s="203" t="str">
        <f>IF(DATA!N985="","",DATA!N985)</f>
        <v/>
      </c>
      <c r="C1055" s="203" t="str">
        <f>IF(DATA!O985="","",DATA!O985)</f>
        <v/>
      </c>
      <c r="D1055" s="203" t="str">
        <f>IF(DATA!P985="","",DATA!P985)</f>
        <v/>
      </c>
      <c r="E1055" s="13"/>
      <c r="F1055" s="5" t="str">
        <f t="shared" si="94"/>
        <v/>
      </c>
      <c r="G1055" s="1"/>
      <c r="H1055" s="77">
        <f>IF(G1055="",0,VLOOKUP(G1055,REFCE!A:D,2,FALSE))</f>
        <v>0</v>
      </c>
      <c r="I1055" s="77" t="str">
        <f t="shared" si="95"/>
        <v/>
      </c>
    </row>
    <row r="1056" spans="1:9" x14ac:dyDescent="0.25">
      <c r="A1056" s="203" t="str">
        <f>IF(DATA!M986="","",DATA!M986)</f>
        <v/>
      </c>
      <c r="B1056" s="203" t="str">
        <f>IF(DATA!N986="","",DATA!N986)</f>
        <v/>
      </c>
      <c r="C1056" s="203" t="str">
        <f>IF(DATA!O986="","",DATA!O986)</f>
        <v/>
      </c>
      <c r="D1056" s="203" t="str">
        <f>IF(DATA!P986="","",DATA!P986)</f>
        <v/>
      </c>
      <c r="E1056" s="13"/>
      <c r="F1056" s="5" t="str">
        <f t="shared" si="94"/>
        <v/>
      </c>
      <c r="G1056" s="1"/>
      <c r="H1056" s="77">
        <f>IF(G1056="",0,VLOOKUP(G1056,REFCE!A:D,2,FALSE))</f>
        <v>0</v>
      </c>
      <c r="I1056" s="77" t="str">
        <f t="shared" si="95"/>
        <v/>
      </c>
    </row>
    <row r="1057" spans="1:9" x14ac:dyDescent="0.25">
      <c r="A1057" s="203" t="str">
        <f>IF(DATA!M987="","",DATA!M987)</f>
        <v/>
      </c>
      <c r="B1057" s="203" t="str">
        <f>IF(DATA!N987="","",DATA!N987)</f>
        <v/>
      </c>
      <c r="C1057" s="203" t="str">
        <f>IF(DATA!O987="","",DATA!O987)</f>
        <v/>
      </c>
      <c r="D1057" s="203" t="str">
        <f>IF(DATA!P987="","",DATA!P987)</f>
        <v/>
      </c>
      <c r="E1057" s="13"/>
      <c r="F1057" s="5" t="str">
        <f t="shared" si="94"/>
        <v/>
      </c>
      <c r="G1057" s="1"/>
      <c r="H1057" s="77">
        <f>IF(G1057="",0,VLOOKUP(G1057,REFCE!A:D,2,FALSE))</f>
        <v>0</v>
      </c>
      <c r="I1057" s="77" t="str">
        <f t="shared" si="95"/>
        <v/>
      </c>
    </row>
    <row r="1058" spans="1:9" x14ac:dyDescent="0.25">
      <c r="A1058" s="203" t="str">
        <f>IF(DATA!M988="","",DATA!M988)</f>
        <v/>
      </c>
      <c r="B1058" s="203" t="str">
        <f>IF(DATA!N988="","",DATA!N988)</f>
        <v/>
      </c>
      <c r="C1058" s="203" t="str">
        <f>IF(DATA!O988="","",DATA!O988)</f>
        <v/>
      </c>
      <c r="D1058" s="203" t="str">
        <f>IF(DATA!P988="","",DATA!P988)</f>
        <v/>
      </c>
      <c r="E1058" s="13"/>
      <c r="F1058" s="5" t="str">
        <f t="shared" si="94"/>
        <v/>
      </c>
      <c r="G1058" s="1"/>
      <c r="H1058" s="77">
        <f>IF(G1058="",0,VLOOKUP(G1058,REFCE!A:D,2,FALSE))</f>
        <v>0</v>
      </c>
      <c r="I1058" s="77" t="str">
        <f t="shared" si="95"/>
        <v/>
      </c>
    </row>
    <row r="1059" spans="1:9" x14ac:dyDescent="0.25">
      <c r="A1059" s="203" t="str">
        <f>IF(DATA!M989="","",DATA!M989)</f>
        <v/>
      </c>
      <c r="B1059" s="203" t="str">
        <f>IF(DATA!N989="","",DATA!N989)</f>
        <v/>
      </c>
      <c r="C1059" s="203" t="str">
        <f>IF(DATA!O989="","",DATA!O989)</f>
        <v/>
      </c>
      <c r="D1059" s="203" t="str">
        <f>IF(DATA!P989="","",DATA!P989)</f>
        <v/>
      </c>
      <c r="E1059" s="13"/>
      <c r="F1059" s="5" t="str">
        <f t="shared" si="94"/>
        <v/>
      </c>
      <c r="G1059" s="1"/>
      <c r="H1059" s="77">
        <f>IF(G1059="",0,VLOOKUP(G1059,REFCE!A:D,2,FALSE))</f>
        <v>0</v>
      </c>
      <c r="I1059" s="77" t="str">
        <f t="shared" si="95"/>
        <v/>
      </c>
    </row>
    <row r="1060" spans="1:9" x14ac:dyDescent="0.25">
      <c r="A1060" s="203" t="str">
        <f>IF(DATA!M990="","",DATA!M990)</f>
        <v/>
      </c>
      <c r="B1060" s="203" t="str">
        <f>IF(DATA!N990="","",DATA!N990)</f>
        <v/>
      </c>
      <c r="C1060" s="203" t="str">
        <f>IF(DATA!O990="","",DATA!O990)</f>
        <v/>
      </c>
      <c r="D1060" s="203" t="str">
        <f>IF(DATA!P990="","",DATA!P990)</f>
        <v/>
      </c>
      <c r="E1060" s="13"/>
      <c r="F1060" s="5" t="str">
        <f t="shared" si="94"/>
        <v/>
      </c>
      <c r="G1060" s="1"/>
      <c r="H1060" s="77">
        <f>IF(G1060="",0,VLOOKUP(G1060,REFCE!A:D,2,FALSE))</f>
        <v>0</v>
      </c>
      <c r="I1060" s="77" t="str">
        <f t="shared" si="95"/>
        <v/>
      </c>
    </row>
    <row r="1061" spans="1:9" x14ac:dyDescent="0.25">
      <c r="A1061" s="203" t="str">
        <f>IF(DATA!M991="","",DATA!M991)</f>
        <v/>
      </c>
      <c r="B1061" s="203" t="str">
        <f>IF(DATA!N991="","",DATA!N991)</f>
        <v/>
      </c>
      <c r="C1061" s="203" t="str">
        <f>IF(DATA!O991="","",DATA!O991)</f>
        <v/>
      </c>
      <c r="D1061" s="203" t="str">
        <f>IF(DATA!P991="","",DATA!P991)</f>
        <v/>
      </c>
      <c r="E1061" s="13"/>
      <c r="F1061" s="5" t="str">
        <f t="shared" si="94"/>
        <v/>
      </c>
      <c r="G1061" s="1"/>
      <c r="H1061" s="77">
        <f>IF(G1061="",0,VLOOKUP(G1061,REFCE!A:D,2,FALSE))</f>
        <v>0</v>
      </c>
      <c r="I1061" s="77" t="str">
        <f t="shared" si="95"/>
        <v/>
      </c>
    </row>
    <row r="1062" spans="1:9" x14ac:dyDescent="0.25">
      <c r="A1062" s="203" t="str">
        <f>IF(DATA!M992="","",DATA!M992)</f>
        <v/>
      </c>
      <c r="B1062" s="203" t="str">
        <f>IF(DATA!N992="","",DATA!N992)</f>
        <v/>
      </c>
      <c r="C1062" s="203" t="str">
        <f>IF(DATA!O992="","",DATA!O992)</f>
        <v/>
      </c>
      <c r="D1062" s="203" t="str">
        <f>IF(DATA!P992="","",DATA!P992)</f>
        <v/>
      </c>
      <c r="E1062" s="13"/>
      <c r="F1062" s="5" t="str">
        <f t="shared" si="94"/>
        <v/>
      </c>
      <c r="G1062" s="1"/>
      <c r="H1062" s="77">
        <f>IF(G1062="",0,VLOOKUP(G1062,REFCE!A:D,2,FALSE))</f>
        <v>0</v>
      </c>
      <c r="I1062" s="77" t="str">
        <f t="shared" si="95"/>
        <v/>
      </c>
    </row>
    <row r="1063" spans="1:9" x14ac:dyDescent="0.25">
      <c r="A1063" s="203" t="str">
        <f>IF(DATA!M993="","",DATA!M993)</f>
        <v/>
      </c>
      <c r="B1063" s="203" t="str">
        <f>IF(DATA!N993="","",DATA!N993)</f>
        <v/>
      </c>
      <c r="C1063" s="203" t="str">
        <f>IF(DATA!O993="","",DATA!O993)</f>
        <v/>
      </c>
      <c r="D1063" s="203" t="str">
        <f>IF(DATA!P993="","",DATA!P993)</f>
        <v/>
      </c>
      <c r="E1063" s="13"/>
      <c r="F1063" s="5" t="str">
        <f t="shared" si="94"/>
        <v/>
      </c>
      <c r="G1063" s="1"/>
      <c r="H1063" s="77">
        <f>IF(G1063="",0,VLOOKUP(G1063,REFCE!A:D,2,FALSE))</f>
        <v>0</v>
      </c>
      <c r="I1063" s="77" t="str">
        <f t="shared" si="95"/>
        <v/>
      </c>
    </row>
    <row r="1064" spans="1:9" x14ac:dyDescent="0.25">
      <c r="A1064" s="203" t="str">
        <f>IF(DATA!M994="","",DATA!M994)</f>
        <v/>
      </c>
      <c r="B1064" s="203" t="str">
        <f>IF(DATA!N994="","",DATA!N994)</f>
        <v/>
      </c>
      <c r="C1064" s="203" t="str">
        <f>IF(DATA!O994="","",DATA!O994)</f>
        <v/>
      </c>
      <c r="D1064" s="203" t="str">
        <f>IF(DATA!P994="","",DATA!P994)</f>
        <v/>
      </c>
      <c r="E1064" s="13"/>
      <c r="F1064" s="5" t="str">
        <f t="shared" si="94"/>
        <v/>
      </c>
      <c r="G1064" s="1"/>
      <c r="H1064" s="77">
        <f>IF(G1064="",0,VLOOKUP(G1064,REFCE!A:D,2,FALSE))</f>
        <v>0</v>
      </c>
      <c r="I1064" s="77" t="str">
        <f t="shared" si="95"/>
        <v/>
      </c>
    </row>
    <row r="1065" spans="1:9" x14ac:dyDescent="0.25">
      <c r="A1065" s="203" t="str">
        <f>IF(DATA!M995="","",DATA!M995)</f>
        <v/>
      </c>
      <c r="B1065" s="203" t="str">
        <f>IF(DATA!N995="","",DATA!N995)</f>
        <v/>
      </c>
      <c r="C1065" s="203" t="str">
        <f>IF(DATA!O995="","",DATA!O995)</f>
        <v/>
      </c>
      <c r="D1065" s="203" t="str">
        <f>IF(DATA!P995="","",DATA!P995)</f>
        <v/>
      </c>
      <c r="E1065" s="13"/>
      <c r="F1065" s="5" t="str">
        <f t="shared" si="94"/>
        <v/>
      </c>
      <c r="G1065" s="1"/>
      <c r="H1065" s="77">
        <f>IF(G1065="",0,VLOOKUP(G1065,REFCE!A:D,2,FALSE))</f>
        <v>0</v>
      </c>
      <c r="I1065" s="77" t="str">
        <f t="shared" si="95"/>
        <v/>
      </c>
    </row>
    <row r="1066" spans="1:9" x14ac:dyDescent="0.25">
      <c r="A1066" s="203" t="str">
        <f>IF(DATA!M996="","",DATA!M996)</f>
        <v/>
      </c>
      <c r="B1066" s="203" t="str">
        <f>IF(DATA!N996="","",DATA!N996)</f>
        <v/>
      </c>
      <c r="C1066" s="203" t="str">
        <f>IF(DATA!O996="","",DATA!O996)</f>
        <v/>
      </c>
      <c r="D1066" s="203" t="str">
        <f>IF(DATA!P996="","",DATA!P996)</f>
        <v/>
      </c>
      <c r="E1066" s="13"/>
      <c r="F1066" s="5" t="str">
        <f t="shared" si="94"/>
        <v/>
      </c>
      <c r="G1066" s="1"/>
      <c r="H1066" s="77">
        <f>IF(G1066="",0,VLOOKUP(G1066,REFCE!A:D,2,FALSE))</f>
        <v>0</v>
      </c>
      <c r="I1066" s="77" t="str">
        <f t="shared" si="95"/>
        <v/>
      </c>
    </row>
    <row r="1067" spans="1:9" x14ac:dyDescent="0.25">
      <c r="A1067" s="203" t="str">
        <f>IF(DATA!M997="","",DATA!M997)</f>
        <v/>
      </c>
      <c r="B1067" s="203" t="str">
        <f>IF(DATA!N997="","",DATA!N997)</f>
        <v/>
      </c>
      <c r="C1067" s="203" t="str">
        <f>IF(DATA!O997="","",DATA!O997)</f>
        <v/>
      </c>
      <c r="D1067" s="203" t="str">
        <f>IF(DATA!P997="","",DATA!P997)</f>
        <v/>
      </c>
      <c r="E1067" s="13"/>
      <c r="F1067" s="5" t="str">
        <f t="shared" si="94"/>
        <v/>
      </c>
      <c r="G1067" s="1"/>
      <c r="H1067" s="77">
        <f>IF(G1067="",0,VLOOKUP(G1067,REFCE!A:D,2,FALSE))</f>
        <v>0</v>
      </c>
      <c r="I1067" s="77" t="str">
        <f t="shared" si="95"/>
        <v/>
      </c>
    </row>
    <row r="1068" spans="1:9" x14ac:dyDescent="0.25">
      <c r="A1068" s="203" t="str">
        <f>IF(DATA!M998="","",DATA!M998)</f>
        <v/>
      </c>
      <c r="B1068" s="203" t="str">
        <f>IF(DATA!N998="","",DATA!N998)</f>
        <v/>
      </c>
      <c r="C1068" s="203" t="str">
        <f>IF(DATA!O998="","",DATA!O998)</f>
        <v/>
      </c>
      <c r="D1068" s="203" t="str">
        <f>IF(DATA!P998="","",DATA!P998)</f>
        <v/>
      </c>
      <c r="E1068" s="13"/>
      <c r="F1068" s="5" t="str">
        <f t="shared" si="94"/>
        <v/>
      </c>
      <c r="G1068" s="1"/>
      <c r="H1068" s="77">
        <f>IF(G1068="",0,VLOOKUP(G1068,REFCE!A:D,2,FALSE))</f>
        <v>0</v>
      </c>
      <c r="I1068" s="77" t="str">
        <f t="shared" si="95"/>
        <v/>
      </c>
    </row>
    <row r="1069" spans="1:9" x14ac:dyDescent="0.25">
      <c r="A1069" s="203" t="str">
        <f>IF(DATA!M999="","",DATA!M999)</f>
        <v/>
      </c>
      <c r="B1069" s="203" t="str">
        <f>IF(DATA!N999="","",DATA!N999)</f>
        <v/>
      </c>
      <c r="C1069" s="203" t="str">
        <f>IF(DATA!O999="","",DATA!O999)</f>
        <v/>
      </c>
      <c r="D1069" s="203" t="str">
        <f>IF(DATA!P999="","",DATA!P999)</f>
        <v/>
      </c>
      <c r="E1069" s="13"/>
      <c r="F1069" s="5" t="str">
        <f t="shared" si="94"/>
        <v/>
      </c>
      <c r="G1069" s="1"/>
      <c r="H1069" s="77">
        <f>IF(G1069="",0,VLOOKUP(G1069,REFCE!A:D,2,FALSE))</f>
        <v>0</v>
      </c>
      <c r="I1069" s="77" t="str">
        <f t="shared" si="95"/>
        <v/>
      </c>
    </row>
    <row r="1070" spans="1:9" x14ac:dyDescent="0.25">
      <c r="A1070" s="203" t="str">
        <f>IF(DATA!M1000="","",DATA!M1000)</f>
        <v/>
      </c>
      <c r="B1070" s="203" t="str">
        <f>IF(DATA!N1000="","",DATA!N1000)</f>
        <v/>
      </c>
      <c r="C1070" s="203" t="str">
        <f>IF(DATA!O1000="","",DATA!O1000)</f>
        <v/>
      </c>
      <c r="D1070" s="203" t="str">
        <f>IF(DATA!P1000="","",DATA!P1000)</f>
        <v/>
      </c>
      <c r="E1070" s="13"/>
      <c r="F1070" s="5" t="str">
        <f t="shared" si="94"/>
        <v/>
      </c>
      <c r="G1070" s="1"/>
      <c r="H1070" s="77">
        <f>IF(G1070="",0,VLOOKUP(G1070,REFCE!A:D,2,FALSE))</f>
        <v>0</v>
      </c>
      <c r="I1070" s="77" t="str">
        <f t="shared" si="95"/>
        <v/>
      </c>
    </row>
    <row r="1071" spans="1:9" x14ac:dyDescent="0.25">
      <c r="A1071" s="203" t="str">
        <f>IF(DATA!M1001="","",DATA!M1001)</f>
        <v/>
      </c>
      <c r="B1071" s="203" t="str">
        <f>IF(DATA!N1001="","",DATA!N1001)</f>
        <v/>
      </c>
      <c r="C1071" s="203" t="str">
        <f>IF(DATA!O1001="","",DATA!O1001)</f>
        <v/>
      </c>
      <c r="D1071" s="203" t="str">
        <f>IF(DATA!P1001="","",DATA!P1001)</f>
        <v/>
      </c>
      <c r="E1071" s="13"/>
      <c r="F1071" s="5" t="str">
        <f t="shared" si="94"/>
        <v/>
      </c>
      <c r="G1071" s="1"/>
      <c r="H1071" s="77">
        <f>IF(G1071="",0,VLOOKUP(G1071,REFCE!A:D,2,FALSE))</f>
        <v>0</v>
      </c>
      <c r="I1071" s="77" t="str">
        <f t="shared" si="95"/>
        <v/>
      </c>
    </row>
    <row r="1072" spans="1:9" x14ac:dyDescent="0.25">
      <c r="A1072" s="203" t="str">
        <f>IF(DATA!M1002="","",DATA!M1002)</f>
        <v/>
      </c>
      <c r="B1072" s="203" t="str">
        <f>IF(DATA!N1002="","",DATA!N1002)</f>
        <v/>
      </c>
      <c r="C1072" s="203" t="str">
        <f>IF(DATA!O1002="","",DATA!O1002)</f>
        <v/>
      </c>
      <c r="D1072" s="203" t="str">
        <f>IF(DATA!P1002="","",DATA!P1002)</f>
        <v/>
      </c>
      <c r="E1072" s="13"/>
      <c r="F1072" s="5" t="str">
        <f t="shared" si="94"/>
        <v/>
      </c>
      <c r="G1072" s="1"/>
      <c r="H1072" s="77">
        <f>IF(G1072="",0,VLOOKUP(G1072,REFCE!A:D,2,FALSE))</f>
        <v>0</v>
      </c>
      <c r="I1072" s="77" t="str">
        <f t="shared" si="95"/>
        <v/>
      </c>
    </row>
    <row r="1073" spans="1:9" x14ac:dyDescent="0.25">
      <c r="A1073" s="203" t="str">
        <f>IF(DATA!M1003="","",DATA!M1003)</f>
        <v/>
      </c>
      <c r="B1073" s="203" t="str">
        <f>IF(DATA!N1003="","",DATA!N1003)</f>
        <v/>
      </c>
      <c r="C1073" s="203" t="str">
        <f>IF(DATA!O1003="","",DATA!O1003)</f>
        <v/>
      </c>
      <c r="D1073" s="203" t="str">
        <f>IF(DATA!P1003="","",DATA!P1003)</f>
        <v/>
      </c>
      <c r="E1073" s="13"/>
      <c r="F1073" s="5" t="str">
        <f t="shared" si="94"/>
        <v/>
      </c>
      <c r="G1073" s="1"/>
      <c r="H1073" s="77">
        <f>IF(G1073="",0,VLOOKUP(G1073,REFCE!A:D,2,FALSE))</f>
        <v>0</v>
      </c>
      <c r="I1073" s="77" t="str">
        <f t="shared" si="95"/>
        <v/>
      </c>
    </row>
    <row r="1074" spans="1:9" x14ac:dyDescent="0.25">
      <c r="A1074" s="203" t="str">
        <f>IF(DATA!M1004="","",DATA!M1004)</f>
        <v/>
      </c>
      <c r="B1074" s="203" t="str">
        <f>IF(DATA!N1004="","",DATA!N1004)</f>
        <v/>
      </c>
      <c r="C1074" s="203" t="str">
        <f>IF(DATA!O1004="","",DATA!O1004)</f>
        <v/>
      </c>
      <c r="D1074" s="203" t="str">
        <f>IF(DATA!P1004="","",DATA!P1004)</f>
        <v/>
      </c>
      <c r="E1074" s="13"/>
      <c r="F1074" s="5" t="str">
        <f t="shared" si="94"/>
        <v/>
      </c>
      <c r="G1074" s="1"/>
      <c r="H1074" s="77">
        <f>IF(G1074="",0,VLOOKUP(G1074,REFCE!A:D,2,FALSE))</f>
        <v>0</v>
      </c>
      <c r="I1074" s="77" t="str">
        <f t="shared" si="95"/>
        <v/>
      </c>
    </row>
    <row r="1075" spans="1:9" x14ac:dyDescent="0.25">
      <c r="A1075" s="203" t="str">
        <f>IF(DATA!M1005="","",DATA!M1005)</f>
        <v/>
      </c>
      <c r="B1075" s="203" t="str">
        <f>IF(DATA!N1005="","",DATA!N1005)</f>
        <v/>
      </c>
      <c r="C1075" s="203" t="str">
        <f>IF(DATA!O1005="","",DATA!O1005)</f>
        <v/>
      </c>
      <c r="D1075" s="203" t="str">
        <f>IF(DATA!P1005="","",DATA!P1005)</f>
        <v/>
      </c>
      <c r="E1075" s="13"/>
      <c r="F1075" s="5" t="str">
        <f t="shared" si="94"/>
        <v/>
      </c>
      <c r="G1075" s="1"/>
      <c r="H1075" s="77">
        <f>IF(G1075="",0,VLOOKUP(G1075,REFCE!A:D,2,FALSE))</f>
        <v>0</v>
      </c>
      <c r="I1075" s="77" t="str">
        <f t="shared" si="95"/>
        <v/>
      </c>
    </row>
    <row r="1076" spans="1:9" x14ac:dyDescent="0.25">
      <c r="A1076" s="203" t="str">
        <f>IF(DATA!M1006="","",DATA!M1006)</f>
        <v/>
      </c>
      <c r="B1076" s="203" t="str">
        <f>IF(DATA!N1006="","",DATA!N1006)</f>
        <v/>
      </c>
      <c r="C1076" s="203" t="str">
        <f>IF(DATA!O1006="","",DATA!O1006)</f>
        <v/>
      </c>
      <c r="D1076" s="203" t="str">
        <f>IF(DATA!P1006="","",DATA!P1006)</f>
        <v/>
      </c>
      <c r="E1076" s="13"/>
      <c r="F1076" s="5" t="str">
        <f t="shared" si="94"/>
        <v/>
      </c>
      <c r="G1076" s="1"/>
      <c r="H1076" s="77">
        <f>IF(G1076="",0,VLOOKUP(G1076,REFCE!A:D,2,FALSE))</f>
        <v>0</v>
      </c>
      <c r="I1076" s="77" t="str">
        <f t="shared" si="95"/>
        <v/>
      </c>
    </row>
    <row r="1077" spans="1:9" x14ac:dyDescent="0.25">
      <c r="A1077" s="203" t="str">
        <f>IF(DATA!M1007="","",DATA!M1007)</f>
        <v/>
      </c>
      <c r="B1077" s="203" t="str">
        <f>IF(DATA!N1007="","",DATA!N1007)</f>
        <v/>
      </c>
      <c r="C1077" s="203" t="str">
        <f>IF(DATA!O1007="","",DATA!O1007)</f>
        <v/>
      </c>
      <c r="D1077" s="203" t="str">
        <f>IF(DATA!P1007="","",DATA!P1007)</f>
        <v/>
      </c>
      <c r="E1077" s="13"/>
      <c r="F1077" s="5" t="str">
        <f t="shared" si="94"/>
        <v/>
      </c>
      <c r="G1077" s="1"/>
      <c r="H1077" s="77">
        <f>IF(G1077="",0,VLOOKUP(G1077,REFCE!A:D,2,FALSE))</f>
        <v>0</v>
      </c>
      <c r="I1077" s="77" t="str">
        <f t="shared" si="95"/>
        <v/>
      </c>
    </row>
    <row r="1078" spans="1:9" x14ac:dyDescent="0.25">
      <c r="A1078" s="203" t="str">
        <f>IF(DATA!M1008="","",DATA!M1008)</f>
        <v/>
      </c>
      <c r="B1078" s="203" t="str">
        <f>IF(DATA!N1008="","",DATA!N1008)</f>
        <v/>
      </c>
      <c r="C1078" s="203" t="str">
        <f>IF(DATA!O1008="","",DATA!O1008)</f>
        <v/>
      </c>
      <c r="D1078" s="203" t="str">
        <f>IF(DATA!P1008="","",DATA!P1008)</f>
        <v/>
      </c>
      <c r="E1078" s="13"/>
      <c r="F1078" s="5" t="str">
        <f t="shared" si="94"/>
        <v/>
      </c>
      <c r="G1078" s="1"/>
      <c r="H1078" s="77">
        <f>IF(G1078="",0,VLOOKUP(G1078,REFCE!A:D,2,FALSE))</f>
        <v>0</v>
      </c>
      <c r="I1078" s="77" t="str">
        <f t="shared" si="95"/>
        <v/>
      </c>
    </row>
    <row r="1079" spans="1:9" x14ac:dyDescent="0.25">
      <c r="A1079" s="203" t="str">
        <f>IF(DATA!M1009="","",DATA!M1009)</f>
        <v/>
      </c>
      <c r="B1079" s="203" t="str">
        <f>IF(DATA!N1009="","",DATA!N1009)</f>
        <v/>
      </c>
      <c r="C1079" s="203" t="str">
        <f>IF(DATA!O1009="","",DATA!O1009)</f>
        <v/>
      </c>
      <c r="D1079" s="203" t="str">
        <f>IF(DATA!P1009="","",DATA!P1009)</f>
        <v/>
      </c>
      <c r="E1079" s="13"/>
      <c r="F1079" s="5" t="str">
        <f t="shared" si="94"/>
        <v/>
      </c>
      <c r="G1079" s="1"/>
      <c r="H1079" s="77">
        <f>IF(G1079="",0,VLOOKUP(G1079,REFCE!A:D,2,FALSE))</f>
        <v>0</v>
      </c>
      <c r="I1079" s="77" t="str">
        <f t="shared" si="95"/>
        <v/>
      </c>
    </row>
    <row r="1080" spans="1:9" x14ac:dyDescent="0.25">
      <c r="A1080" s="203" t="str">
        <f>IF(DATA!M1010="","",DATA!M1010)</f>
        <v/>
      </c>
      <c r="B1080" s="203" t="str">
        <f>IF(DATA!N1010="","",DATA!N1010)</f>
        <v/>
      </c>
      <c r="C1080" s="203" t="str">
        <f>IF(DATA!O1010="","",DATA!O1010)</f>
        <v/>
      </c>
      <c r="D1080" s="203" t="str">
        <f>IF(DATA!P1010="","",DATA!P1010)</f>
        <v/>
      </c>
      <c r="E1080" s="13"/>
      <c r="F1080" s="5" t="str">
        <f t="shared" si="94"/>
        <v/>
      </c>
      <c r="G1080" s="1"/>
      <c r="H1080" s="77">
        <f>IF(G1080="",0,VLOOKUP(G1080,REFCE!A:D,2,FALSE))</f>
        <v>0</v>
      </c>
      <c r="I1080" s="77" t="str">
        <f t="shared" si="95"/>
        <v/>
      </c>
    </row>
    <row r="1081" spans="1:9" x14ac:dyDescent="0.25">
      <c r="A1081" s="203" t="str">
        <f>IF(DATA!M1011="","",DATA!M1011)</f>
        <v/>
      </c>
      <c r="B1081" s="203" t="str">
        <f>IF(DATA!N1011="","",DATA!N1011)</f>
        <v/>
      </c>
      <c r="C1081" s="203" t="str">
        <f>IF(DATA!O1011="","",DATA!O1011)</f>
        <v/>
      </c>
      <c r="D1081" s="203" t="str">
        <f>IF(DATA!P1011="","",DATA!P1011)</f>
        <v/>
      </c>
      <c r="E1081" s="13"/>
      <c r="F1081" s="5" t="str">
        <f t="shared" si="94"/>
        <v/>
      </c>
      <c r="G1081" s="1"/>
      <c r="H1081" s="77">
        <f>IF(G1081="",0,VLOOKUP(G1081,REFCE!A:D,2,FALSE))</f>
        <v>0</v>
      </c>
      <c r="I1081" s="77" t="str">
        <f t="shared" si="95"/>
        <v/>
      </c>
    </row>
    <row r="1082" spans="1:9" x14ac:dyDescent="0.25">
      <c r="A1082" s="203" t="str">
        <f>IF(DATA!M1012="","",DATA!M1012)</f>
        <v/>
      </c>
      <c r="B1082" s="203" t="str">
        <f>IF(DATA!N1012="","",DATA!N1012)</f>
        <v/>
      </c>
      <c r="C1082" s="203" t="str">
        <f>IF(DATA!O1012="","",DATA!O1012)</f>
        <v/>
      </c>
      <c r="D1082" s="203" t="str">
        <f>IF(DATA!P1012="","",DATA!P1012)</f>
        <v/>
      </c>
      <c r="E1082" s="13"/>
      <c r="F1082" s="5" t="str">
        <f t="shared" si="94"/>
        <v/>
      </c>
      <c r="G1082" s="1"/>
      <c r="H1082" s="77">
        <f>IF(G1082="",0,VLOOKUP(G1082,REFCE!A:D,2,FALSE))</f>
        <v>0</v>
      </c>
      <c r="I1082" s="77" t="str">
        <f t="shared" si="95"/>
        <v/>
      </c>
    </row>
    <row r="1083" spans="1:9" x14ac:dyDescent="0.25">
      <c r="A1083" s="203" t="str">
        <f>IF(DATA!M1013="","",DATA!M1013)</f>
        <v/>
      </c>
      <c r="B1083" s="203" t="str">
        <f>IF(DATA!N1013="","",DATA!N1013)</f>
        <v/>
      </c>
      <c r="C1083" s="203" t="str">
        <f>IF(DATA!O1013="","",DATA!O1013)</f>
        <v/>
      </c>
      <c r="D1083" s="203" t="str">
        <f>IF(DATA!P1013="","",DATA!P1013)</f>
        <v/>
      </c>
      <c r="E1083" s="13"/>
      <c r="F1083" s="5" t="str">
        <f t="shared" si="94"/>
        <v/>
      </c>
      <c r="G1083" s="1"/>
      <c r="H1083" s="77">
        <f>IF(G1083="",0,VLOOKUP(G1083,REFCE!A:D,2,FALSE))</f>
        <v>0</v>
      </c>
      <c r="I1083" s="77" t="str">
        <f t="shared" si="95"/>
        <v/>
      </c>
    </row>
    <row r="1084" spans="1:9" x14ac:dyDescent="0.25">
      <c r="A1084" s="203" t="str">
        <f>IF(DATA!M1014="","",DATA!M1014)</f>
        <v/>
      </c>
      <c r="B1084" s="203" t="str">
        <f>IF(DATA!N1014="","",DATA!N1014)</f>
        <v/>
      </c>
      <c r="C1084" s="203" t="str">
        <f>IF(DATA!O1014="","",DATA!O1014)</f>
        <v/>
      </c>
      <c r="D1084" s="203" t="str">
        <f>IF(DATA!P1014="","",DATA!P1014)</f>
        <v/>
      </c>
      <c r="E1084" s="13"/>
      <c r="F1084" s="5" t="str">
        <f t="shared" si="94"/>
        <v/>
      </c>
      <c r="G1084" s="1"/>
      <c r="H1084" s="77">
        <f>IF(G1084="",0,VLOOKUP(G1084,REFCE!A:D,2,FALSE))</f>
        <v>0</v>
      </c>
      <c r="I1084" s="77" t="str">
        <f t="shared" si="95"/>
        <v/>
      </c>
    </row>
    <row r="1085" spans="1:9" x14ac:dyDescent="0.25">
      <c r="A1085" s="203" t="str">
        <f>IF(DATA!M1015="","",DATA!M1015)</f>
        <v/>
      </c>
      <c r="B1085" s="203" t="str">
        <f>IF(DATA!N1015="","",DATA!N1015)</f>
        <v/>
      </c>
      <c r="C1085" s="203" t="str">
        <f>IF(DATA!O1015="","",DATA!O1015)</f>
        <v/>
      </c>
      <c r="D1085" s="203" t="str">
        <f>IF(DATA!P1015="","",DATA!P1015)</f>
        <v/>
      </c>
      <c r="E1085" s="13"/>
      <c r="F1085" s="5" t="str">
        <f t="shared" si="94"/>
        <v/>
      </c>
      <c r="G1085" s="1"/>
      <c r="H1085" s="77">
        <f>IF(G1085="",0,VLOOKUP(G1085,REFCE!A:D,2,FALSE))</f>
        <v>0</v>
      </c>
      <c r="I1085" s="77" t="str">
        <f t="shared" si="95"/>
        <v/>
      </c>
    </row>
    <row r="1086" spans="1:9" x14ac:dyDescent="0.25">
      <c r="A1086" s="203" t="str">
        <f>IF(DATA!M1016="","",DATA!M1016)</f>
        <v/>
      </c>
      <c r="B1086" s="203" t="str">
        <f>IF(DATA!N1016="","",DATA!N1016)</f>
        <v/>
      </c>
      <c r="C1086" s="203" t="str">
        <f>IF(DATA!O1016="","",DATA!O1016)</f>
        <v/>
      </c>
      <c r="D1086" s="203" t="str">
        <f>IF(DATA!P1016="","",DATA!P1016)</f>
        <v/>
      </c>
      <c r="E1086" s="13"/>
      <c r="F1086" s="5" t="str">
        <f t="shared" si="94"/>
        <v/>
      </c>
      <c r="G1086" s="1"/>
      <c r="H1086" s="77">
        <f>IF(G1086="",0,VLOOKUP(G1086,REFCE!A:D,2,FALSE))</f>
        <v>0</v>
      </c>
      <c r="I1086" s="77" t="str">
        <f t="shared" si="95"/>
        <v/>
      </c>
    </row>
    <row r="1087" spans="1:9" x14ac:dyDescent="0.25">
      <c r="A1087" s="203" t="str">
        <f>IF(DATA!M1017="","",DATA!M1017)</f>
        <v/>
      </c>
      <c r="B1087" s="203" t="str">
        <f>IF(DATA!N1017="","",DATA!N1017)</f>
        <v/>
      </c>
      <c r="C1087" s="203" t="str">
        <f>IF(DATA!O1017="","",DATA!O1017)</f>
        <v/>
      </c>
      <c r="D1087" s="203" t="str">
        <f>IF(DATA!P1017="","",DATA!P1017)</f>
        <v/>
      </c>
      <c r="E1087" s="13"/>
      <c r="F1087" s="5" t="str">
        <f t="shared" si="94"/>
        <v/>
      </c>
      <c r="G1087" s="1"/>
      <c r="H1087" s="77">
        <f>IF(G1087="",0,VLOOKUP(G1087,REFCE!A:D,2,FALSE))</f>
        <v>0</v>
      </c>
      <c r="I1087" s="77" t="str">
        <f t="shared" si="95"/>
        <v/>
      </c>
    </row>
    <row r="1088" spans="1:9" x14ac:dyDescent="0.25">
      <c r="A1088" s="203" t="str">
        <f>IF(DATA!M1018="","",DATA!M1018)</f>
        <v/>
      </c>
      <c r="B1088" s="203" t="str">
        <f>IF(DATA!N1018="","",DATA!N1018)</f>
        <v/>
      </c>
      <c r="C1088" s="203" t="str">
        <f>IF(DATA!O1018="","",DATA!O1018)</f>
        <v/>
      </c>
      <c r="D1088" s="203" t="str">
        <f>IF(DATA!P1018="","",DATA!P1018)</f>
        <v/>
      </c>
      <c r="E1088" s="13"/>
      <c r="F1088" s="5" t="str">
        <f t="shared" si="94"/>
        <v/>
      </c>
      <c r="G1088" s="1"/>
      <c r="H1088" s="77">
        <f>IF(G1088="",0,VLOOKUP(G1088,REFCE!A:D,2,FALSE))</f>
        <v>0</v>
      </c>
      <c r="I1088" s="77" t="str">
        <f t="shared" si="95"/>
        <v/>
      </c>
    </row>
    <row r="1089" spans="1:9" x14ac:dyDescent="0.25">
      <c r="A1089" s="203" t="str">
        <f>IF(DATA!M1019="","",DATA!M1019)</f>
        <v/>
      </c>
      <c r="B1089" s="203" t="str">
        <f>IF(DATA!N1019="","",DATA!N1019)</f>
        <v/>
      </c>
      <c r="C1089" s="203" t="str">
        <f>IF(DATA!O1019="","",DATA!O1019)</f>
        <v/>
      </c>
      <c r="D1089" s="203" t="str">
        <f>IF(DATA!P1019="","",DATA!P1019)</f>
        <v/>
      </c>
      <c r="E1089" s="13"/>
      <c r="F1089" s="5" t="str">
        <f t="shared" si="94"/>
        <v/>
      </c>
      <c r="G1089" s="1"/>
      <c r="H1089" s="77">
        <f>IF(G1089="",0,VLOOKUP(G1089,REFCE!A:D,2,FALSE))</f>
        <v>0</v>
      </c>
      <c r="I1089" s="77" t="str">
        <f t="shared" si="95"/>
        <v/>
      </c>
    </row>
    <row r="1090" spans="1:9" x14ac:dyDescent="0.25">
      <c r="A1090" s="203" t="str">
        <f>IF(DATA!M1020="","",DATA!M1020)</f>
        <v/>
      </c>
      <c r="B1090" s="203" t="str">
        <f>IF(DATA!N1020="","",DATA!N1020)</f>
        <v/>
      </c>
      <c r="C1090" s="203" t="str">
        <f>IF(DATA!O1020="","",DATA!O1020)</f>
        <v/>
      </c>
      <c r="D1090" s="203" t="str">
        <f>IF(DATA!P1020="","",DATA!P1020)</f>
        <v/>
      </c>
      <c r="E1090" s="13"/>
      <c r="F1090" s="5" t="str">
        <f t="shared" si="94"/>
        <v/>
      </c>
      <c r="G1090" s="1"/>
      <c r="H1090" s="77">
        <f>IF(G1090="",0,VLOOKUP(G1090,REFCE!A:D,2,FALSE))</f>
        <v>0</v>
      </c>
      <c r="I1090" s="77" t="str">
        <f t="shared" si="95"/>
        <v/>
      </c>
    </row>
    <row r="1091" spans="1:9" x14ac:dyDescent="0.25">
      <c r="A1091" s="203" t="str">
        <f>IF(DATA!M1021="","",DATA!M1021)</f>
        <v/>
      </c>
      <c r="B1091" s="203" t="str">
        <f>IF(DATA!N1021="","",DATA!N1021)</f>
        <v/>
      </c>
      <c r="C1091" s="203" t="str">
        <f>IF(DATA!O1021="","",DATA!O1021)</f>
        <v/>
      </c>
      <c r="D1091" s="203" t="str">
        <f>IF(DATA!P1021="","",DATA!P1021)</f>
        <v/>
      </c>
      <c r="E1091" s="13"/>
      <c r="F1091" s="5" t="str">
        <f t="shared" si="94"/>
        <v/>
      </c>
      <c r="G1091" s="1"/>
      <c r="H1091" s="77">
        <f>IF(G1091="",0,VLOOKUP(G1091,REFCE!A:D,2,FALSE))</f>
        <v>0</v>
      </c>
      <c r="I1091" s="77" t="str">
        <f t="shared" si="95"/>
        <v/>
      </c>
    </row>
    <row r="1092" spans="1:9" x14ac:dyDescent="0.25">
      <c r="A1092" s="203" t="str">
        <f>IF(DATA!M1022="","",DATA!M1022)</f>
        <v/>
      </c>
      <c r="B1092" s="203" t="str">
        <f>IF(DATA!N1022="","",DATA!N1022)</f>
        <v/>
      </c>
      <c r="C1092" s="203" t="str">
        <f>IF(DATA!O1022="","",DATA!O1022)</f>
        <v/>
      </c>
      <c r="D1092" s="203" t="str">
        <f>IF(DATA!P1022="","",DATA!P1022)</f>
        <v/>
      </c>
      <c r="E1092" s="13"/>
      <c r="F1092" s="5" t="str">
        <f t="shared" si="94"/>
        <v/>
      </c>
      <c r="G1092" s="1"/>
      <c r="H1092" s="77">
        <f>IF(G1092="",0,VLOOKUP(G1092,REFCE!A:D,2,FALSE))</f>
        <v>0</v>
      </c>
      <c r="I1092" s="77" t="str">
        <f t="shared" si="95"/>
        <v/>
      </c>
    </row>
    <row r="1093" spans="1:9" x14ac:dyDescent="0.25">
      <c r="A1093" s="203" t="str">
        <f>IF(DATA!M1023="","",DATA!M1023)</f>
        <v/>
      </c>
      <c r="B1093" s="203" t="str">
        <f>IF(DATA!N1023="","",DATA!N1023)</f>
        <v/>
      </c>
      <c r="C1093" s="203" t="str">
        <f>IF(DATA!O1023="","",DATA!O1023)</f>
        <v/>
      </c>
      <c r="D1093" s="203" t="str">
        <f>IF(DATA!P1023="","",DATA!P1023)</f>
        <v/>
      </c>
      <c r="E1093" s="13"/>
      <c r="F1093" s="5" t="str">
        <f t="shared" si="94"/>
        <v/>
      </c>
      <c r="G1093" s="1"/>
      <c r="H1093" s="77">
        <f>IF(G1093="",0,VLOOKUP(G1093,REFCE!A:D,2,FALSE))</f>
        <v>0</v>
      </c>
      <c r="I1093" s="77" t="str">
        <f t="shared" si="95"/>
        <v/>
      </c>
    </row>
    <row r="1094" spans="1:9" x14ac:dyDescent="0.25">
      <c r="A1094" s="203" t="str">
        <f>IF(DATA!M1024="","",DATA!M1024)</f>
        <v/>
      </c>
      <c r="B1094" s="203" t="str">
        <f>IF(DATA!N1024="","",DATA!N1024)</f>
        <v/>
      </c>
      <c r="C1094" s="203" t="str">
        <f>IF(DATA!O1024="","",DATA!O1024)</f>
        <v/>
      </c>
      <c r="D1094" s="203" t="str">
        <f>IF(DATA!P1024="","",DATA!P1024)</f>
        <v/>
      </c>
      <c r="E1094" s="13"/>
      <c r="F1094" s="5" t="str">
        <f t="shared" si="94"/>
        <v/>
      </c>
      <c r="G1094" s="1"/>
      <c r="H1094" s="77">
        <f>IF(G1094="",0,VLOOKUP(G1094,REFCE!A:D,2,FALSE))</f>
        <v>0</v>
      </c>
      <c r="I1094" s="77" t="str">
        <f t="shared" si="95"/>
        <v/>
      </c>
    </row>
    <row r="1095" spans="1:9" x14ac:dyDescent="0.25">
      <c r="A1095" s="203" t="str">
        <f>IF(DATA!M1025="","",DATA!M1025)</f>
        <v/>
      </c>
      <c r="B1095" s="203" t="str">
        <f>IF(DATA!N1025="","",DATA!N1025)</f>
        <v/>
      </c>
      <c r="C1095" s="203" t="str">
        <f>IF(DATA!O1025="","",DATA!O1025)</f>
        <v/>
      </c>
      <c r="D1095" s="203" t="str">
        <f>IF(DATA!P1025="","",DATA!P1025)</f>
        <v/>
      </c>
      <c r="E1095" s="13"/>
      <c r="F1095" s="5" t="str">
        <f t="shared" si="94"/>
        <v/>
      </c>
      <c r="G1095" s="1"/>
      <c r="H1095" s="77">
        <f>IF(G1095="",0,VLOOKUP(G1095,REFCE!A:D,2,FALSE))</f>
        <v>0</v>
      </c>
      <c r="I1095" s="77" t="str">
        <f t="shared" si="95"/>
        <v/>
      </c>
    </row>
    <row r="1096" spans="1:9" x14ac:dyDescent="0.25">
      <c r="A1096" s="203" t="str">
        <f>IF(DATA!M1026="","",DATA!M1026)</f>
        <v/>
      </c>
      <c r="B1096" s="203" t="str">
        <f>IF(DATA!N1026="","",DATA!N1026)</f>
        <v/>
      </c>
      <c r="C1096" s="203" t="str">
        <f>IF(DATA!O1026="","",DATA!O1026)</f>
        <v/>
      </c>
      <c r="D1096" s="203" t="str">
        <f>IF(DATA!P1026="","",DATA!P1026)</f>
        <v/>
      </c>
      <c r="E1096" s="13"/>
      <c r="F1096" s="5" t="str">
        <f t="shared" si="94"/>
        <v/>
      </c>
      <c r="G1096" s="1"/>
      <c r="H1096" s="77">
        <f>IF(G1096="",0,VLOOKUP(G1096,REFCE!A:D,2,FALSE))</f>
        <v>0</v>
      </c>
      <c r="I1096" s="77" t="str">
        <f t="shared" si="95"/>
        <v/>
      </c>
    </row>
    <row r="1097" spans="1:9" x14ac:dyDescent="0.25">
      <c r="A1097" s="203" t="str">
        <f>IF(DATA!M1027="","",DATA!M1027)</f>
        <v/>
      </c>
      <c r="B1097" s="203" t="str">
        <f>IF(DATA!N1027="","",DATA!N1027)</f>
        <v/>
      </c>
      <c r="C1097" s="203" t="str">
        <f>IF(DATA!O1027="","",DATA!O1027)</f>
        <v/>
      </c>
      <c r="D1097" s="203" t="str">
        <f>IF(DATA!P1027="","",DATA!P1027)</f>
        <v/>
      </c>
      <c r="E1097" s="13"/>
      <c r="F1097" s="5" t="str">
        <f t="shared" si="94"/>
        <v/>
      </c>
      <c r="G1097" s="1"/>
      <c r="H1097" s="77">
        <f>IF(G1097="",0,VLOOKUP(G1097,REFCE!A:D,2,FALSE))</f>
        <v>0</v>
      </c>
      <c r="I1097" s="77" t="str">
        <f t="shared" si="95"/>
        <v/>
      </c>
    </row>
    <row r="1098" spans="1:9" x14ac:dyDescent="0.25">
      <c r="A1098" s="203" t="str">
        <f>IF(DATA!M1028="","",DATA!M1028)</f>
        <v/>
      </c>
      <c r="B1098" s="203" t="str">
        <f>IF(DATA!N1028="","",DATA!N1028)</f>
        <v/>
      </c>
      <c r="C1098" s="203" t="str">
        <f>IF(DATA!O1028="","",DATA!O1028)</f>
        <v/>
      </c>
      <c r="D1098" s="203" t="str">
        <f>IF(DATA!P1028="","",DATA!P1028)</f>
        <v/>
      </c>
      <c r="E1098" s="13"/>
      <c r="F1098" s="5" t="str">
        <f t="shared" si="94"/>
        <v/>
      </c>
      <c r="G1098" s="1"/>
      <c r="H1098" s="77">
        <f>IF(G1098="",0,VLOOKUP(G1098,REFCE!A:D,2,FALSE))</f>
        <v>0</v>
      </c>
      <c r="I1098" s="77" t="str">
        <f t="shared" si="95"/>
        <v/>
      </c>
    </row>
    <row r="1099" spans="1:9" x14ac:dyDescent="0.25">
      <c r="A1099" s="203" t="str">
        <f>IF(DATA!M1029="","",DATA!M1029)</f>
        <v/>
      </c>
      <c r="B1099" s="203" t="str">
        <f>IF(DATA!N1029="","",DATA!N1029)</f>
        <v/>
      </c>
      <c r="C1099" s="203" t="str">
        <f>IF(DATA!O1029="","",DATA!O1029)</f>
        <v/>
      </c>
      <c r="D1099" s="203" t="str">
        <f>IF(DATA!P1029="","",DATA!P1029)</f>
        <v/>
      </c>
      <c r="E1099" s="13"/>
      <c r="F1099" s="5" t="str">
        <f t="shared" si="94"/>
        <v/>
      </c>
      <c r="G1099" s="1"/>
      <c r="H1099" s="77">
        <f>IF(G1099="",0,VLOOKUP(G1099,REFCE!A:D,2,FALSE))</f>
        <v>0</v>
      </c>
      <c r="I1099" s="77" t="str">
        <f t="shared" si="95"/>
        <v/>
      </c>
    </row>
    <row r="1100" spans="1:9" x14ac:dyDescent="0.25">
      <c r="A1100" s="203" t="str">
        <f>IF(DATA!M1030="","",DATA!M1030)</f>
        <v/>
      </c>
      <c r="B1100" s="203" t="str">
        <f>IF(DATA!N1030="","",DATA!N1030)</f>
        <v/>
      </c>
      <c r="C1100" s="203" t="str">
        <f>IF(DATA!O1030="","",DATA!O1030)</f>
        <v/>
      </c>
      <c r="D1100" s="203" t="str">
        <f>IF(DATA!P1030="","",DATA!P1030)</f>
        <v/>
      </c>
      <c r="E1100" s="13"/>
      <c r="F1100" s="5" t="str">
        <f t="shared" si="94"/>
        <v/>
      </c>
      <c r="G1100" s="1"/>
      <c r="H1100" s="77">
        <f>IF(G1100="",0,VLOOKUP(G1100,REFCE!A:D,2,FALSE))</f>
        <v>0</v>
      </c>
      <c r="I1100" s="77" t="str">
        <f t="shared" si="95"/>
        <v/>
      </c>
    </row>
    <row r="1101" spans="1:9" x14ac:dyDescent="0.25">
      <c r="A1101" s="203" t="str">
        <f>IF(DATA!M1031="","",DATA!M1031)</f>
        <v/>
      </c>
      <c r="B1101" s="203" t="str">
        <f>IF(DATA!N1031="","",DATA!N1031)</f>
        <v/>
      </c>
      <c r="C1101" s="203" t="str">
        <f>IF(DATA!O1031="","",DATA!O1031)</f>
        <v/>
      </c>
      <c r="D1101" s="203" t="str">
        <f>IF(DATA!P1031="","",DATA!P1031)</f>
        <v/>
      </c>
      <c r="E1101" s="13"/>
      <c r="F1101" s="5" t="str">
        <f t="shared" si="94"/>
        <v/>
      </c>
      <c r="G1101" s="1"/>
      <c r="H1101" s="77">
        <f>IF(G1101="",0,VLOOKUP(G1101,REFCE!A:D,2,FALSE))</f>
        <v>0</v>
      </c>
      <c r="I1101" s="77" t="str">
        <f t="shared" si="95"/>
        <v/>
      </c>
    </row>
    <row r="1102" spans="1:9" x14ac:dyDescent="0.25">
      <c r="A1102" s="203" t="str">
        <f>IF(DATA!M1032="","",DATA!M1032)</f>
        <v/>
      </c>
      <c r="B1102" s="203" t="str">
        <f>IF(DATA!N1032="","",DATA!N1032)</f>
        <v/>
      </c>
      <c r="C1102" s="203" t="str">
        <f>IF(DATA!O1032="","",DATA!O1032)</f>
        <v/>
      </c>
      <c r="D1102" s="203" t="str">
        <f>IF(DATA!P1032="","",DATA!P1032)</f>
        <v/>
      </c>
      <c r="E1102" s="13"/>
      <c r="F1102" s="5" t="str">
        <f t="shared" ref="F1102:F1165" si="96">IF(D1102="","",D1102*E1102)</f>
        <v/>
      </c>
      <c r="G1102" s="1"/>
      <c r="H1102" s="77">
        <f>IF(G1102="",0,VLOOKUP(G1102,REFCE!A:D,2,FALSE))</f>
        <v>0</v>
      </c>
      <c r="I1102" s="77" t="str">
        <f t="shared" ref="I1102:I1165" si="97">IF(F1102="","",F1102*H1102)</f>
        <v/>
      </c>
    </row>
    <row r="1103" spans="1:9" x14ac:dyDescent="0.25">
      <c r="A1103" s="203" t="str">
        <f>IF(DATA!M1033="","",DATA!M1033)</f>
        <v/>
      </c>
      <c r="B1103" s="203" t="str">
        <f>IF(DATA!N1033="","",DATA!N1033)</f>
        <v/>
      </c>
      <c r="C1103" s="203" t="str">
        <f>IF(DATA!O1033="","",DATA!O1033)</f>
        <v/>
      </c>
      <c r="D1103" s="203" t="str">
        <f>IF(DATA!P1033="","",DATA!P1033)</f>
        <v/>
      </c>
      <c r="E1103" s="13"/>
      <c r="F1103" s="5" t="str">
        <f t="shared" si="96"/>
        <v/>
      </c>
      <c r="G1103" s="1"/>
      <c r="H1103" s="77">
        <f>IF(G1103="",0,VLOOKUP(G1103,REFCE!A:D,2,FALSE))</f>
        <v>0</v>
      </c>
      <c r="I1103" s="77" t="str">
        <f t="shared" si="97"/>
        <v/>
      </c>
    </row>
    <row r="1104" spans="1:9" x14ac:dyDescent="0.25">
      <c r="A1104" s="203" t="str">
        <f>IF(DATA!M1034="","",DATA!M1034)</f>
        <v/>
      </c>
      <c r="B1104" s="203" t="str">
        <f>IF(DATA!N1034="","",DATA!N1034)</f>
        <v/>
      </c>
      <c r="C1104" s="203" t="str">
        <f>IF(DATA!O1034="","",DATA!O1034)</f>
        <v/>
      </c>
      <c r="D1104" s="203" t="str">
        <f>IF(DATA!P1034="","",DATA!P1034)</f>
        <v/>
      </c>
      <c r="E1104" s="13"/>
      <c r="F1104" s="5" t="str">
        <f t="shared" si="96"/>
        <v/>
      </c>
      <c r="G1104" s="1"/>
      <c r="H1104" s="77">
        <f>IF(G1104="",0,VLOOKUP(G1104,REFCE!A:D,2,FALSE))</f>
        <v>0</v>
      </c>
      <c r="I1104" s="77" t="str">
        <f t="shared" si="97"/>
        <v/>
      </c>
    </row>
    <row r="1105" spans="1:9" x14ac:dyDescent="0.25">
      <c r="A1105" s="203" t="str">
        <f>IF(DATA!M1035="","",DATA!M1035)</f>
        <v/>
      </c>
      <c r="B1105" s="203" t="str">
        <f>IF(DATA!N1035="","",DATA!N1035)</f>
        <v/>
      </c>
      <c r="C1105" s="203" t="str">
        <f>IF(DATA!O1035="","",DATA!O1035)</f>
        <v/>
      </c>
      <c r="D1105" s="203" t="str">
        <f>IF(DATA!P1035="","",DATA!P1035)</f>
        <v/>
      </c>
      <c r="E1105" s="13"/>
      <c r="F1105" s="5" t="str">
        <f t="shared" si="96"/>
        <v/>
      </c>
      <c r="G1105" s="1"/>
      <c r="H1105" s="77">
        <f>IF(G1105="",0,VLOOKUP(G1105,REFCE!A:D,2,FALSE))</f>
        <v>0</v>
      </c>
      <c r="I1105" s="77" t="str">
        <f t="shared" si="97"/>
        <v/>
      </c>
    </row>
    <row r="1106" spans="1:9" x14ac:dyDescent="0.25">
      <c r="A1106" s="203" t="str">
        <f>IF(DATA!M1036="","",DATA!M1036)</f>
        <v/>
      </c>
      <c r="B1106" s="203" t="str">
        <f>IF(DATA!N1036="","",DATA!N1036)</f>
        <v/>
      </c>
      <c r="C1106" s="203" t="str">
        <f>IF(DATA!O1036="","",DATA!O1036)</f>
        <v/>
      </c>
      <c r="D1106" s="203" t="str">
        <f>IF(DATA!P1036="","",DATA!P1036)</f>
        <v/>
      </c>
      <c r="E1106" s="13"/>
      <c r="F1106" s="5" t="str">
        <f t="shared" si="96"/>
        <v/>
      </c>
      <c r="G1106" s="1"/>
      <c r="H1106" s="77">
        <f>IF(G1106="",0,VLOOKUP(G1106,REFCE!A:D,2,FALSE))</f>
        <v>0</v>
      </c>
      <c r="I1106" s="77" t="str">
        <f t="shared" si="97"/>
        <v/>
      </c>
    </row>
    <row r="1107" spans="1:9" x14ac:dyDescent="0.25">
      <c r="A1107" s="203" t="str">
        <f>IF(DATA!M1037="","",DATA!M1037)</f>
        <v/>
      </c>
      <c r="B1107" s="203" t="str">
        <f>IF(DATA!N1037="","",DATA!N1037)</f>
        <v/>
      </c>
      <c r="C1107" s="203" t="str">
        <f>IF(DATA!O1037="","",DATA!O1037)</f>
        <v/>
      </c>
      <c r="D1107" s="203" t="str">
        <f>IF(DATA!P1037="","",DATA!P1037)</f>
        <v/>
      </c>
      <c r="E1107" s="13"/>
      <c r="F1107" s="5" t="str">
        <f t="shared" si="96"/>
        <v/>
      </c>
      <c r="G1107" s="1"/>
      <c r="H1107" s="77">
        <f>IF(G1107="",0,VLOOKUP(G1107,REFCE!A:D,2,FALSE))</f>
        <v>0</v>
      </c>
      <c r="I1107" s="77" t="str">
        <f t="shared" si="97"/>
        <v/>
      </c>
    </row>
    <row r="1108" spans="1:9" x14ac:dyDescent="0.25">
      <c r="A1108" s="203" t="str">
        <f>IF(DATA!M1038="","",DATA!M1038)</f>
        <v/>
      </c>
      <c r="B1108" s="203" t="str">
        <f>IF(DATA!N1038="","",DATA!N1038)</f>
        <v/>
      </c>
      <c r="C1108" s="203" t="str">
        <f>IF(DATA!O1038="","",DATA!O1038)</f>
        <v/>
      </c>
      <c r="D1108" s="203" t="str">
        <f>IF(DATA!P1038="","",DATA!P1038)</f>
        <v/>
      </c>
      <c r="E1108" s="13"/>
      <c r="F1108" s="5" t="str">
        <f t="shared" si="96"/>
        <v/>
      </c>
      <c r="G1108" s="1"/>
      <c r="H1108" s="77">
        <f>IF(G1108="",0,VLOOKUP(G1108,REFCE!A:D,2,FALSE))</f>
        <v>0</v>
      </c>
      <c r="I1108" s="77" t="str">
        <f t="shared" si="97"/>
        <v/>
      </c>
    </row>
    <row r="1109" spans="1:9" x14ac:dyDescent="0.25">
      <c r="A1109" s="203" t="str">
        <f>IF(DATA!M1039="","",DATA!M1039)</f>
        <v/>
      </c>
      <c r="B1109" s="203" t="str">
        <f>IF(DATA!N1039="","",DATA!N1039)</f>
        <v/>
      </c>
      <c r="C1109" s="203" t="str">
        <f>IF(DATA!O1039="","",DATA!O1039)</f>
        <v/>
      </c>
      <c r="D1109" s="203" t="str">
        <f>IF(DATA!P1039="","",DATA!P1039)</f>
        <v/>
      </c>
      <c r="E1109" s="13"/>
      <c r="F1109" s="5" t="str">
        <f t="shared" si="96"/>
        <v/>
      </c>
      <c r="G1109" s="1"/>
      <c r="H1109" s="77">
        <f>IF(G1109="",0,VLOOKUP(G1109,REFCE!A:D,2,FALSE))</f>
        <v>0</v>
      </c>
      <c r="I1109" s="77" t="str">
        <f t="shared" si="97"/>
        <v/>
      </c>
    </row>
    <row r="1110" spans="1:9" x14ac:dyDescent="0.25">
      <c r="A1110" s="203" t="str">
        <f>IF(DATA!M1040="","",DATA!M1040)</f>
        <v/>
      </c>
      <c r="B1110" s="203" t="str">
        <f>IF(DATA!N1040="","",DATA!N1040)</f>
        <v/>
      </c>
      <c r="C1110" s="203" t="str">
        <f>IF(DATA!O1040="","",DATA!O1040)</f>
        <v/>
      </c>
      <c r="D1110" s="203" t="str">
        <f>IF(DATA!P1040="","",DATA!P1040)</f>
        <v/>
      </c>
      <c r="E1110" s="13"/>
      <c r="F1110" s="5" t="str">
        <f t="shared" si="96"/>
        <v/>
      </c>
      <c r="G1110" s="1"/>
      <c r="H1110" s="77">
        <f>IF(G1110="",0,VLOOKUP(G1110,REFCE!A:D,2,FALSE))</f>
        <v>0</v>
      </c>
      <c r="I1110" s="77" t="str">
        <f t="shared" si="97"/>
        <v/>
      </c>
    </row>
    <row r="1111" spans="1:9" x14ac:dyDescent="0.25">
      <c r="A1111" s="203" t="str">
        <f>IF(DATA!M1041="","",DATA!M1041)</f>
        <v/>
      </c>
      <c r="B1111" s="203" t="str">
        <f>IF(DATA!N1041="","",DATA!N1041)</f>
        <v/>
      </c>
      <c r="C1111" s="203" t="str">
        <f>IF(DATA!O1041="","",DATA!O1041)</f>
        <v/>
      </c>
      <c r="D1111" s="203" t="str">
        <f>IF(DATA!P1041="","",DATA!P1041)</f>
        <v/>
      </c>
      <c r="E1111" s="13"/>
      <c r="F1111" s="5" t="str">
        <f t="shared" si="96"/>
        <v/>
      </c>
      <c r="G1111" s="1"/>
      <c r="H1111" s="77">
        <f>IF(G1111="",0,VLOOKUP(G1111,REFCE!A:D,2,FALSE))</f>
        <v>0</v>
      </c>
      <c r="I1111" s="77" t="str">
        <f t="shared" si="97"/>
        <v/>
      </c>
    </row>
    <row r="1112" spans="1:9" x14ac:dyDescent="0.25">
      <c r="A1112" s="203" t="str">
        <f>IF(DATA!M1042="","",DATA!M1042)</f>
        <v/>
      </c>
      <c r="B1112" s="203" t="str">
        <f>IF(DATA!N1042="","",DATA!N1042)</f>
        <v/>
      </c>
      <c r="C1112" s="203" t="str">
        <f>IF(DATA!O1042="","",DATA!O1042)</f>
        <v/>
      </c>
      <c r="D1112" s="203" t="str">
        <f>IF(DATA!P1042="","",DATA!P1042)</f>
        <v/>
      </c>
      <c r="E1112" s="13"/>
      <c r="F1112" s="5" t="str">
        <f t="shared" si="96"/>
        <v/>
      </c>
      <c r="G1112" s="1"/>
      <c r="H1112" s="77">
        <f>IF(G1112="",0,VLOOKUP(G1112,REFCE!A:D,2,FALSE))</f>
        <v>0</v>
      </c>
      <c r="I1112" s="77" t="str">
        <f t="shared" si="97"/>
        <v/>
      </c>
    </row>
    <row r="1113" spans="1:9" x14ac:dyDescent="0.25">
      <c r="A1113" s="203" t="str">
        <f>IF(DATA!M1043="","",DATA!M1043)</f>
        <v/>
      </c>
      <c r="B1113" s="203" t="str">
        <f>IF(DATA!N1043="","",DATA!N1043)</f>
        <v/>
      </c>
      <c r="C1113" s="203" t="str">
        <f>IF(DATA!O1043="","",DATA!O1043)</f>
        <v/>
      </c>
      <c r="D1113" s="203" t="str">
        <f>IF(DATA!P1043="","",DATA!P1043)</f>
        <v/>
      </c>
      <c r="E1113" s="13"/>
      <c r="F1113" s="5" t="str">
        <f t="shared" si="96"/>
        <v/>
      </c>
      <c r="G1113" s="1"/>
      <c r="H1113" s="77">
        <f>IF(G1113="",0,VLOOKUP(G1113,REFCE!A:D,2,FALSE))</f>
        <v>0</v>
      </c>
      <c r="I1113" s="77" t="str">
        <f t="shared" si="97"/>
        <v/>
      </c>
    </row>
    <row r="1114" spans="1:9" x14ac:dyDescent="0.25">
      <c r="A1114" s="203" t="str">
        <f>IF(DATA!M1044="","",DATA!M1044)</f>
        <v/>
      </c>
      <c r="B1114" s="203" t="str">
        <f>IF(DATA!N1044="","",DATA!N1044)</f>
        <v/>
      </c>
      <c r="C1114" s="203" t="str">
        <f>IF(DATA!O1044="","",DATA!O1044)</f>
        <v/>
      </c>
      <c r="D1114" s="203" t="str">
        <f>IF(DATA!P1044="","",DATA!P1044)</f>
        <v/>
      </c>
      <c r="E1114" s="13"/>
      <c r="F1114" s="5" t="str">
        <f t="shared" si="96"/>
        <v/>
      </c>
      <c r="G1114" s="1"/>
      <c r="H1114" s="77">
        <f>IF(G1114="",0,VLOOKUP(G1114,REFCE!A:D,2,FALSE))</f>
        <v>0</v>
      </c>
      <c r="I1114" s="77" t="str">
        <f t="shared" si="97"/>
        <v/>
      </c>
    </row>
    <row r="1115" spans="1:9" x14ac:dyDescent="0.25">
      <c r="A1115" s="203" t="str">
        <f>IF(DATA!M1045="","",DATA!M1045)</f>
        <v/>
      </c>
      <c r="B1115" s="203" t="str">
        <f>IF(DATA!N1045="","",DATA!N1045)</f>
        <v/>
      </c>
      <c r="C1115" s="203" t="str">
        <f>IF(DATA!O1045="","",DATA!O1045)</f>
        <v/>
      </c>
      <c r="D1115" s="203" t="str">
        <f>IF(DATA!P1045="","",DATA!P1045)</f>
        <v/>
      </c>
      <c r="E1115" s="13"/>
      <c r="F1115" s="5" t="str">
        <f t="shared" si="96"/>
        <v/>
      </c>
      <c r="G1115" s="1"/>
      <c r="H1115" s="77">
        <f>IF(G1115="",0,VLOOKUP(G1115,REFCE!A:D,2,FALSE))</f>
        <v>0</v>
      </c>
      <c r="I1115" s="77" t="str">
        <f t="shared" si="97"/>
        <v/>
      </c>
    </row>
    <row r="1116" spans="1:9" x14ac:dyDescent="0.25">
      <c r="A1116" s="203" t="str">
        <f>IF(DATA!M1046="","",DATA!M1046)</f>
        <v/>
      </c>
      <c r="B1116" s="203" t="str">
        <f>IF(DATA!N1046="","",DATA!N1046)</f>
        <v/>
      </c>
      <c r="C1116" s="203" t="str">
        <f>IF(DATA!O1046="","",DATA!O1046)</f>
        <v/>
      </c>
      <c r="D1116" s="203" t="str">
        <f>IF(DATA!P1046="","",DATA!P1046)</f>
        <v/>
      </c>
      <c r="E1116" s="13"/>
      <c r="F1116" s="5" t="str">
        <f t="shared" si="96"/>
        <v/>
      </c>
      <c r="G1116" s="1"/>
      <c r="H1116" s="77">
        <f>IF(G1116="",0,VLOOKUP(G1116,REFCE!A:D,2,FALSE))</f>
        <v>0</v>
      </c>
      <c r="I1116" s="77" t="str">
        <f t="shared" si="97"/>
        <v/>
      </c>
    </row>
    <row r="1117" spans="1:9" x14ac:dyDescent="0.25">
      <c r="A1117" s="203" t="str">
        <f>IF(DATA!M1047="","",DATA!M1047)</f>
        <v/>
      </c>
      <c r="B1117" s="203" t="str">
        <f>IF(DATA!N1047="","",DATA!N1047)</f>
        <v/>
      </c>
      <c r="C1117" s="203" t="str">
        <f>IF(DATA!O1047="","",DATA!O1047)</f>
        <v/>
      </c>
      <c r="D1117" s="203" t="str">
        <f>IF(DATA!P1047="","",DATA!P1047)</f>
        <v/>
      </c>
      <c r="E1117" s="13"/>
      <c r="F1117" s="5" t="str">
        <f t="shared" si="96"/>
        <v/>
      </c>
      <c r="G1117" s="1"/>
      <c r="H1117" s="77">
        <f>IF(G1117="",0,VLOOKUP(G1117,REFCE!A:D,2,FALSE))</f>
        <v>0</v>
      </c>
      <c r="I1117" s="77" t="str">
        <f t="shared" si="97"/>
        <v/>
      </c>
    </row>
    <row r="1118" spans="1:9" x14ac:dyDescent="0.25">
      <c r="A1118" s="203" t="str">
        <f>IF(DATA!M1048="","",DATA!M1048)</f>
        <v/>
      </c>
      <c r="B1118" s="203" t="str">
        <f>IF(DATA!N1048="","",DATA!N1048)</f>
        <v/>
      </c>
      <c r="C1118" s="203" t="str">
        <f>IF(DATA!O1048="","",DATA!O1048)</f>
        <v/>
      </c>
      <c r="D1118" s="203" t="str">
        <f>IF(DATA!P1048="","",DATA!P1048)</f>
        <v/>
      </c>
      <c r="E1118" s="13"/>
      <c r="F1118" s="5" t="str">
        <f t="shared" si="96"/>
        <v/>
      </c>
      <c r="G1118" s="1"/>
      <c r="H1118" s="77">
        <f>IF(G1118="",0,VLOOKUP(G1118,REFCE!A:D,2,FALSE))</f>
        <v>0</v>
      </c>
      <c r="I1118" s="77" t="str">
        <f t="shared" si="97"/>
        <v/>
      </c>
    </row>
    <row r="1119" spans="1:9" x14ac:dyDescent="0.25">
      <c r="A1119" s="203" t="str">
        <f>IF(DATA!M1049="","",DATA!M1049)</f>
        <v/>
      </c>
      <c r="B1119" s="203" t="str">
        <f>IF(DATA!N1049="","",DATA!N1049)</f>
        <v/>
      </c>
      <c r="C1119" s="203" t="str">
        <f>IF(DATA!O1049="","",DATA!O1049)</f>
        <v/>
      </c>
      <c r="D1119" s="203" t="str">
        <f>IF(DATA!P1049="","",DATA!P1049)</f>
        <v/>
      </c>
      <c r="E1119" s="13"/>
      <c r="F1119" s="5" t="str">
        <f t="shared" si="96"/>
        <v/>
      </c>
      <c r="G1119" s="1"/>
      <c r="H1119" s="77">
        <f>IF(G1119="",0,VLOOKUP(G1119,REFCE!A:D,2,FALSE))</f>
        <v>0</v>
      </c>
      <c r="I1119" s="77" t="str">
        <f t="shared" si="97"/>
        <v/>
      </c>
    </row>
    <row r="1120" spans="1:9" x14ac:dyDescent="0.25">
      <c r="A1120" s="203" t="str">
        <f>IF(DATA!M1050="","",DATA!M1050)</f>
        <v/>
      </c>
      <c r="B1120" s="203" t="str">
        <f>IF(DATA!N1050="","",DATA!N1050)</f>
        <v/>
      </c>
      <c r="C1120" s="203" t="str">
        <f>IF(DATA!O1050="","",DATA!O1050)</f>
        <v/>
      </c>
      <c r="D1120" s="203" t="str">
        <f>IF(DATA!P1050="","",DATA!P1050)</f>
        <v/>
      </c>
      <c r="E1120" s="13"/>
      <c r="F1120" s="5" t="str">
        <f t="shared" si="96"/>
        <v/>
      </c>
      <c r="G1120" s="1"/>
      <c r="H1120" s="77">
        <f>IF(G1120="",0,VLOOKUP(G1120,REFCE!A:D,2,FALSE))</f>
        <v>0</v>
      </c>
      <c r="I1120" s="77" t="str">
        <f t="shared" si="97"/>
        <v/>
      </c>
    </row>
    <row r="1121" spans="1:9" x14ac:dyDescent="0.25">
      <c r="A1121" s="203" t="str">
        <f>IF(DATA!M1051="","",DATA!M1051)</f>
        <v/>
      </c>
      <c r="B1121" s="203" t="str">
        <f>IF(DATA!N1051="","",DATA!N1051)</f>
        <v/>
      </c>
      <c r="C1121" s="203" t="str">
        <f>IF(DATA!O1051="","",DATA!O1051)</f>
        <v/>
      </c>
      <c r="D1121" s="203" t="str">
        <f>IF(DATA!P1051="","",DATA!P1051)</f>
        <v/>
      </c>
      <c r="E1121" s="13"/>
      <c r="F1121" s="5" t="str">
        <f t="shared" si="96"/>
        <v/>
      </c>
      <c r="G1121" s="1"/>
      <c r="H1121" s="77">
        <f>IF(G1121="",0,VLOOKUP(G1121,REFCE!A:D,2,FALSE))</f>
        <v>0</v>
      </c>
      <c r="I1121" s="77" t="str">
        <f t="shared" si="97"/>
        <v/>
      </c>
    </row>
    <row r="1122" spans="1:9" x14ac:dyDescent="0.25">
      <c r="A1122" s="203" t="str">
        <f>IF(DATA!M1052="","",DATA!M1052)</f>
        <v/>
      </c>
      <c r="B1122" s="203" t="str">
        <f>IF(DATA!N1052="","",DATA!N1052)</f>
        <v/>
      </c>
      <c r="C1122" s="203" t="str">
        <f>IF(DATA!O1052="","",DATA!O1052)</f>
        <v/>
      </c>
      <c r="D1122" s="203" t="str">
        <f>IF(DATA!P1052="","",DATA!P1052)</f>
        <v/>
      </c>
      <c r="E1122" s="13"/>
      <c r="F1122" s="5" t="str">
        <f t="shared" si="96"/>
        <v/>
      </c>
      <c r="G1122" s="1"/>
      <c r="H1122" s="77">
        <f>IF(G1122="",0,VLOOKUP(G1122,REFCE!A:D,2,FALSE))</f>
        <v>0</v>
      </c>
      <c r="I1122" s="77" t="str">
        <f t="shared" si="97"/>
        <v/>
      </c>
    </row>
    <row r="1123" spans="1:9" x14ac:dyDescent="0.25">
      <c r="A1123" s="203" t="str">
        <f>IF(DATA!M1053="","",DATA!M1053)</f>
        <v/>
      </c>
      <c r="B1123" s="203" t="str">
        <f>IF(DATA!N1053="","",DATA!N1053)</f>
        <v/>
      </c>
      <c r="C1123" s="203" t="str">
        <f>IF(DATA!O1053="","",DATA!O1053)</f>
        <v/>
      </c>
      <c r="D1123" s="203" t="str">
        <f>IF(DATA!P1053="","",DATA!P1053)</f>
        <v/>
      </c>
      <c r="E1123" s="13"/>
      <c r="F1123" s="5" t="str">
        <f t="shared" si="96"/>
        <v/>
      </c>
      <c r="G1123" s="1"/>
      <c r="H1123" s="77">
        <f>IF(G1123="",0,VLOOKUP(G1123,REFCE!A:D,2,FALSE))</f>
        <v>0</v>
      </c>
      <c r="I1123" s="77" t="str">
        <f t="shared" si="97"/>
        <v/>
      </c>
    </row>
    <row r="1124" spans="1:9" x14ac:dyDescent="0.25">
      <c r="A1124" s="203" t="str">
        <f>IF(DATA!M1054="","",DATA!M1054)</f>
        <v/>
      </c>
      <c r="B1124" s="203" t="str">
        <f>IF(DATA!N1054="","",DATA!N1054)</f>
        <v/>
      </c>
      <c r="C1124" s="203" t="str">
        <f>IF(DATA!O1054="","",DATA!O1054)</f>
        <v/>
      </c>
      <c r="D1124" s="203" t="str">
        <f>IF(DATA!P1054="","",DATA!P1054)</f>
        <v/>
      </c>
      <c r="E1124" s="13"/>
      <c r="F1124" s="5" t="str">
        <f t="shared" si="96"/>
        <v/>
      </c>
      <c r="G1124" s="1"/>
      <c r="H1124" s="77">
        <f>IF(G1124="",0,VLOOKUP(G1124,REFCE!A:D,2,FALSE))</f>
        <v>0</v>
      </c>
      <c r="I1124" s="77" t="str">
        <f t="shared" si="97"/>
        <v/>
      </c>
    </row>
    <row r="1125" spans="1:9" x14ac:dyDescent="0.25">
      <c r="A1125" s="203" t="str">
        <f>IF(DATA!M1055="","",DATA!M1055)</f>
        <v/>
      </c>
      <c r="B1125" s="203" t="str">
        <f>IF(DATA!N1055="","",DATA!N1055)</f>
        <v/>
      </c>
      <c r="C1125" s="203" t="str">
        <f>IF(DATA!O1055="","",DATA!O1055)</f>
        <v/>
      </c>
      <c r="D1125" s="203" t="str">
        <f>IF(DATA!P1055="","",DATA!P1055)</f>
        <v/>
      </c>
      <c r="E1125" s="13"/>
      <c r="F1125" s="5" t="str">
        <f t="shared" si="96"/>
        <v/>
      </c>
      <c r="G1125" s="1"/>
      <c r="H1125" s="77">
        <f>IF(G1125="",0,VLOOKUP(G1125,REFCE!A:D,2,FALSE))</f>
        <v>0</v>
      </c>
      <c r="I1125" s="77" t="str">
        <f t="shared" si="97"/>
        <v/>
      </c>
    </row>
    <row r="1126" spans="1:9" x14ac:dyDescent="0.25">
      <c r="A1126" s="203" t="str">
        <f>IF(DATA!M1056="","",DATA!M1056)</f>
        <v/>
      </c>
      <c r="B1126" s="203" t="str">
        <f>IF(DATA!N1056="","",DATA!N1056)</f>
        <v/>
      </c>
      <c r="C1126" s="203" t="str">
        <f>IF(DATA!O1056="","",DATA!O1056)</f>
        <v/>
      </c>
      <c r="D1126" s="203" t="str">
        <f>IF(DATA!P1056="","",DATA!P1056)</f>
        <v/>
      </c>
      <c r="E1126" s="13"/>
      <c r="F1126" s="5" t="str">
        <f t="shared" si="96"/>
        <v/>
      </c>
      <c r="G1126" s="1"/>
      <c r="H1126" s="77">
        <f>IF(G1126="",0,VLOOKUP(G1126,REFCE!A:D,2,FALSE))</f>
        <v>0</v>
      </c>
      <c r="I1126" s="77" t="str">
        <f t="shared" si="97"/>
        <v/>
      </c>
    </row>
    <row r="1127" spans="1:9" x14ac:dyDescent="0.25">
      <c r="A1127" s="203" t="str">
        <f>IF(DATA!M1057="","",DATA!M1057)</f>
        <v/>
      </c>
      <c r="B1127" s="203" t="str">
        <f>IF(DATA!N1057="","",DATA!N1057)</f>
        <v/>
      </c>
      <c r="C1127" s="203" t="str">
        <f>IF(DATA!O1057="","",DATA!O1057)</f>
        <v/>
      </c>
      <c r="D1127" s="203" t="str">
        <f>IF(DATA!P1057="","",DATA!P1057)</f>
        <v/>
      </c>
      <c r="E1127" s="13"/>
      <c r="F1127" s="5" t="str">
        <f t="shared" si="96"/>
        <v/>
      </c>
      <c r="G1127" s="1"/>
      <c r="H1127" s="77">
        <f>IF(G1127="",0,VLOOKUP(G1127,REFCE!A:D,2,FALSE))</f>
        <v>0</v>
      </c>
      <c r="I1127" s="77" t="str">
        <f t="shared" si="97"/>
        <v/>
      </c>
    </row>
    <row r="1128" spans="1:9" x14ac:dyDescent="0.25">
      <c r="A1128" s="203" t="str">
        <f>IF(DATA!M1058="","",DATA!M1058)</f>
        <v/>
      </c>
      <c r="B1128" s="203" t="str">
        <f>IF(DATA!N1058="","",DATA!N1058)</f>
        <v/>
      </c>
      <c r="C1128" s="203" t="str">
        <f>IF(DATA!O1058="","",DATA!O1058)</f>
        <v/>
      </c>
      <c r="D1128" s="203" t="str">
        <f>IF(DATA!P1058="","",DATA!P1058)</f>
        <v/>
      </c>
      <c r="E1128" s="13"/>
      <c r="F1128" s="5" t="str">
        <f t="shared" si="96"/>
        <v/>
      </c>
      <c r="G1128" s="1"/>
      <c r="H1128" s="77">
        <f>IF(G1128="",0,VLOOKUP(G1128,REFCE!A:D,2,FALSE))</f>
        <v>0</v>
      </c>
      <c r="I1128" s="77" t="str">
        <f t="shared" si="97"/>
        <v/>
      </c>
    </row>
    <row r="1129" spans="1:9" x14ac:dyDescent="0.25">
      <c r="A1129" s="203" t="str">
        <f>IF(DATA!M1059="","",DATA!M1059)</f>
        <v/>
      </c>
      <c r="B1129" s="203" t="str">
        <f>IF(DATA!N1059="","",DATA!N1059)</f>
        <v/>
      </c>
      <c r="C1129" s="203" t="str">
        <f>IF(DATA!O1059="","",DATA!O1059)</f>
        <v/>
      </c>
      <c r="D1129" s="203" t="str">
        <f>IF(DATA!P1059="","",DATA!P1059)</f>
        <v/>
      </c>
      <c r="E1129" s="13"/>
      <c r="F1129" s="5" t="str">
        <f t="shared" si="96"/>
        <v/>
      </c>
      <c r="G1129" s="1"/>
      <c r="H1129" s="77">
        <f>IF(G1129="",0,VLOOKUP(G1129,REFCE!A:D,2,FALSE))</f>
        <v>0</v>
      </c>
      <c r="I1129" s="77" t="str">
        <f t="shared" si="97"/>
        <v/>
      </c>
    </row>
    <row r="1130" spans="1:9" x14ac:dyDescent="0.25">
      <c r="A1130" s="203" t="str">
        <f>IF(DATA!M1060="","",DATA!M1060)</f>
        <v/>
      </c>
      <c r="B1130" s="203" t="str">
        <f>IF(DATA!N1060="","",DATA!N1060)</f>
        <v/>
      </c>
      <c r="C1130" s="203" t="str">
        <f>IF(DATA!O1060="","",DATA!O1060)</f>
        <v/>
      </c>
      <c r="D1130" s="203" t="str">
        <f>IF(DATA!P1060="","",DATA!P1060)</f>
        <v/>
      </c>
      <c r="E1130" s="13"/>
      <c r="F1130" s="5" t="str">
        <f t="shared" si="96"/>
        <v/>
      </c>
      <c r="G1130" s="1"/>
      <c r="H1130" s="77">
        <f>IF(G1130="",0,VLOOKUP(G1130,REFCE!A:D,2,FALSE))</f>
        <v>0</v>
      </c>
      <c r="I1130" s="77" t="str">
        <f t="shared" si="97"/>
        <v/>
      </c>
    </row>
    <row r="1131" spans="1:9" x14ac:dyDescent="0.25">
      <c r="A1131" s="203" t="str">
        <f>IF(DATA!M1061="","",DATA!M1061)</f>
        <v/>
      </c>
      <c r="B1131" s="203" t="str">
        <f>IF(DATA!N1061="","",DATA!N1061)</f>
        <v/>
      </c>
      <c r="C1131" s="203" t="str">
        <f>IF(DATA!O1061="","",DATA!O1061)</f>
        <v/>
      </c>
      <c r="D1131" s="203" t="str">
        <f>IF(DATA!P1061="","",DATA!P1061)</f>
        <v/>
      </c>
      <c r="E1131" s="13"/>
      <c r="F1131" s="5" t="str">
        <f t="shared" si="96"/>
        <v/>
      </c>
      <c r="G1131" s="1"/>
      <c r="H1131" s="77">
        <f>IF(G1131="",0,VLOOKUP(G1131,REFCE!A:D,2,FALSE))</f>
        <v>0</v>
      </c>
      <c r="I1131" s="77" t="str">
        <f t="shared" si="97"/>
        <v/>
      </c>
    </row>
    <row r="1132" spans="1:9" x14ac:dyDescent="0.25">
      <c r="A1132" s="203" t="str">
        <f>IF(DATA!M1062="","",DATA!M1062)</f>
        <v/>
      </c>
      <c r="B1132" s="203" t="str">
        <f>IF(DATA!N1062="","",DATA!N1062)</f>
        <v/>
      </c>
      <c r="C1132" s="203" t="str">
        <f>IF(DATA!O1062="","",DATA!O1062)</f>
        <v/>
      </c>
      <c r="D1132" s="203" t="str">
        <f>IF(DATA!P1062="","",DATA!P1062)</f>
        <v/>
      </c>
      <c r="E1132" s="13"/>
      <c r="F1132" s="5" t="str">
        <f t="shared" si="96"/>
        <v/>
      </c>
      <c r="G1132" s="1"/>
      <c r="H1132" s="77">
        <f>IF(G1132="",0,VLOOKUP(G1132,REFCE!A:D,2,FALSE))</f>
        <v>0</v>
      </c>
      <c r="I1132" s="77" t="str">
        <f t="shared" si="97"/>
        <v/>
      </c>
    </row>
    <row r="1133" spans="1:9" x14ac:dyDescent="0.25">
      <c r="A1133" s="203" t="str">
        <f>IF(DATA!M1063="","",DATA!M1063)</f>
        <v/>
      </c>
      <c r="B1133" s="203" t="str">
        <f>IF(DATA!N1063="","",DATA!N1063)</f>
        <v/>
      </c>
      <c r="C1133" s="203" t="str">
        <f>IF(DATA!O1063="","",DATA!O1063)</f>
        <v/>
      </c>
      <c r="D1133" s="203" t="str">
        <f>IF(DATA!P1063="","",DATA!P1063)</f>
        <v/>
      </c>
      <c r="E1133" s="13"/>
      <c r="F1133" s="5" t="str">
        <f t="shared" si="96"/>
        <v/>
      </c>
      <c r="G1133" s="1"/>
      <c r="H1133" s="77">
        <f>IF(G1133="",0,VLOOKUP(G1133,REFCE!A:D,2,FALSE))</f>
        <v>0</v>
      </c>
      <c r="I1133" s="77" t="str">
        <f t="shared" si="97"/>
        <v/>
      </c>
    </row>
    <row r="1134" spans="1:9" x14ac:dyDescent="0.25">
      <c r="A1134" s="203" t="str">
        <f>IF(DATA!M1064="","",DATA!M1064)</f>
        <v/>
      </c>
      <c r="B1134" s="203" t="str">
        <f>IF(DATA!N1064="","",DATA!N1064)</f>
        <v/>
      </c>
      <c r="C1134" s="203" t="str">
        <f>IF(DATA!O1064="","",DATA!O1064)</f>
        <v/>
      </c>
      <c r="D1134" s="203" t="str">
        <f>IF(DATA!P1064="","",DATA!P1064)</f>
        <v/>
      </c>
      <c r="E1134" s="13"/>
      <c r="F1134" s="5" t="str">
        <f t="shared" si="96"/>
        <v/>
      </c>
      <c r="G1134" s="1"/>
      <c r="H1134" s="77">
        <f>IF(G1134="",0,VLOOKUP(G1134,REFCE!A:D,2,FALSE))</f>
        <v>0</v>
      </c>
      <c r="I1134" s="77" t="str">
        <f t="shared" si="97"/>
        <v/>
      </c>
    </row>
    <row r="1135" spans="1:9" x14ac:dyDescent="0.25">
      <c r="A1135" s="203" t="str">
        <f>IF(DATA!M1065="","",DATA!M1065)</f>
        <v/>
      </c>
      <c r="B1135" s="203" t="str">
        <f>IF(DATA!N1065="","",DATA!N1065)</f>
        <v/>
      </c>
      <c r="C1135" s="203" t="str">
        <f>IF(DATA!O1065="","",DATA!O1065)</f>
        <v/>
      </c>
      <c r="D1135" s="203" t="str">
        <f>IF(DATA!P1065="","",DATA!P1065)</f>
        <v/>
      </c>
      <c r="E1135" s="13"/>
      <c r="F1135" s="5" t="str">
        <f t="shared" si="96"/>
        <v/>
      </c>
      <c r="G1135" s="1"/>
      <c r="H1135" s="77">
        <f>IF(G1135="",0,VLOOKUP(G1135,REFCE!A:D,2,FALSE))</f>
        <v>0</v>
      </c>
      <c r="I1135" s="77" t="str">
        <f t="shared" si="97"/>
        <v/>
      </c>
    </row>
    <row r="1136" spans="1:9" x14ac:dyDescent="0.25">
      <c r="A1136" s="203" t="str">
        <f>IF(DATA!M1066="","",DATA!M1066)</f>
        <v/>
      </c>
      <c r="B1136" s="203" t="str">
        <f>IF(DATA!N1066="","",DATA!N1066)</f>
        <v/>
      </c>
      <c r="C1136" s="203" t="str">
        <f>IF(DATA!O1066="","",DATA!O1066)</f>
        <v/>
      </c>
      <c r="D1136" s="203" t="str">
        <f>IF(DATA!P1066="","",DATA!P1066)</f>
        <v/>
      </c>
      <c r="E1136" s="13"/>
      <c r="F1136" s="5" t="str">
        <f t="shared" si="96"/>
        <v/>
      </c>
      <c r="G1136" s="1"/>
      <c r="H1136" s="77">
        <f>IF(G1136="",0,VLOOKUP(G1136,REFCE!A:D,2,FALSE))</f>
        <v>0</v>
      </c>
      <c r="I1136" s="77" t="str">
        <f t="shared" si="97"/>
        <v/>
      </c>
    </row>
    <row r="1137" spans="1:9" x14ac:dyDescent="0.25">
      <c r="A1137" s="203" t="str">
        <f>IF(DATA!M1067="","",DATA!M1067)</f>
        <v/>
      </c>
      <c r="B1137" s="203" t="str">
        <f>IF(DATA!N1067="","",DATA!N1067)</f>
        <v/>
      </c>
      <c r="C1137" s="203" t="str">
        <f>IF(DATA!O1067="","",DATA!O1067)</f>
        <v/>
      </c>
      <c r="D1137" s="203" t="str">
        <f>IF(DATA!P1067="","",DATA!P1067)</f>
        <v/>
      </c>
      <c r="E1137" s="13"/>
      <c r="F1137" s="5" t="str">
        <f t="shared" si="96"/>
        <v/>
      </c>
      <c r="G1137" s="1"/>
      <c r="H1137" s="77">
        <f>IF(G1137="",0,VLOOKUP(G1137,REFCE!A:D,2,FALSE))</f>
        <v>0</v>
      </c>
      <c r="I1137" s="77" t="str">
        <f t="shared" si="97"/>
        <v/>
      </c>
    </row>
    <row r="1138" spans="1:9" x14ac:dyDescent="0.25">
      <c r="A1138" s="203" t="str">
        <f>IF(DATA!M1068="","",DATA!M1068)</f>
        <v/>
      </c>
      <c r="B1138" s="203" t="str">
        <f>IF(DATA!N1068="","",DATA!N1068)</f>
        <v/>
      </c>
      <c r="C1138" s="203" t="str">
        <f>IF(DATA!O1068="","",DATA!O1068)</f>
        <v/>
      </c>
      <c r="D1138" s="203" t="str">
        <f>IF(DATA!P1068="","",DATA!P1068)</f>
        <v/>
      </c>
      <c r="E1138" s="13"/>
      <c r="F1138" s="5" t="str">
        <f t="shared" si="96"/>
        <v/>
      </c>
      <c r="G1138" s="1"/>
      <c r="H1138" s="77">
        <f>IF(G1138="",0,VLOOKUP(G1138,REFCE!A:D,2,FALSE))</f>
        <v>0</v>
      </c>
      <c r="I1138" s="77" t="str">
        <f t="shared" si="97"/>
        <v/>
      </c>
    </row>
    <row r="1139" spans="1:9" x14ac:dyDescent="0.25">
      <c r="A1139" s="203" t="str">
        <f>IF(DATA!M1069="","",DATA!M1069)</f>
        <v/>
      </c>
      <c r="B1139" s="203" t="str">
        <f>IF(DATA!N1069="","",DATA!N1069)</f>
        <v/>
      </c>
      <c r="C1139" s="203" t="str">
        <f>IF(DATA!O1069="","",DATA!O1069)</f>
        <v/>
      </c>
      <c r="D1139" s="203" t="str">
        <f>IF(DATA!P1069="","",DATA!P1069)</f>
        <v/>
      </c>
      <c r="E1139" s="13"/>
      <c r="F1139" s="5" t="str">
        <f t="shared" si="96"/>
        <v/>
      </c>
      <c r="G1139" s="1"/>
      <c r="H1139" s="77">
        <f>IF(G1139="",0,VLOOKUP(G1139,REFCE!A:D,2,FALSE))</f>
        <v>0</v>
      </c>
      <c r="I1139" s="77" t="str">
        <f t="shared" si="97"/>
        <v/>
      </c>
    </row>
    <row r="1140" spans="1:9" x14ac:dyDescent="0.25">
      <c r="A1140" s="203" t="str">
        <f>IF(DATA!M1070="","",DATA!M1070)</f>
        <v/>
      </c>
      <c r="B1140" s="203" t="str">
        <f>IF(DATA!N1070="","",DATA!N1070)</f>
        <v/>
      </c>
      <c r="C1140" s="203" t="str">
        <f>IF(DATA!O1070="","",DATA!O1070)</f>
        <v/>
      </c>
      <c r="D1140" s="203" t="str">
        <f>IF(DATA!P1070="","",DATA!P1070)</f>
        <v/>
      </c>
      <c r="E1140" s="13"/>
      <c r="F1140" s="5" t="str">
        <f t="shared" si="96"/>
        <v/>
      </c>
      <c r="G1140" s="1"/>
      <c r="H1140" s="77">
        <f>IF(G1140="",0,VLOOKUP(G1140,REFCE!A:D,2,FALSE))</f>
        <v>0</v>
      </c>
      <c r="I1140" s="77" t="str">
        <f t="shared" si="97"/>
        <v/>
      </c>
    </row>
    <row r="1141" spans="1:9" x14ac:dyDescent="0.25">
      <c r="A1141" s="203" t="str">
        <f>IF(DATA!M1071="","",DATA!M1071)</f>
        <v/>
      </c>
      <c r="B1141" s="203" t="str">
        <f>IF(DATA!N1071="","",DATA!N1071)</f>
        <v/>
      </c>
      <c r="C1141" s="203" t="str">
        <f>IF(DATA!O1071="","",DATA!O1071)</f>
        <v/>
      </c>
      <c r="D1141" s="203" t="str">
        <f>IF(DATA!P1071="","",DATA!P1071)</f>
        <v/>
      </c>
      <c r="E1141" s="13"/>
      <c r="F1141" s="5" t="str">
        <f t="shared" si="96"/>
        <v/>
      </c>
      <c r="G1141" s="1"/>
      <c r="H1141" s="77">
        <f>IF(G1141="",0,VLOOKUP(G1141,REFCE!A:D,2,FALSE))</f>
        <v>0</v>
      </c>
      <c r="I1141" s="77" t="str">
        <f t="shared" si="97"/>
        <v/>
      </c>
    </row>
    <row r="1142" spans="1:9" x14ac:dyDescent="0.25">
      <c r="A1142" s="203" t="str">
        <f>IF(DATA!M1072="","",DATA!M1072)</f>
        <v/>
      </c>
      <c r="B1142" s="203" t="str">
        <f>IF(DATA!N1072="","",DATA!N1072)</f>
        <v/>
      </c>
      <c r="C1142" s="203" t="str">
        <f>IF(DATA!O1072="","",DATA!O1072)</f>
        <v/>
      </c>
      <c r="D1142" s="203" t="str">
        <f>IF(DATA!P1072="","",DATA!P1072)</f>
        <v/>
      </c>
      <c r="E1142" s="13"/>
      <c r="F1142" s="5" t="str">
        <f t="shared" si="96"/>
        <v/>
      </c>
      <c r="G1142" s="1"/>
      <c r="H1142" s="77">
        <f>IF(G1142="",0,VLOOKUP(G1142,REFCE!A:D,2,FALSE))</f>
        <v>0</v>
      </c>
      <c r="I1142" s="77" t="str">
        <f t="shared" si="97"/>
        <v/>
      </c>
    </row>
    <row r="1143" spans="1:9" x14ac:dyDescent="0.25">
      <c r="A1143" s="203" t="str">
        <f>IF(DATA!M1073="","",DATA!M1073)</f>
        <v/>
      </c>
      <c r="B1143" s="203" t="str">
        <f>IF(DATA!N1073="","",DATA!N1073)</f>
        <v/>
      </c>
      <c r="C1143" s="203" t="str">
        <f>IF(DATA!O1073="","",DATA!O1073)</f>
        <v/>
      </c>
      <c r="D1143" s="203" t="str">
        <f>IF(DATA!P1073="","",DATA!P1073)</f>
        <v/>
      </c>
      <c r="E1143" s="13"/>
      <c r="F1143" s="5" t="str">
        <f t="shared" si="96"/>
        <v/>
      </c>
      <c r="G1143" s="1"/>
      <c r="H1143" s="77">
        <f>IF(G1143="",0,VLOOKUP(G1143,REFCE!A:D,2,FALSE))</f>
        <v>0</v>
      </c>
      <c r="I1143" s="77" t="str">
        <f t="shared" si="97"/>
        <v/>
      </c>
    </row>
    <row r="1144" spans="1:9" x14ac:dyDescent="0.25">
      <c r="A1144" s="203" t="str">
        <f>IF(DATA!M1074="","",DATA!M1074)</f>
        <v/>
      </c>
      <c r="B1144" s="203" t="str">
        <f>IF(DATA!N1074="","",DATA!N1074)</f>
        <v/>
      </c>
      <c r="C1144" s="203" t="str">
        <f>IF(DATA!O1074="","",DATA!O1074)</f>
        <v/>
      </c>
      <c r="D1144" s="203" t="str">
        <f>IF(DATA!P1074="","",DATA!P1074)</f>
        <v/>
      </c>
      <c r="E1144" s="13"/>
      <c r="F1144" s="5" t="str">
        <f t="shared" si="96"/>
        <v/>
      </c>
      <c r="G1144" s="1"/>
      <c r="H1144" s="77">
        <f>IF(G1144="",0,VLOOKUP(G1144,REFCE!A:D,2,FALSE))</f>
        <v>0</v>
      </c>
      <c r="I1144" s="77" t="str">
        <f t="shared" si="97"/>
        <v/>
      </c>
    </row>
    <row r="1145" spans="1:9" x14ac:dyDescent="0.25">
      <c r="A1145" s="203" t="str">
        <f>IF(DATA!M1075="","",DATA!M1075)</f>
        <v/>
      </c>
      <c r="B1145" s="203" t="str">
        <f>IF(DATA!N1075="","",DATA!N1075)</f>
        <v/>
      </c>
      <c r="C1145" s="203" t="str">
        <f>IF(DATA!O1075="","",DATA!O1075)</f>
        <v/>
      </c>
      <c r="D1145" s="203" t="str">
        <f>IF(DATA!P1075="","",DATA!P1075)</f>
        <v/>
      </c>
      <c r="E1145" s="13"/>
      <c r="F1145" s="5" t="str">
        <f t="shared" si="96"/>
        <v/>
      </c>
      <c r="G1145" s="1"/>
      <c r="H1145" s="77">
        <f>IF(G1145="",0,VLOOKUP(G1145,REFCE!A:D,2,FALSE))</f>
        <v>0</v>
      </c>
      <c r="I1145" s="77" t="str">
        <f t="shared" si="97"/>
        <v/>
      </c>
    </row>
    <row r="1146" spans="1:9" x14ac:dyDescent="0.25">
      <c r="A1146" s="203" t="str">
        <f>IF(DATA!M1076="","",DATA!M1076)</f>
        <v/>
      </c>
      <c r="B1146" s="203" t="str">
        <f>IF(DATA!N1076="","",DATA!N1076)</f>
        <v/>
      </c>
      <c r="C1146" s="203" t="str">
        <f>IF(DATA!O1076="","",DATA!O1076)</f>
        <v/>
      </c>
      <c r="D1146" s="203" t="str">
        <f>IF(DATA!P1076="","",DATA!P1076)</f>
        <v/>
      </c>
      <c r="E1146" s="13"/>
      <c r="F1146" s="5" t="str">
        <f t="shared" si="96"/>
        <v/>
      </c>
      <c r="G1146" s="1"/>
      <c r="H1146" s="77">
        <f>IF(G1146="",0,VLOOKUP(G1146,REFCE!A:D,2,FALSE))</f>
        <v>0</v>
      </c>
      <c r="I1146" s="77" t="str">
        <f t="shared" si="97"/>
        <v/>
      </c>
    </row>
    <row r="1147" spans="1:9" x14ac:dyDescent="0.25">
      <c r="A1147" s="203" t="str">
        <f>IF(DATA!M1077="","",DATA!M1077)</f>
        <v/>
      </c>
      <c r="B1147" s="203" t="str">
        <f>IF(DATA!N1077="","",DATA!N1077)</f>
        <v/>
      </c>
      <c r="C1147" s="203" t="str">
        <f>IF(DATA!O1077="","",DATA!O1077)</f>
        <v/>
      </c>
      <c r="D1147" s="203" t="str">
        <f>IF(DATA!P1077="","",DATA!P1077)</f>
        <v/>
      </c>
      <c r="E1147" s="13"/>
      <c r="F1147" s="5" t="str">
        <f t="shared" si="96"/>
        <v/>
      </c>
      <c r="G1147" s="1"/>
      <c r="H1147" s="77">
        <f>IF(G1147="",0,VLOOKUP(G1147,REFCE!A:D,2,FALSE))</f>
        <v>0</v>
      </c>
      <c r="I1147" s="77" t="str">
        <f t="shared" si="97"/>
        <v/>
      </c>
    </row>
    <row r="1148" spans="1:9" x14ac:dyDescent="0.25">
      <c r="A1148" s="203" t="str">
        <f>IF(DATA!M1078="","",DATA!M1078)</f>
        <v/>
      </c>
      <c r="B1148" s="203" t="str">
        <f>IF(DATA!N1078="","",DATA!N1078)</f>
        <v/>
      </c>
      <c r="C1148" s="203" t="str">
        <f>IF(DATA!O1078="","",DATA!O1078)</f>
        <v/>
      </c>
      <c r="D1148" s="203" t="str">
        <f>IF(DATA!P1078="","",DATA!P1078)</f>
        <v/>
      </c>
      <c r="E1148" s="13"/>
      <c r="F1148" s="5" t="str">
        <f t="shared" si="96"/>
        <v/>
      </c>
      <c r="G1148" s="1"/>
      <c r="H1148" s="77">
        <f>IF(G1148="",0,VLOOKUP(G1148,REFCE!A:D,2,FALSE))</f>
        <v>0</v>
      </c>
      <c r="I1148" s="77" t="str">
        <f t="shared" si="97"/>
        <v/>
      </c>
    </row>
    <row r="1149" spans="1:9" x14ac:dyDescent="0.25">
      <c r="A1149" s="203" t="str">
        <f>IF(DATA!M1079="","",DATA!M1079)</f>
        <v/>
      </c>
      <c r="B1149" s="203" t="str">
        <f>IF(DATA!N1079="","",DATA!N1079)</f>
        <v/>
      </c>
      <c r="C1149" s="203" t="str">
        <f>IF(DATA!O1079="","",DATA!O1079)</f>
        <v/>
      </c>
      <c r="D1149" s="203" t="str">
        <f>IF(DATA!P1079="","",DATA!P1079)</f>
        <v/>
      </c>
      <c r="E1149" s="13"/>
      <c r="F1149" s="5" t="str">
        <f t="shared" si="96"/>
        <v/>
      </c>
      <c r="G1149" s="1"/>
      <c r="H1149" s="77">
        <f>IF(G1149="",0,VLOOKUP(G1149,REFCE!A:D,2,FALSE))</f>
        <v>0</v>
      </c>
      <c r="I1149" s="77" t="str">
        <f t="shared" si="97"/>
        <v/>
      </c>
    </row>
    <row r="1150" spans="1:9" x14ac:dyDescent="0.25">
      <c r="A1150" s="203" t="str">
        <f>IF(DATA!M1080="","",DATA!M1080)</f>
        <v/>
      </c>
      <c r="B1150" s="203" t="str">
        <f>IF(DATA!N1080="","",DATA!N1080)</f>
        <v/>
      </c>
      <c r="C1150" s="203" t="str">
        <f>IF(DATA!O1080="","",DATA!O1080)</f>
        <v/>
      </c>
      <c r="D1150" s="203" t="str">
        <f>IF(DATA!P1080="","",DATA!P1080)</f>
        <v/>
      </c>
      <c r="E1150" s="13"/>
      <c r="F1150" s="5" t="str">
        <f t="shared" si="96"/>
        <v/>
      </c>
      <c r="G1150" s="1"/>
      <c r="H1150" s="77">
        <f>IF(G1150="",0,VLOOKUP(G1150,REFCE!A:D,2,FALSE))</f>
        <v>0</v>
      </c>
      <c r="I1150" s="77" t="str">
        <f t="shared" si="97"/>
        <v/>
      </c>
    </row>
    <row r="1151" spans="1:9" x14ac:dyDescent="0.25">
      <c r="A1151" s="203" t="str">
        <f>IF(DATA!M1081="","",DATA!M1081)</f>
        <v/>
      </c>
      <c r="B1151" s="203" t="str">
        <f>IF(DATA!N1081="","",DATA!N1081)</f>
        <v/>
      </c>
      <c r="C1151" s="203" t="str">
        <f>IF(DATA!O1081="","",DATA!O1081)</f>
        <v/>
      </c>
      <c r="D1151" s="203" t="str">
        <f>IF(DATA!P1081="","",DATA!P1081)</f>
        <v/>
      </c>
      <c r="E1151" s="13"/>
      <c r="F1151" s="5" t="str">
        <f t="shared" si="96"/>
        <v/>
      </c>
      <c r="G1151" s="1"/>
      <c r="H1151" s="77">
        <f>IF(G1151="",0,VLOOKUP(G1151,REFCE!A:D,2,FALSE))</f>
        <v>0</v>
      </c>
      <c r="I1151" s="77" t="str">
        <f t="shared" si="97"/>
        <v/>
      </c>
    </row>
    <row r="1152" spans="1:9" x14ac:dyDescent="0.25">
      <c r="A1152" s="203" t="str">
        <f>IF(DATA!M1082="","",DATA!M1082)</f>
        <v/>
      </c>
      <c r="B1152" s="203" t="str">
        <f>IF(DATA!N1082="","",DATA!N1082)</f>
        <v/>
      </c>
      <c r="C1152" s="203" t="str">
        <f>IF(DATA!O1082="","",DATA!O1082)</f>
        <v/>
      </c>
      <c r="D1152" s="203" t="str">
        <f>IF(DATA!P1082="","",DATA!P1082)</f>
        <v/>
      </c>
      <c r="E1152" s="13"/>
      <c r="F1152" s="5" t="str">
        <f t="shared" si="96"/>
        <v/>
      </c>
      <c r="G1152" s="1"/>
      <c r="H1152" s="77">
        <f>IF(G1152="",0,VLOOKUP(G1152,REFCE!A:D,2,FALSE))</f>
        <v>0</v>
      </c>
      <c r="I1152" s="77" t="str">
        <f t="shared" si="97"/>
        <v/>
      </c>
    </row>
    <row r="1153" spans="1:9" x14ac:dyDescent="0.25">
      <c r="A1153" s="203" t="str">
        <f>IF(DATA!M1083="","",DATA!M1083)</f>
        <v/>
      </c>
      <c r="B1153" s="203" t="str">
        <f>IF(DATA!N1083="","",DATA!N1083)</f>
        <v/>
      </c>
      <c r="C1153" s="203" t="str">
        <f>IF(DATA!O1083="","",DATA!O1083)</f>
        <v/>
      </c>
      <c r="D1153" s="203" t="str">
        <f>IF(DATA!P1083="","",DATA!P1083)</f>
        <v/>
      </c>
      <c r="E1153" s="13"/>
      <c r="F1153" s="5" t="str">
        <f t="shared" si="96"/>
        <v/>
      </c>
      <c r="G1153" s="1"/>
      <c r="H1153" s="77">
        <f>IF(G1153="",0,VLOOKUP(G1153,REFCE!A:D,2,FALSE))</f>
        <v>0</v>
      </c>
      <c r="I1153" s="77" t="str">
        <f t="shared" si="97"/>
        <v/>
      </c>
    </row>
    <row r="1154" spans="1:9" x14ac:dyDescent="0.25">
      <c r="A1154" s="203" t="str">
        <f>IF(DATA!M1084="","",DATA!M1084)</f>
        <v/>
      </c>
      <c r="B1154" s="203" t="str">
        <f>IF(DATA!N1084="","",DATA!N1084)</f>
        <v/>
      </c>
      <c r="C1154" s="203" t="str">
        <f>IF(DATA!O1084="","",DATA!O1084)</f>
        <v/>
      </c>
      <c r="D1154" s="203" t="str">
        <f>IF(DATA!P1084="","",DATA!P1084)</f>
        <v/>
      </c>
      <c r="E1154" s="13"/>
      <c r="F1154" s="5" t="str">
        <f t="shared" si="96"/>
        <v/>
      </c>
      <c r="G1154" s="1"/>
      <c r="H1154" s="77">
        <f>IF(G1154="",0,VLOOKUP(G1154,REFCE!A:D,2,FALSE))</f>
        <v>0</v>
      </c>
      <c r="I1154" s="77" t="str">
        <f t="shared" si="97"/>
        <v/>
      </c>
    </row>
    <row r="1155" spans="1:9" x14ac:dyDescent="0.25">
      <c r="A1155" s="203" t="str">
        <f>IF(DATA!M1085="","",DATA!M1085)</f>
        <v/>
      </c>
      <c r="B1155" s="203" t="str">
        <f>IF(DATA!N1085="","",DATA!N1085)</f>
        <v/>
      </c>
      <c r="C1155" s="203" t="str">
        <f>IF(DATA!O1085="","",DATA!O1085)</f>
        <v/>
      </c>
      <c r="D1155" s="203" t="str">
        <f>IF(DATA!P1085="","",DATA!P1085)</f>
        <v/>
      </c>
      <c r="E1155" s="13"/>
      <c r="F1155" s="5" t="str">
        <f t="shared" si="96"/>
        <v/>
      </c>
      <c r="G1155" s="1"/>
      <c r="H1155" s="77">
        <f>IF(G1155="",0,VLOOKUP(G1155,REFCE!A:D,2,FALSE))</f>
        <v>0</v>
      </c>
      <c r="I1155" s="77" t="str">
        <f t="shared" si="97"/>
        <v/>
      </c>
    </row>
    <row r="1156" spans="1:9" x14ac:dyDescent="0.25">
      <c r="A1156" s="203" t="str">
        <f>IF(DATA!M1086="","",DATA!M1086)</f>
        <v/>
      </c>
      <c r="B1156" s="203" t="str">
        <f>IF(DATA!N1086="","",DATA!N1086)</f>
        <v/>
      </c>
      <c r="C1156" s="203" t="str">
        <f>IF(DATA!O1086="","",DATA!O1086)</f>
        <v/>
      </c>
      <c r="D1156" s="203" t="str">
        <f>IF(DATA!P1086="","",DATA!P1086)</f>
        <v/>
      </c>
      <c r="E1156" s="13"/>
      <c r="F1156" s="5" t="str">
        <f t="shared" si="96"/>
        <v/>
      </c>
      <c r="G1156" s="1"/>
      <c r="H1156" s="77">
        <f>IF(G1156="",0,VLOOKUP(G1156,REFCE!A:D,2,FALSE))</f>
        <v>0</v>
      </c>
      <c r="I1156" s="77" t="str">
        <f t="shared" si="97"/>
        <v/>
      </c>
    </row>
    <row r="1157" spans="1:9" x14ac:dyDescent="0.25">
      <c r="A1157" s="203" t="str">
        <f>IF(DATA!M1087="","",DATA!M1087)</f>
        <v/>
      </c>
      <c r="B1157" s="203" t="str">
        <f>IF(DATA!N1087="","",DATA!N1087)</f>
        <v/>
      </c>
      <c r="C1157" s="203" t="str">
        <f>IF(DATA!O1087="","",DATA!O1087)</f>
        <v/>
      </c>
      <c r="D1157" s="203" t="str">
        <f>IF(DATA!P1087="","",DATA!P1087)</f>
        <v/>
      </c>
      <c r="E1157" s="13"/>
      <c r="F1157" s="5" t="str">
        <f t="shared" si="96"/>
        <v/>
      </c>
      <c r="G1157" s="1"/>
      <c r="H1157" s="77">
        <f>IF(G1157="",0,VLOOKUP(G1157,REFCE!A:D,2,FALSE))</f>
        <v>0</v>
      </c>
      <c r="I1157" s="77" t="str">
        <f t="shared" si="97"/>
        <v/>
      </c>
    </row>
    <row r="1158" spans="1:9" x14ac:dyDescent="0.25">
      <c r="A1158" s="203" t="str">
        <f>IF(DATA!M1088="","",DATA!M1088)</f>
        <v/>
      </c>
      <c r="B1158" s="203" t="str">
        <f>IF(DATA!N1088="","",DATA!N1088)</f>
        <v/>
      </c>
      <c r="C1158" s="203" t="str">
        <f>IF(DATA!O1088="","",DATA!O1088)</f>
        <v/>
      </c>
      <c r="D1158" s="203" t="str">
        <f>IF(DATA!P1088="","",DATA!P1088)</f>
        <v/>
      </c>
      <c r="E1158" s="13"/>
      <c r="F1158" s="5" t="str">
        <f t="shared" si="96"/>
        <v/>
      </c>
      <c r="G1158" s="1"/>
      <c r="H1158" s="77">
        <f>IF(G1158="",0,VLOOKUP(G1158,REFCE!A:D,2,FALSE))</f>
        <v>0</v>
      </c>
      <c r="I1158" s="77" t="str">
        <f t="shared" si="97"/>
        <v/>
      </c>
    </row>
    <row r="1159" spans="1:9" x14ac:dyDescent="0.25">
      <c r="A1159" s="203" t="str">
        <f>IF(DATA!M1089="","",DATA!M1089)</f>
        <v/>
      </c>
      <c r="B1159" s="203" t="str">
        <f>IF(DATA!N1089="","",DATA!N1089)</f>
        <v/>
      </c>
      <c r="C1159" s="203" t="str">
        <f>IF(DATA!O1089="","",DATA!O1089)</f>
        <v/>
      </c>
      <c r="D1159" s="203" t="str">
        <f>IF(DATA!P1089="","",DATA!P1089)</f>
        <v/>
      </c>
      <c r="E1159" s="13"/>
      <c r="F1159" s="5" t="str">
        <f t="shared" si="96"/>
        <v/>
      </c>
      <c r="G1159" s="1"/>
      <c r="H1159" s="77">
        <f>IF(G1159="",0,VLOOKUP(G1159,REFCE!A:D,2,FALSE))</f>
        <v>0</v>
      </c>
      <c r="I1159" s="77" t="str">
        <f t="shared" si="97"/>
        <v/>
      </c>
    </row>
    <row r="1160" spans="1:9" x14ac:dyDescent="0.25">
      <c r="A1160" s="203" t="str">
        <f>IF(DATA!M1090="","",DATA!M1090)</f>
        <v/>
      </c>
      <c r="B1160" s="203" t="str">
        <f>IF(DATA!N1090="","",DATA!N1090)</f>
        <v/>
      </c>
      <c r="C1160" s="203" t="str">
        <f>IF(DATA!O1090="","",DATA!O1090)</f>
        <v/>
      </c>
      <c r="D1160" s="203" t="str">
        <f>IF(DATA!P1090="","",DATA!P1090)</f>
        <v/>
      </c>
      <c r="E1160" s="13"/>
      <c r="F1160" s="5" t="str">
        <f t="shared" si="96"/>
        <v/>
      </c>
      <c r="G1160" s="1"/>
      <c r="H1160" s="77">
        <f>IF(G1160="",0,VLOOKUP(G1160,REFCE!A:D,2,FALSE))</f>
        <v>0</v>
      </c>
      <c r="I1160" s="77" t="str">
        <f t="shared" si="97"/>
        <v/>
      </c>
    </row>
    <row r="1161" spans="1:9" x14ac:dyDescent="0.25">
      <c r="A1161" s="203" t="str">
        <f>IF(DATA!M1091="","",DATA!M1091)</f>
        <v/>
      </c>
      <c r="B1161" s="203" t="str">
        <f>IF(DATA!N1091="","",DATA!N1091)</f>
        <v/>
      </c>
      <c r="C1161" s="203" t="str">
        <f>IF(DATA!O1091="","",DATA!O1091)</f>
        <v/>
      </c>
      <c r="D1161" s="203" t="str">
        <f>IF(DATA!P1091="","",DATA!P1091)</f>
        <v/>
      </c>
      <c r="E1161" s="13"/>
      <c r="F1161" s="5" t="str">
        <f t="shared" si="96"/>
        <v/>
      </c>
      <c r="G1161" s="1"/>
      <c r="H1161" s="77">
        <f>IF(G1161="",0,VLOOKUP(G1161,REFCE!A:D,2,FALSE))</f>
        <v>0</v>
      </c>
      <c r="I1161" s="77" t="str">
        <f t="shared" si="97"/>
        <v/>
      </c>
    </row>
    <row r="1162" spans="1:9" x14ac:dyDescent="0.25">
      <c r="A1162" s="203" t="str">
        <f>IF(DATA!M1092="","",DATA!M1092)</f>
        <v/>
      </c>
      <c r="B1162" s="203" t="str">
        <f>IF(DATA!N1092="","",DATA!N1092)</f>
        <v/>
      </c>
      <c r="C1162" s="203" t="str">
        <f>IF(DATA!O1092="","",DATA!O1092)</f>
        <v/>
      </c>
      <c r="D1162" s="203" t="str">
        <f>IF(DATA!P1092="","",DATA!P1092)</f>
        <v/>
      </c>
      <c r="E1162" s="13"/>
      <c r="F1162" s="5" t="str">
        <f t="shared" si="96"/>
        <v/>
      </c>
      <c r="G1162" s="1"/>
      <c r="H1162" s="77">
        <f>IF(G1162="",0,VLOOKUP(G1162,REFCE!A:D,2,FALSE))</f>
        <v>0</v>
      </c>
      <c r="I1162" s="77" t="str">
        <f t="shared" si="97"/>
        <v/>
      </c>
    </row>
    <row r="1163" spans="1:9" x14ac:dyDescent="0.25">
      <c r="A1163" s="203" t="str">
        <f>IF(DATA!M1093="","",DATA!M1093)</f>
        <v/>
      </c>
      <c r="B1163" s="203" t="str">
        <f>IF(DATA!N1093="","",DATA!N1093)</f>
        <v/>
      </c>
      <c r="C1163" s="203" t="str">
        <f>IF(DATA!O1093="","",DATA!O1093)</f>
        <v/>
      </c>
      <c r="D1163" s="203" t="str">
        <f>IF(DATA!P1093="","",DATA!P1093)</f>
        <v/>
      </c>
      <c r="E1163" s="13"/>
      <c r="F1163" s="5" t="str">
        <f t="shared" si="96"/>
        <v/>
      </c>
      <c r="G1163" s="1"/>
      <c r="H1163" s="77">
        <f>IF(G1163="",0,VLOOKUP(G1163,REFCE!A:D,2,FALSE))</f>
        <v>0</v>
      </c>
      <c r="I1163" s="77" t="str">
        <f t="shared" si="97"/>
        <v/>
      </c>
    </row>
    <row r="1164" spans="1:9" x14ac:dyDescent="0.25">
      <c r="A1164" s="203" t="str">
        <f>IF(DATA!M1094="","",DATA!M1094)</f>
        <v/>
      </c>
      <c r="B1164" s="203" t="str">
        <f>IF(DATA!N1094="","",DATA!N1094)</f>
        <v/>
      </c>
      <c r="C1164" s="203" t="str">
        <f>IF(DATA!O1094="","",DATA!O1094)</f>
        <v/>
      </c>
      <c r="D1164" s="203" t="str">
        <f>IF(DATA!P1094="","",DATA!P1094)</f>
        <v/>
      </c>
      <c r="E1164" s="13"/>
      <c r="F1164" s="5" t="str">
        <f t="shared" si="96"/>
        <v/>
      </c>
      <c r="G1164" s="1"/>
      <c r="H1164" s="77">
        <f>IF(G1164="",0,VLOOKUP(G1164,REFCE!A:D,2,FALSE))</f>
        <v>0</v>
      </c>
      <c r="I1164" s="77" t="str">
        <f t="shared" si="97"/>
        <v/>
      </c>
    </row>
    <row r="1165" spans="1:9" x14ac:dyDescent="0.25">
      <c r="A1165" s="203" t="str">
        <f>IF(DATA!M1095="","",DATA!M1095)</f>
        <v/>
      </c>
      <c r="B1165" s="203" t="str">
        <f>IF(DATA!N1095="","",DATA!N1095)</f>
        <v/>
      </c>
      <c r="C1165" s="203" t="str">
        <f>IF(DATA!O1095="","",DATA!O1095)</f>
        <v/>
      </c>
      <c r="D1165" s="203" t="str">
        <f>IF(DATA!P1095="","",DATA!P1095)</f>
        <v/>
      </c>
      <c r="E1165" s="13"/>
      <c r="F1165" s="5" t="str">
        <f t="shared" si="96"/>
        <v/>
      </c>
      <c r="G1165" s="1"/>
      <c r="H1165" s="77">
        <f>IF(G1165="",0,VLOOKUP(G1165,REFCE!A:D,2,FALSE))</f>
        <v>0</v>
      </c>
      <c r="I1165" s="77" t="str">
        <f t="shared" si="97"/>
        <v/>
      </c>
    </row>
    <row r="1166" spans="1:9" x14ac:dyDescent="0.25">
      <c r="A1166" s="203" t="str">
        <f>IF(DATA!M1096="","",DATA!M1096)</f>
        <v/>
      </c>
      <c r="B1166" s="203" t="str">
        <f>IF(DATA!N1096="","",DATA!N1096)</f>
        <v/>
      </c>
      <c r="C1166" s="203" t="str">
        <f>IF(DATA!O1096="","",DATA!O1096)</f>
        <v/>
      </c>
      <c r="D1166" s="203" t="str">
        <f>IF(DATA!P1096="","",DATA!P1096)</f>
        <v/>
      </c>
      <c r="E1166" s="13"/>
      <c r="F1166" s="5" t="str">
        <f t="shared" ref="F1166:F1229" si="98">IF(D1166="","",D1166*E1166)</f>
        <v/>
      </c>
      <c r="G1166" s="1"/>
      <c r="H1166" s="77">
        <f>IF(G1166="",0,VLOOKUP(G1166,REFCE!A:D,2,FALSE))</f>
        <v>0</v>
      </c>
      <c r="I1166" s="77" t="str">
        <f t="shared" ref="I1166:I1229" si="99">IF(F1166="","",F1166*H1166)</f>
        <v/>
      </c>
    </row>
    <row r="1167" spans="1:9" x14ac:dyDescent="0.25">
      <c r="A1167" s="203" t="str">
        <f>IF(DATA!M1097="","",DATA!M1097)</f>
        <v/>
      </c>
      <c r="B1167" s="203" t="str">
        <f>IF(DATA!N1097="","",DATA!N1097)</f>
        <v/>
      </c>
      <c r="C1167" s="203" t="str">
        <f>IF(DATA!O1097="","",DATA!O1097)</f>
        <v/>
      </c>
      <c r="D1167" s="203" t="str">
        <f>IF(DATA!P1097="","",DATA!P1097)</f>
        <v/>
      </c>
      <c r="E1167" s="13"/>
      <c r="F1167" s="5" t="str">
        <f t="shared" si="98"/>
        <v/>
      </c>
      <c r="G1167" s="1"/>
      <c r="H1167" s="77">
        <f>IF(G1167="",0,VLOOKUP(G1167,REFCE!A:D,2,FALSE))</f>
        <v>0</v>
      </c>
      <c r="I1167" s="77" t="str">
        <f t="shared" si="99"/>
        <v/>
      </c>
    </row>
    <row r="1168" spans="1:9" x14ac:dyDescent="0.25">
      <c r="A1168" s="203" t="str">
        <f>IF(DATA!M1098="","",DATA!M1098)</f>
        <v/>
      </c>
      <c r="B1168" s="203" t="str">
        <f>IF(DATA!N1098="","",DATA!N1098)</f>
        <v/>
      </c>
      <c r="C1168" s="203" t="str">
        <f>IF(DATA!O1098="","",DATA!O1098)</f>
        <v/>
      </c>
      <c r="D1168" s="203" t="str">
        <f>IF(DATA!P1098="","",DATA!P1098)</f>
        <v/>
      </c>
      <c r="E1168" s="13"/>
      <c r="F1168" s="5" t="str">
        <f t="shared" si="98"/>
        <v/>
      </c>
      <c r="G1168" s="1"/>
      <c r="H1168" s="77">
        <f>IF(G1168="",0,VLOOKUP(G1168,REFCE!A:D,2,FALSE))</f>
        <v>0</v>
      </c>
      <c r="I1168" s="77" t="str">
        <f t="shared" si="99"/>
        <v/>
      </c>
    </row>
    <row r="1169" spans="1:9" x14ac:dyDescent="0.25">
      <c r="A1169" s="203" t="str">
        <f>IF(DATA!M1099="","",DATA!M1099)</f>
        <v/>
      </c>
      <c r="B1169" s="203" t="str">
        <f>IF(DATA!N1099="","",DATA!N1099)</f>
        <v/>
      </c>
      <c r="C1169" s="203" t="str">
        <f>IF(DATA!O1099="","",DATA!O1099)</f>
        <v/>
      </c>
      <c r="D1169" s="203" t="str">
        <f>IF(DATA!P1099="","",DATA!P1099)</f>
        <v/>
      </c>
      <c r="E1169" s="13"/>
      <c r="F1169" s="5" t="str">
        <f t="shared" si="98"/>
        <v/>
      </c>
      <c r="G1169" s="1"/>
      <c r="H1169" s="77">
        <f>IF(G1169="",0,VLOOKUP(G1169,REFCE!A:D,2,FALSE))</f>
        <v>0</v>
      </c>
      <c r="I1169" s="77" t="str">
        <f t="shared" si="99"/>
        <v/>
      </c>
    </row>
    <row r="1170" spans="1:9" x14ac:dyDescent="0.25">
      <c r="A1170" s="203" t="str">
        <f>IF(DATA!M1100="","",DATA!M1100)</f>
        <v/>
      </c>
      <c r="B1170" s="203" t="str">
        <f>IF(DATA!N1100="","",DATA!N1100)</f>
        <v/>
      </c>
      <c r="C1170" s="203" t="str">
        <f>IF(DATA!O1100="","",DATA!O1100)</f>
        <v/>
      </c>
      <c r="D1170" s="203" t="str">
        <f>IF(DATA!P1100="","",DATA!P1100)</f>
        <v/>
      </c>
      <c r="E1170" s="13"/>
      <c r="F1170" s="5" t="str">
        <f t="shared" si="98"/>
        <v/>
      </c>
      <c r="G1170" s="1"/>
      <c r="H1170" s="77">
        <f>IF(G1170="",0,VLOOKUP(G1170,REFCE!A:D,2,FALSE))</f>
        <v>0</v>
      </c>
      <c r="I1170" s="77" t="str">
        <f t="shared" si="99"/>
        <v/>
      </c>
    </row>
    <row r="1171" spans="1:9" x14ac:dyDescent="0.25">
      <c r="A1171" s="203" t="str">
        <f>IF(DATA!M1101="","",DATA!M1101)</f>
        <v/>
      </c>
      <c r="B1171" s="203" t="str">
        <f>IF(DATA!N1101="","",DATA!N1101)</f>
        <v/>
      </c>
      <c r="C1171" s="203" t="str">
        <f>IF(DATA!O1101="","",DATA!O1101)</f>
        <v/>
      </c>
      <c r="D1171" s="203" t="str">
        <f>IF(DATA!P1101="","",DATA!P1101)</f>
        <v/>
      </c>
      <c r="E1171" s="13"/>
      <c r="F1171" s="5" t="str">
        <f t="shared" si="98"/>
        <v/>
      </c>
      <c r="G1171" s="1"/>
      <c r="H1171" s="77">
        <f>IF(G1171="",0,VLOOKUP(G1171,REFCE!A:D,2,FALSE))</f>
        <v>0</v>
      </c>
      <c r="I1171" s="77" t="str">
        <f t="shared" si="99"/>
        <v/>
      </c>
    </row>
    <row r="1172" spans="1:9" x14ac:dyDescent="0.25">
      <c r="A1172" s="203" t="str">
        <f>IF(DATA!M1102="","",DATA!M1102)</f>
        <v/>
      </c>
      <c r="B1172" s="203" t="str">
        <f>IF(DATA!N1102="","",DATA!N1102)</f>
        <v/>
      </c>
      <c r="C1172" s="203" t="str">
        <f>IF(DATA!O1102="","",DATA!O1102)</f>
        <v/>
      </c>
      <c r="D1172" s="203" t="str">
        <f>IF(DATA!P1102="","",DATA!P1102)</f>
        <v/>
      </c>
      <c r="E1172" s="13"/>
      <c r="F1172" s="5" t="str">
        <f t="shared" si="98"/>
        <v/>
      </c>
      <c r="G1172" s="1"/>
      <c r="H1172" s="77">
        <f>IF(G1172="",0,VLOOKUP(G1172,REFCE!A:D,2,FALSE))</f>
        <v>0</v>
      </c>
      <c r="I1172" s="77" t="str">
        <f t="shared" si="99"/>
        <v/>
      </c>
    </row>
    <row r="1173" spans="1:9" x14ac:dyDescent="0.25">
      <c r="A1173" s="203" t="str">
        <f>IF(DATA!M1103="","",DATA!M1103)</f>
        <v/>
      </c>
      <c r="B1173" s="203" t="str">
        <f>IF(DATA!N1103="","",DATA!N1103)</f>
        <v/>
      </c>
      <c r="C1173" s="203" t="str">
        <f>IF(DATA!O1103="","",DATA!O1103)</f>
        <v/>
      </c>
      <c r="D1173" s="203" t="str">
        <f>IF(DATA!P1103="","",DATA!P1103)</f>
        <v/>
      </c>
      <c r="E1173" s="13"/>
      <c r="F1173" s="5" t="str">
        <f t="shared" si="98"/>
        <v/>
      </c>
      <c r="G1173" s="1"/>
      <c r="H1173" s="77">
        <f>IF(G1173="",0,VLOOKUP(G1173,REFCE!A:D,2,FALSE))</f>
        <v>0</v>
      </c>
      <c r="I1173" s="77" t="str">
        <f t="shared" si="99"/>
        <v/>
      </c>
    </row>
    <row r="1174" spans="1:9" x14ac:dyDescent="0.25">
      <c r="A1174" s="203" t="str">
        <f>IF(DATA!M1104="","",DATA!M1104)</f>
        <v/>
      </c>
      <c r="B1174" s="203" t="str">
        <f>IF(DATA!N1104="","",DATA!N1104)</f>
        <v/>
      </c>
      <c r="C1174" s="203" t="str">
        <f>IF(DATA!O1104="","",DATA!O1104)</f>
        <v/>
      </c>
      <c r="D1174" s="203" t="str">
        <f>IF(DATA!P1104="","",DATA!P1104)</f>
        <v/>
      </c>
      <c r="E1174" s="13"/>
      <c r="F1174" s="5" t="str">
        <f t="shared" si="98"/>
        <v/>
      </c>
      <c r="G1174" s="1"/>
      <c r="H1174" s="77">
        <f>IF(G1174="",0,VLOOKUP(G1174,REFCE!A:D,2,FALSE))</f>
        <v>0</v>
      </c>
      <c r="I1174" s="77" t="str">
        <f t="shared" si="99"/>
        <v/>
      </c>
    </row>
    <row r="1175" spans="1:9" x14ac:dyDescent="0.25">
      <c r="A1175" s="203" t="str">
        <f>IF(DATA!M1105="","",DATA!M1105)</f>
        <v/>
      </c>
      <c r="B1175" s="203" t="str">
        <f>IF(DATA!N1105="","",DATA!N1105)</f>
        <v/>
      </c>
      <c r="C1175" s="203" t="str">
        <f>IF(DATA!O1105="","",DATA!O1105)</f>
        <v/>
      </c>
      <c r="D1175" s="203" t="str">
        <f>IF(DATA!P1105="","",DATA!P1105)</f>
        <v/>
      </c>
      <c r="E1175" s="13"/>
      <c r="F1175" s="5" t="str">
        <f t="shared" si="98"/>
        <v/>
      </c>
      <c r="G1175" s="1"/>
      <c r="H1175" s="77">
        <f>IF(G1175="",0,VLOOKUP(G1175,REFCE!A:D,2,FALSE))</f>
        <v>0</v>
      </c>
      <c r="I1175" s="77" t="str">
        <f t="shared" si="99"/>
        <v/>
      </c>
    </row>
    <row r="1176" spans="1:9" x14ac:dyDescent="0.25">
      <c r="A1176" s="203" t="str">
        <f>IF(DATA!M1106="","",DATA!M1106)</f>
        <v/>
      </c>
      <c r="B1176" s="203" t="str">
        <f>IF(DATA!N1106="","",DATA!N1106)</f>
        <v/>
      </c>
      <c r="C1176" s="203" t="str">
        <f>IF(DATA!O1106="","",DATA!O1106)</f>
        <v/>
      </c>
      <c r="D1176" s="203" t="str">
        <f>IF(DATA!P1106="","",DATA!P1106)</f>
        <v/>
      </c>
      <c r="E1176" s="13"/>
      <c r="F1176" s="5" t="str">
        <f t="shared" si="98"/>
        <v/>
      </c>
      <c r="G1176" s="1"/>
      <c r="H1176" s="77">
        <f>IF(G1176="",0,VLOOKUP(G1176,REFCE!A:D,2,FALSE))</f>
        <v>0</v>
      </c>
      <c r="I1176" s="77" t="str">
        <f t="shared" si="99"/>
        <v/>
      </c>
    </row>
    <row r="1177" spans="1:9" x14ac:dyDescent="0.25">
      <c r="A1177" s="203" t="str">
        <f>IF(DATA!M1107="","",DATA!M1107)</f>
        <v/>
      </c>
      <c r="B1177" s="203" t="str">
        <f>IF(DATA!N1107="","",DATA!N1107)</f>
        <v/>
      </c>
      <c r="C1177" s="203" t="str">
        <f>IF(DATA!O1107="","",DATA!O1107)</f>
        <v/>
      </c>
      <c r="D1177" s="203" t="str">
        <f>IF(DATA!P1107="","",DATA!P1107)</f>
        <v/>
      </c>
      <c r="E1177" s="13"/>
      <c r="F1177" s="5" t="str">
        <f t="shared" si="98"/>
        <v/>
      </c>
      <c r="G1177" s="1"/>
      <c r="H1177" s="77">
        <f>IF(G1177="",0,VLOOKUP(G1177,REFCE!A:D,2,FALSE))</f>
        <v>0</v>
      </c>
      <c r="I1177" s="77" t="str">
        <f t="shared" si="99"/>
        <v/>
      </c>
    </row>
    <row r="1178" spans="1:9" x14ac:dyDescent="0.25">
      <c r="A1178" s="203" t="str">
        <f>IF(DATA!M1108="","",DATA!M1108)</f>
        <v/>
      </c>
      <c r="B1178" s="203" t="str">
        <f>IF(DATA!N1108="","",DATA!N1108)</f>
        <v/>
      </c>
      <c r="C1178" s="203" t="str">
        <f>IF(DATA!O1108="","",DATA!O1108)</f>
        <v/>
      </c>
      <c r="D1178" s="203" t="str">
        <f>IF(DATA!P1108="","",DATA!P1108)</f>
        <v/>
      </c>
      <c r="E1178" s="13"/>
      <c r="F1178" s="5" t="str">
        <f t="shared" si="98"/>
        <v/>
      </c>
      <c r="G1178" s="1"/>
      <c r="H1178" s="77">
        <f>IF(G1178="",0,VLOOKUP(G1178,REFCE!A:D,2,FALSE))</f>
        <v>0</v>
      </c>
      <c r="I1178" s="77" t="str">
        <f t="shared" si="99"/>
        <v/>
      </c>
    </row>
    <row r="1179" spans="1:9" x14ac:dyDescent="0.25">
      <c r="A1179" s="203" t="str">
        <f>IF(DATA!M1109="","",DATA!M1109)</f>
        <v/>
      </c>
      <c r="B1179" s="203" t="str">
        <f>IF(DATA!N1109="","",DATA!N1109)</f>
        <v/>
      </c>
      <c r="C1179" s="203" t="str">
        <f>IF(DATA!O1109="","",DATA!O1109)</f>
        <v/>
      </c>
      <c r="D1179" s="203" t="str">
        <f>IF(DATA!P1109="","",DATA!P1109)</f>
        <v/>
      </c>
      <c r="E1179" s="13"/>
      <c r="F1179" s="5" t="str">
        <f t="shared" si="98"/>
        <v/>
      </c>
      <c r="G1179" s="1"/>
      <c r="H1179" s="77">
        <f>IF(G1179="",0,VLOOKUP(G1179,REFCE!A:D,2,FALSE))</f>
        <v>0</v>
      </c>
      <c r="I1179" s="77" t="str">
        <f t="shared" si="99"/>
        <v/>
      </c>
    </row>
    <row r="1180" spans="1:9" x14ac:dyDescent="0.25">
      <c r="A1180" s="203" t="str">
        <f>IF(DATA!M1110="","",DATA!M1110)</f>
        <v/>
      </c>
      <c r="B1180" s="203" t="str">
        <f>IF(DATA!N1110="","",DATA!N1110)</f>
        <v/>
      </c>
      <c r="C1180" s="203" t="str">
        <f>IF(DATA!O1110="","",DATA!O1110)</f>
        <v/>
      </c>
      <c r="D1180" s="203" t="str">
        <f>IF(DATA!P1110="","",DATA!P1110)</f>
        <v/>
      </c>
      <c r="E1180" s="13"/>
      <c r="F1180" s="5" t="str">
        <f t="shared" si="98"/>
        <v/>
      </c>
      <c r="G1180" s="1"/>
      <c r="H1180" s="77">
        <f>IF(G1180="",0,VLOOKUP(G1180,REFCE!A:D,2,FALSE))</f>
        <v>0</v>
      </c>
      <c r="I1180" s="77" t="str">
        <f t="shared" si="99"/>
        <v/>
      </c>
    </row>
    <row r="1181" spans="1:9" x14ac:dyDescent="0.25">
      <c r="A1181" s="203" t="str">
        <f>IF(DATA!M1111="","",DATA!M1111)</f>
        <v/>
      </c>
      <c r="B1181" s="203" t="str">
        <f>IF(DATA!N1111="","",DATA!N1111)</f>
        <v/>
      </c>
      <c r="C1181" s="203" t="str">
        <f>IF(DATA!O1111="","",DATA!O1111)</f>
        <v/>
      </c>
      <c r="D1181" s="203" t="str">
        <f>IF(DATA!P1111="","",DATA!P1111)</f>
        <v/>
      </c>
      <c r="E1181" s="13"/>
      <c r="F1181" s="5" t="str">
        <f t="shared" si="98"/>
        <v/>
      </c>
      <c r="G1181" s="1"/>
      <c r="H1181" s="77">
        <f>IF(G1181="",0,VLOOKUP(G1181,REFCE!A:D,2,FALSE))</f>
        <v>0</v>
      </c>
      <c r="I1181" s="77" t="str">
        <f t="shared" si="99"/>
        <v/>
      </c>
    </row>
    <row r="1182" spans="1:9" x14ac:dyDescent="0.25">
      <c r="A1182" s="203" t="str">
        <f>IF(DATA!M1112="","",DATA!M1112)</f>
        <v/>
      </c>
      <c r="B1182" s="203" t="str">
        <f>IF(DATA!N1112="","",DATA!N1112)</f>
        <v/>
      </c>
      <c r="C1182" s="203" t="str">
        <f>IF(DATA!O1112="","",DATA!O1112)</f>
        <v/>
      </c>
      <c r="D1182" s="203" t="str">
        <f>IF(DATA!P1112="","",DATA!P1112)</f>
        <v/>
      </c>
      <c r="E1182" s="13"/>
      <c r="F1182" s="5" t="str">
        <f t="shared" si="98"/>
        <v/>
      </c>
      <c r="G1182" s="1"/>
      <c r="H1182" s="77">
        <f>IF(G1182="",0,VLOOKUP(G1182,REFCE!A:D,2,FALSE))</f>
        <v>0</v>
      </c>
      <c r="I1182" s="77" t="str">
        <f t="shared" si="99"/>
        <v/>
      </c>
    </row>
    <row r="1183" spans="1:9" x14ac:dyDescent="0.25">
      <c r="A1183" s="203" t="str">
        <f>IF(DATA!M1113="","",DATA!M1113)</f>
        <v/>
      </c>
      <c r="B1183" s="203" t="str">
        <f>IF(DATA!N1113="","",DATA!N1113)</f>
        <v/>
      </c>
      <c r="C1183" s="203" t="str">
        <f>IF(DATA!O1113="","",DATA!O1113)</f>
        <v/>
      </c>
      <c r="D1183" s="203" t="str">
        <f>IF(DATA!P1113="","",DATA!P1113)</f>
        <v/>
      </c>
      <c r="E1183" s="13"/>
      <c r="F1183" s="5" t="str">
        <f t="shared" si="98"/>
        <v/>
      </c>
      <c r="G1183" s="1"/>
      <c r="H1183" s="77">
        <f>IF(G1183="",0,VLOOKUP(G1183,REFCE!A:D,2,FALSE))</f>
        <v>0</v>
      </c>
      <c r="I1183" s="77" t="str">
        <f t="shared" si="99"/>
        <v/>
      </c>
    </row>
    <row r="1184" spans="1:9" x14ac:dyDescent="0.25">
      <c r="A1184" s="203" t="str">
        <f>IF(DATA!M1114="","",DATA!M1114)</f>
        <v/>
      </c>
      <c r="B1184" s="203" t="str">
        <f>IF(DATA!N1114="","",DATA!N1114)</f>
        <v/>
      </c>
      <c r="C1184" s="203" t="str">
        <f>IF(DATA!O1114="","",DATA!O1114)</f>
        <v/>
      </c>
      <c r="D1184" s="203" t="str">
        <f>IF(DATA!P1114="","",DATA!P1114)</f>
        <v/>
      </c>
      <c r="E1184" s="13"/>
      <c r="F1184" s="5" t="str">
        <f t="shared" si="98"/>
        <v/>
      </c>
      <c r="G1184" s="1"/>
      <c r="H1184" s="77">
        <f>IF(G1184="",0,VLOOKUP(G1184,REFCE!A:D,2,FALSE))</f>
        <v>0</v>
      </c>
      <c r="I1184" s="77" t="str">
        <f t="shared" si="99"/>
        <v/>
      </c>
    </row>
    <row r="1185" spans="1:9" x14ac:dyDescent="0.25">
      <c r="A1185" s="203" t="str">
        <f>IF(DATA!M1115="","",DATA!M1115)</f>
        <v/>
      </c>
      <c r="B1185" s="203" t="str">
        <f>IF(DATA!N1115="","",DATA!N1115)</f>
        <v/>
      </c>
      <c r="C1185" s="203" t="str">
        <f>IF(DATA!O1115="","",DATA!O1115)</f>
        <v/>
      </c>
      <c r="D1185" s="203" t="str">
        <f>IF(DATA!P1115="","",DATA!P1115)</f>
        <v/>
      </c>
      <c r="E1185" s="13"/>
      <c r="F1185" s="5" t="str">
        <f t="shared" si="98"/>
        <v/>
      </c>
      <c r="G1185" s="1"/>
      <c r="H1185" s="77">
        <f>IF(G1185="",0,VLOOKUP(G1185,REFCE!A:D,2,FALSE))</f>
        <v>0</v>
      </c>
      <c r="I1185" s="77" t="str">
        <f t="shared" si="99"/>
        <v/>
      </c>
    </row>
    <row r="1186" spans="1:9" x14ac:dyDescent="0.25">
      <c r="A1186" s="203" t="str">
        <f>IF(DATA!M1116="","",DATA!M1116)</f>
        <v/>
      </c>
      <c r="B1186" s="203" t="str">
        <f>IF(DATA!N1116="","",DATA!N1116)</f>
        <v/>
      </c>
      <c r="C1186" s="203" t="str">
        <f>IF(DATA!O1116="","",DATA!O1116)</f>
        <v/>
      </c>
      <c r="D1186" s="203" t="str">
        <f>IF(DATA!P1116="","",DATA!P1116)</f>
        <v/>
      </c>
      <c r="E1186" s="13"/>
      <c r="F1186" s="5" t="str">
        <f t="shared" si="98"/>
        <v/>
      </c>
      <c r="G1186" s="1"/>
      <c r="H1186" s="77">
        <f>IF(G1186="",0,VLOOKUP(G1186,REFCE!A:D,2,FALSE))</f>
        <v>0</v>
      </c>
      <c r="I1186" s="77" t="str">
        <f t="shared" si="99"/>
        <v/>
      </c>
    </row>
    <row r="1187" spans="1:9" x14ac:dyDescent="0.25">
      <c r="A1187" s="203" t="str">
        <f>IF(DATA!M1117="","",DATA!M1117)</f>
        <v/>
      </c>
      <c r="B1187" s="203" t="str">
        <f>IF(DATA!N1117="","",DATA!N1117)</f>
        <v/>
      </c>
      <c r="C1187" s="203" t="str">
        <f>IF(DATA!O1117="","",DATA!O1117)</f>
        <v/>
      </c>
      <c r="D1187" s="203" t="str">
        <f>IF(DATA!P1117="","",DATA!P1117)</f>
        <v/>
      </c>
      <c r="E1187" s="13"/>
      <c r="F1187" s="5" t="str">
        <f t="shared" si="98"/>
        <v/>
      </c>
      <c r="G1187" s="1"/>
      <c r="H1187" s="77">
        <f>IF(G1187="",0,VLOOKUP(G1187,REFCE!A:D,2,FALSE))</f>
        <v>0</v>
      </c>
      <c r="I1187" s="77" t="str">
        <f t="shared" si="99"/>
        <v/>
      </c>
    </row>
    <row r="1188" spans="1:9" x14ac:dyDescent="0.25">
      <c r="A1188" s="203" t="str">
        <f>IF(DATA!M1118="","",DATA!M1118)</f>
        <v/>
      </c>
      <c r="B1188" s="203" t="str">
        <f>IF(DATA!N1118="","",DATA!N1118)</f>
        <v/>
      </c>
      <c r="C1188" s="203" t="str">
        <f>IF(DATA!O1118="","",DATA!O1118)</f>
        <v/>
      </c>
      <c r="D1188" s="203" t="str">
        <f>IF(DATA!P1118="","",DATA!P1118)</f>
        <v/>
      </c>
      <c r="E1188" s="13"/>
      <c r="F1188" s="5" t="str">
        <f t="shared" si="98"/>
        <v/>
      </c>
      <c r="G1188" s="1"/>
      <c r="H1188" s="77">
        <f>IF(G1188="",0,VLOOKUP(G1188,REFCE!A:D,2,FALSE))</f>
        <v>0</v>
      </c>
      <c r="I1188" s="77" t="str">
        <f t="shared" si="99"/>
        <v/>
      </c>
    </row>
    <row r="1189" spans="1:9" x14ac:dyDescent="0.25">
      <c r="A1189" s="203" t="str">
        <f>IF(DATA!M1119="","",DATA!M1119)</f>
        <v/>
      </c>
      <c r="B1189" s="203" t="str">
        <f>IF(DATA!N1119="","",DATA!N1119)</f>
        <v/>
      </c>
      <c r="C1189" s="203" t="str">
        <f>IF(DATA!O1119="","",DATA!O1119)</f>
        <v/>
      </c>
      <c r="D1189" s="203" t="str">
        <f>IF(DATA!P1119="","",DATA!P1119)</f>
        <v/>
      </c>
      <c r="E1189" s="13"/>
      <c r="F1189" s="5" t="str">
        <f t="shared" si="98"/>
        <v/>
      </c>
      <c r="G1189" s="1"/>
      <c r="H1189" s="77">
        <f>IF(G1189="",0,VLOOKUP(G1189,REFCE!A:D,2,FALSE))</f>
        <v>0</v>
      </c>
      <c r="I1189" s="77" t="str">
        <f t="shared" si="99"/>
        <v/>
      </c>
    </row>
    <row r="1190" spans="1:9" x14ac:dyDescent="0.25">
      <c r="A1190" s="203" t="str">
        <f>IF(DATA!M1120="","",DATA!M1120)</f>
        <v/>
      </c>
      <c r="B1190" s="203" t="str">
        <f>IF(DATA!N1120="","",DATA!N1120)</f>
        <v/>
      </c>
      <c r="C1190" s="203" t="str">
        <f>IF(DATA!O1120="","",DATA!O1120)</f>
        <v/>
      </c>
      <c r="D1190" s="203" t="str">
        <f>IF(DATA!P1120="","",DATA!P1120)</f>
        <v/>
      </c>
      <c r="E1190" s="13"/>
      <c r="F1190" s="5" t="str">
        <f t="shared" si="98"/>
        <v/>
      </c>
      <c r="G1190" s="1"/>
      <c r="H1190" s="77">
        <f>IF(G1190="",0,VLOOKUP(G1190,REFCE!A:D,2,FALSE))</f>
        <v>0</v>
      </c>
      <c r="I1190" s="77" t="str">
        <f t="shared" si="99"/>
        <v/>
      </c>
    </row>
    <row r="1191" spans="1:9" x14ac:dyDescent="0.25">
      <c r="A1191" s="203" t="str">
        <f>IF(DATA!M1121="","",DATA!M1121)</f>
        <v/>
      </c>
      <c r="B1191" s="203" t="str">
        <f>IF(DATA!N1121="","",DATA!N1121)</f>
        <v/>
      </c>
      <c r="C1191" s="203" t="str">
        <f>IF(DATA!O1121="","",DATA!O1121)</f>
        <v/>
      </c>
      <c r="D1191" s="203" t="str">
        <f>IF(DATA!P1121="","",DATA!P1121)</f>
        <v/>
      </c>
      <c r="E1191" s="13"/>
      <c r="F1191" s="5" t="str">
        <f t="shared" si="98"/>
        <v/>
      </c>
      <c r="G1191" s="1"/>
      <c r="H1191" s="77">
        <f>IF(G1191="",0,VLOOKUP(G1191,REFCE!A:D,2,FALSE))</f>
        <v>0</v>
      </c>
      <c r="I1191" s="77" t="str">
        <f t="shared" si="99"/>
        <v/>
      </c>
    </row>
    <row r="1192" spans="1:9" x14ac:dyDescent="0.25">
      <c r="A1192" s="203" t="str">
        <f>IF(DATA!M1122="","",DATA!M1122)</f>
        <v/>
      </c>
      <c r="B1192" s="203" t="str">
        <f>IF(DATA!N1122="","",DATA!N1122)</f>
        <v/>
      </c>
      <c r="C1192" s="203" t="str">
        <f>IF(DATA!O1122="","",DATA!O1122)</f>
        <v/>
      </c>
      <c r="D1192" s="203" t="str">
        <f>IF(DATA!P1122="","",DATA!P1122)</f>
        <v/>
      </c>
      <c r="E1192" s="13"/>
      <c r="F1192" s="5" t="str">
        <f t="shared" si="98"/>
        <v/>
      </c>
      <c r="G1192" s="1"/>
      <c r="H1192" s="77">
        <f>IF(G1192="",0,VLOOKUP(G1192,REFCE!A:D,2,FALSE))</f>
        <v>0</v>
      </c>
      <c r="I1192" s="77" t="str">
        <f t="shared" si="99"/>
        <v/>
      </c>
    </row>
    <row r="1193" spans="1:9" x14ac:dyDescent="0.25">
      <c r="A1193" s="203" t="str">
        <f>IF(DATA!M1123="","",DATA!M1123)</f>
        <v/>
      </c>
      <c r="B1193" s="203" t="str">
        <f>IF(DATA!N1123="","",DATA!N1123)</f>
        <v/>
      </c>
      <c r="C1193" s="203" t="str">
        <f>IF(DATA!O1123="","",DATA!O1123)</f>
        <v/>
      </c>
      <c r="D1193" s="203" t="str">
        <f>IF(DATA!P1123="","",DATA!P1123)</f>
        <v/>
      </c>
      <c r="E1193" s="13"/>
      <c r="F1193" s="5" t="str">
        <f t="shared" si="98"/>
        <v/>
      </c>
      <c r="G1193" s="1"/>
      <c r="H1193" s="77">
        <f>IF(G1193="",0,VLOOKUP(G1193,REFCE!A:D,2,FALSE))</f>
        <v>0</v>
      </c>
      <c r="I1193" s="77" t="str">
        <f t="shared" si="99"/>
        <v/>
      </c>
    </row>
    <row r="1194" spans="1:9" x14ac:dyDescent="0.25">
      <c r="A1194" s="203" t="str">
        <f>IF(DATA!M1124="","",DATA!M1124)</f>
        <v/>
      </c>
      <c r="B1194" s="203" t="str">
        <f>IF(DATA!N1124="","",DATA!N1124)</f>
        <v/>
      </c>
      <c r="C1194" s="203" t="str">
        <f>IF(DATA!O1124="","",DATA!O1124)</f>
        <v/>
      </c>
      <c r="D1194" s="203" t="str">
        <f>IF(DATA!P1124="","",DATA!P1124)</f>
        <v/>
      </c>
      <c r="E1194" s="13"/>
      <c r="F1194" s="5" t="str">
        <f t="shared" si="98"/>
        <v/>
      </c>
      <c r="G1194" s="1"/>
      <c r="H1194" s="77">
        <f>IF(G1194="",0,VLOOKUP(G1194,REFCE!A:D,2,FALSE))</f>
        <v>0</v>
      </c>
      <c r="I1194" s="77" t="str">
        <f t="shared" si="99"/>
        <v/>
      </c>
    </row>
    <row r="1195" spans="1:9" x14ac:dyDescent="0.25">
      <c r="A1195" s="203" t="str">
        <f>IF(DATA!M1125="","",DATA!M1125)</f>
        <v/>
      </c>
      <c r="B1195" s="203" t="str">
        <f>IF(DATA!N1125="","",DATA!N1125)</f>
        <v/>
      </c>
      <c r="C1195" s="203" t="str">
        <f>IF(DATA!O1125="","",DATA!O1125)</f>
        <v/>
      </c>
      <c r="D1195" s="203" t="str">
        <f>IF(DATA!P1125="","",DATA!P1125)</f>
        <v/>
      </c>
      <c r="E1195" s="13"/>
      <c r="F1195" s="5" t="str">
        <f t="shared" si="98"/>
        <v/>
      </c>
      <c r="G1195" s="1"/>
      <c r="H1195" s="77">
        <f>IF(G1195="",0,VLOOKUP(G1195,REFCE!A:D,2,FALSE))</f>
        <v>0</v>
      </c>
      <c r="I1195" s="77" t="str">
        <f t="shared" si="99"/>
        <v/>
      </c>
    </row>
    <row r="1196" spans="1:9" x14ac:dyDescent="0.25">
      <c r="A1196" s="203" t="str">
        <f>IF(DATA!M1126="","",DATA!M1126)</f>
        <v/>
      </c>
      <c r="B1196" s="203" t="str">
        <f>IF(DATA!N1126="","",DATA!N1126)</f>
        <v/>
      </c>
      <c r="C1196" s="203" t="str">
        <f>IF(DATA!O1126="","",DATA!O1126)</f>
        <v/>
      </c>
      <c r="D1196" s="203" t="str">
        <f>IF(DATA!P1126="","",DATA!P1126)</f>
        <v/>
      </c>
      <c r="E1196" s="13"/>
      <c r="F1196" s="5" t="str">
        <f t="shared" si="98"/>
        <v/>
      </c>
      <c r="G1196" s="1"/>
      <c r="H1196" s="77">
        <f>IF(G1196="",0,VLOOKUP(G1196,REFCE!A:D,2,FALSE))</f>
        <v>0</v>
      </c>
      <c r="I1196" s="77" t="str">
        <f t="shared" si="99"/>
        <v/>
      </c>
    </row>
    <row r="1197" spans="1:9" x14ac:dyDescent="0.25">
      <c r="A1197" s="203" t="str">
        <f>IF(DATA!M1127="","",DATA!M1127)</f>
        <v/>
      </c>
      <c r="B1197" s="203" t="str">
        <f>IF(DATA!N1127="","",DATA!N1127)</f>
        <v/>
      </c>
      <c r="C1197" s="203" t="str">
        <f>IF(DATA!O1127="","",DATA!O1127)</f>
        <v/>
      </c>
      <c r="D1197" s="203" t="str">
        <f>IF(DATA!P1127="","",DATA!P1127)</f>
        <v/>
      </c>
      <c r="E1197" s="13"/>
      <c r="F1197" s="5" t="str">
        <f t="shared" si="98"/>
        <v/>
      </c>
      <c r="G1197" s="1"/>
      <c r="H1197" s="77">
        <f>IF(G1197="",0,VLOOKUP(G1197,REFCE!A:D,2,FALSE))</f>
        <v>0</v>
      </c>
      <c r="I1197" s="77" t="str">
        <f t="shared" si="99"/>
        <v/>
      </c>
    </row>
    <row r="1198" spans="1:9" x14ac:dyDescent="0.25">
      <c r="A1198" s="203" t="str">
        <f>IF(DATA!M1128="","",DATA!M1128)</f>
        <v/>
      </c>
      <c r="B1198" s="203" t="str">
        <f>IF(DATA!N1128="","",DATA!N1128)</f>
        <v/>
      </c>
      <c r="C1198" s="203" t="str">
        <f>IF(DATA!O1128="","",DATA!O1128)</f>
        <v/>
      </c>
      <c r="D1198" s="203" t="str">
        <f>IF(DATA!P1128="","",DATA!P1128)</f>
        <v/>
      </c>
      <c r="E1198" s="13"/>
      <c r="F1198" s="5" t="str">
        <f t="shared" si="98"/>
        <v/>
      </c>
      <c r="G1198" s="1"/>
      <c r="H1198" s="77">
        <f>IF(G1198="",0,VLOOKUP(G1198,REFCE!A:D,2,FALSE))</f>
        <v>0</v>
      </c>
      <c r="I1198" s="77" t="str">
        <f t="shared" si="99"/>
        <v/>
      </c>
    </row>
    <row r="1199" spans="1:9" x14ac:dyDescent="0.25">
      <c r="A1199" s="203" t="str">
        <f>IF(DATA!M1129="","",DATA!M1129)</f>
        <v/>
      </c>
      <c r="B1199" s="203" t="str">
        <f>IF(DATA!N1129="","",DATA!N1129)</f>
        <v/>
      </c>
      <c r="C1199" s="203" t="str">
        <f>IF(DATA!O1129="","",DATA!O1129)</f>
        <v/>
      </c>
      <c r="D1199" s="203" t="str">
        <f>IF(DATA!P1129="","",DATA!P1129)</f>
        <v/>
      </c>
      <c r="E1199" s="13"/>
      <c r="F1199" s="5" t="str">
        <f t="shared" si="98"/>
        <v/>
      </c>
      <c r="G1199" s="1"/>
      <c r="H1199" s="77">
        <f>IF(G1199="",0,VLOOKUP(G1199,REFCE!A:D,2,FALSE))</f>
        <v>0</v>
      </c>
      <c r="I1199" s="77" t="str">
        <f t="shared" si="99"/>
        <v/>
      </c>
    </row>
    <row r="1200" spans="1:9" x14ac:dyDescent="0.25">
      <c r="A1200" s="203" t="str">
        <f>IF(DATA!M1130="","",DATA!M1130)</f>
        <v/>
      </c>
      <c r="B1200" s="203" t="str">
        <f>IF(DATA!N1130="","",DATA!N1130)</f>
        <v/>
      </c>
      <c r="C1200" s="203" t="str">
        <f>IF(DATA!O1130="","",DATA!O1130)</f>
        <v/>
      </c>
      <c r="D1200" s="203" t="str">
        <f>IF(DATA!P1130="","",DATA!P1130)</f>
        <v/>
      </c>
      <c r="E1200" s="13"/>
      <c r="F1200" s="5" t="str">
        <f t="shared" si="98"/>
        <v/>
      </c>
      <c r="G1200" s="1"/>
      <c r="H1200" s="77">
        <f>IF(G1200="",0,VLOOKUP(G1200,REFCE!A:D,2,FALSE))</f>
        <v>0</v>
      </c>
      <c r="I1200" s="77" t="str">
        <f t="shared" si="99"/>
        <v/>
      </c>
    </row>
    <row r="1201" spans="1:9" x14ac:dyDescent="0.25">
      <c r="A1201" s="203" t="str">
        <f>IF(DATA!M1131="","",DATA!M1131)</f>
        <v/>
      </c>
      <c r="B1201" s="203" t="str">
        <f>IF(DATA!N1131="","",DATA!N1131)</f>
        <v/>
      </c>
      <c r="C1201" s="203" t="str">
        <f>IF(DATA!O1131="","",DATA!O1131)</f>
        <v/>
      </c>
      <c r="D1201" s="203" t="str">
        <f>IF(DATA!P1131="","",DATA!P1131)</f>
        <v/>
      </c>
      <c r="E1201" s="13"/>
      <c r="F1201" s="5" t="str">
        <f t="shared" si="98"/>
        <v/>
      </c>
      <c r="G1201" s="1"/>
      <c r="H1201" s="77">
        <f>IF(G1201="",0,VLOOKUP(G1201,REFCE!A:D,2,FALSE))</f>
        <v>0</v>
      </c>
      <c r="I1201" s="77" t="str">
        <f t="shared" si="99"/>
        <v/>
      </c>
    </row>
    <row r="1202" spans="1:9" x14ac:dyDescent="0.25">
      <c r="A1202" s="203" t="str">
        <f>IF(DATA!M1132="","",DATA!M1132)</f>
        <v/>
      </c>
      <c r="B1202" s="203" t="str">
        <f>IF(DATA!N1132="","",DATA!N1132)</f>
        <v/>
      </c>
      <c r="C1202" s="203" t="str">
        <f>IF(DATA!O1132="","",DATA!O1132)</f>
        <v/>
      </c>
      <c r="D1202" s="203" t="str">
        <f>IF(DATA!P1132="","",DATA!P1132)</f>
        <v/>
      </c>
      <c r="E1202" s="13"/>
      <c r="F1202" s="5" t="str">
        <f t="shared" si="98"/>
        <v/>
      </c>
      <c r="G1202" s="1"/>
      <c r="H1202" s="77">
        <f>IF(G1202="",0,VLOOKUP(G1202,REFCE!A:D,2,FALSE))</f>
        <v>0</v>
      </c>
      <c r="I1202" s="77" t="str">
        <f t="shared" si="99"/>
        <v/>
      </c>
    </row>
    <row r="1203" spans="1:9" x14ac:dyDescent="0.25">
      <c r="A1203" s="203" t="str">
        <f>IF(DATA!M1133="","",DATA!M1133)</f>
        <v/>
      </c>
      <c r="B1203" s="203" t="str">
        <f>IF(DATA!N1133="","",DATA!N1133)</f>
        <v/>
      </c>
      <c r="C1203" s="203" t="str">
        <f>IF(DATA!O1133="","",DATA!O1133)</f>
        <v/>
      </c>
      <c r="D1203" s="203" t="str">
        <f>IF(DATA!P1133="","",DATA!P1133)</f>
        <v/>
      </c>
      <c r="E1203" s="13"/>
      <c r="F1203" s="5" t="str">
        <f t="shared" si="98"/>
        <v/>
      </c>
      <c r="G1203" s="1"/>
      <c r="H1203" s="77">
        <f>IF(G1203="",0,VLOOKUP(G1203,REFCE!A:D,2,FALSE))</f>
        <v>0</v>
      </c>
      <c r="I1203" s="77" t="str">
        <f t="shared" si="99"/>
        <v/>
      </c>
    </row>
    <row r="1204" spans="1:9" x14ac:dyDescent="0.25">
      <c r="A1204" s="203" t="str">
        <f>IF(DATA!M1134="","",DATA!M1134)</f>
        <v/>
      </c>
      <c r="B1204" s="203" t="str">
        <f>IF(DATA!N1134="","",DATA!N1134)</f>
        <v/>
      </c>
      <c r="C1204" s="203" t="str">
        <f>IF(DATA!O1134="","",DATA!O1134)</f>
        <v/>
      </c>
      <c r="D1204" s="203" t="str">
        <f>IF(DATA!P1134="","",DATA!P1134)</f>
        <v/>
      </c>
      <c r="E1204" s="13"/>
      <c r="F1204" s="5" t="str">
        <f t="shared" si="98"/>
        <v/>
      </c>
      <c r="G1204" s="1"/>
      <c r="H1204" s="77">
        <f>IF(G1204="",0,VLOOKUP(G1204,REFCE!A:D,2,FALSE))</f>
        <v>0</v>
      </c>
      <c r="I1204" s="77" t="str">
        <f t="shared" si="99"/>
        <v/>
      </c>
    </row>
    <row r="1205" spans="1:9" x14ac:dyDescent="0.25">
      <c r="A1205" s="203" t="str">
        <f>IF(DATA!M1135="","",DATA!M1135)</f>
        <v/>
      </c>
      <c r="B1205" s="203" t="str">
        <f>IF(DATA!N1135="","",DATA!N1135)</f>
        <v/>
      </c>
      <c r="C1205" s="203" t="str">
        <f>IF(DATA!O1135="","",DATA!O1135)</f>
        <v/>
      </c>
      <c r="D1205" s="203" t="str">
        <f>IF(DATA!P1135="","",DATA!P1135)</f>
        <v/>
      </c>
      <c r="E1205" s="13"/>
      <c r="F1205" s="5" t="str">
        <f t="shared" si="98"/>
        <v/>
      </c>
      <c r="G1205" s="1"/>
      <c r="H1205" s="77">
        <f>IF(G1205="",0,VLOOKUP(G1205,REFCE!A:D,2,FALSE))</f>
        <v>0</v>
      </c>
      <c r="I1205" s="77" t="str">
        <f t="shared" si="99"/>
        <v/>
      </c>
    </row>
    <row r="1206" spans="1:9" x14ac:dyDescent="0.25">
      <c r="A1206" s="203" t="str">
        <f>IF(DATA!M1136="","",DATA!M1136)</f>
        <v/>
      </c>
      <c r="B1206" s="203" t="str">
        <f>IF(DATA!N1136="","",DATA!N1136)</f>
        <v/>
      </c>
      <c r="C1206" s="203" t="str">
        <f>IF(DATA!O1136="","",DATA!O1136)</f>
        <v/>
      </c>
      <c r="D1206" s="203" t="str">
        <f>IF(DATA!P1136="","",DATA!P1136)</f>
        <v/>
      </c>
      <c r="E1206" s="13"/>
      <c r="F1206" s="5" t="str">
        <f t="shared" si="98"/>
        <v/>
      </c>
      <c r="G1206" s="1"/>
      <c r="H1206" s="77">
        <f>IF(G1206="",0,VLOOKUP(G1206,REFCE!A:D,2,FALSE))</f>
        <v>0</v>
      </c>
      <c r="I1206" s="77" t="str">
        <f t="shared" si="99"/>
        <v/>
      </c>
    </row>
    <row r="1207" spans="1:9" x14ac:dyDescent="0.25">
      <c r="A1207" s="203" t="str">
        <f>IF(DATA!M1137="","",DATA!M1137)</f>
        <v/>
      </c>
      <c r="B1207" s="203" t="str">
        <f>IF(DATA!N1137="","",DATA!N1137)</f>
        <v/>
      </c>
      <c r="C1207" s="203" t="str">
        <f>IF(DATA!O1137="","",DATA!O1137)</f>
        <v/>
      </c>
      <c r="D1207" s="203" t="str">
        <f>IF(DATA!P1137="","",DATA!P1137)</f>
        <v/>
      </c>
      <c r="E1207" s="13"/>
      <c r="F1207" s="5" t="str">
        <f t="shared" si="98"/>
        <v/>
      </c>
      <c r="G1207" s="1"/>
      <c r="H1207" s="77">
        <f>IF(G1207="",0,VLOOKUP(G1207,REFCE!A:D,2,FALSE))</f>
        <v>0</v>
      </c>
      <c r="I1207" s="77" t="str">
        <f t="shared" si="99"/>
        <v/>
      </c>
    </row>
    <row r="1208" spans="1:9" x14ac:dyDescent="0.25">
      <c r="A1208" s="203" t="str">
        <f>IF(DATA!M1138="","",DATA!M1138)</f>
        <v/>
      </c>
      <c r="B1208" s="203" t="str">
        <f>IF(DATA!N1138="","",DATA!N1138)</f>
        <v/>
      </c>
      <c r="C1208" s="203" t="str">
        <f>IF(DATA!O1138="","",DATA!O1138)</f>
        <v/>
      </c>
      <c r="D1208" s="203" t="str">
        <f>IF(DATA!P1138="","",DATA!P1138)</f>
        <v/>
      </c>
      <c r="E1208" s="13"/>
      <c r="F1208" s="5" t="str">
        <f t="shared" si="98"/>
        <v/>
      </c>
      <c r="G1208" s="1"/>
      <c r="H1208" s="77">
        <f>IF(G1208="",0,VLOOKUP(G1208,REFCE!A:D,2,FALSE))</f>
        <v>0</v>
      </c>
      <c r="I1208" s="77" t="str">
        <f t="shared" si="99"/>
        <v/>
      </c>
    </row>
    <row r="1209" spans="1:9" x14ac:dyDescent="0.25">
      <c r="A1209" s="203" t="str">
        <f>IF(DATA!M1139="","",DATA!M1139)</f>
        <v/>
      </c>
      <c r="B1209" s="203" t="str">
        <f>IF(DATA!N1139="","",DATA!N1139)</f>
        <v/>
      </c>
      <c r="C1209" s="203" t="str">
        <f>IF(DATA!O1139="","",DATA!O1139)</f>
        <v/>
      </c>
      <c r="D1209" s="203" t="str">
        <f>IF(DATA!P1139="","",DATA!P1139)</f>
        <v/>
      </c>
      <c r="E1209" s="13"/>
      <c r="F1209" s="5" t="str">
        <f t="shared" si="98"/>
        <v/>
      </c>
      <c r="G1209" s="1"/>
      <c r="H1209" s="77">
        <f>IF(G1209="",0,VLOOKUP(G1209,REFCE!A:D,2,FALSE))</f>
        <v>0</v>
      </c>
      <c r="I1209" s="77" t="str">
        <f t="shared" si="99"/>
        <v/>
      </c>
    </row>
    <row r="1210" spans="1:9" x14ac:dyDescent="0.25">
      <c r="A1210" s="203" t="str">
        <f>IF(DATA!M1140="","",DATA!M1140)</f>
        <v/>
      </c>
      <c r="B1210" s="203" t="str">
        <f>IF(DATA!N1140="","",DATA!N1140)</f>
        <v/>
      </c>
      <c r="C1210" s="203" t="str">
        <f>IF(DATA!O1140="","",DATA!O1140)</f>
        <v/>
      </c>
      <c r="D1210" s="203" t="str">
        <f>IF(DATA!P1140="","",DATA!P1140)</f>
        <v/>
      </c>
      <c r="E1210" s="13"/>
      <c r="F1210" s="5" t="str">
        <f t="shared" si="98"/>
        <v/>
      </c>
      <c r="G1210" s="1"/>
      <c r="H1210" s="77">
        <f>IF(G1210="",0,VLOOKUP(G1210,REFCE!A:D,2,FALSE))</f>
        <v>0</v>
      </c>
      <c r="I1210" s="77" t="str">
        <f t="shared" si="99"/>
        <v/>
      </c>
    </row>
    <row r="1211" spans="1:9" x14ac:dyDescent="0.25">
      <c r="A1211" s="203" t="str">
        <f>IF(DATA!M1141="","",DATA!M1141)</f>
        <v/>
      </c>
      <c r="B1211" s="203" t="str">
        <f>IF(DATA!N1141="","",DATA!N1141)</f>
        <v/>
      </c>
      <c r="C1211" s="203" t="str">
        <f>IF(DATA!O1141="","",DATA!O1141)</f>
        <v/>
      </c>
      <c r="D1211" s="203" t="str">
        <f>IF(DATA!P1141="","",DATA!P1141)</f>
        <v/>
      </c>
      <c r="E1211" s="13"/>
      <c r="F1211" s="5" t="str">
        <f t="shared" si="98"/>
        <v/>
      </c>
      <c r="G1211" s="1"/>
      <c r="H1211" s="77">
        <f>IF(G1211="",0,VLOOKUP(G1211,REFCE!A:D,2,FALSE))</f>
        <v>0</v>
      </c>
      <c r="I1211" s="77" t="str">
        <f t="shared" si="99"/>
        <v/>
      </c>
    </row>
    <row r="1212" spans="1:9" x14ac:dyDescent="0.25">
      <c r="A1212" s="203" t="str">
        <f>IF(DATA!M1142="","",DATA!M1142)</f>
        <v/>
      </c>
      <c r="B1212" s="203" t="str">
        <f>IF(DATA!N1142="","",DATA!N1142)</f>
        <v/>
      </c>
      <c r="C1212" s="203" t="str">
        <f>IF(DATA!O1142="","",DATA!O1142)</f>
        <v/>
      </c>
      <c r="D1212" s="203" t="str">
        <f>IF(DATA!P1142="","",DATA!P1142)</f>
        <v/>
      </c>
      <c r="E1212" s="13"/>
      <c r="F1212" s="5" t="str">
        <f t="shared" si="98"/>
        <v/>
      </c>
      <c r="G1212" s="1"/>
      <c r="H1212" s="77">
        <f>IF(G1212="",0,VLOOKUP(G1212,REFCE!A:D,2,FALSE))</f>
        <v>0</v>
      </c>
      <c r="I1212" s="77" t="str">
        <f t="shared" si="99"/>
        <v/>
      </c>
    </row>
    <row r="1213" spans="1:9" x14ac:dyDescent="0.25">
      <c r="A1213" s="203" t="str">
        <f>IF(DATA!M1143="","",DATA!M1143)</f>
        <v/>
      </c>
      <c r="B1213" s="203" t="str">
        <f>IF(DATA!N1143="","",DATA!N1143)</f>
        <v/>
      </c>
      <c r="C1213" s="203" t="str">
        <f>IF(DATA!O1143="","",DATA!O1143)</f>
        <v/>
      </c>
      <c r="D1213" s="203" t="str">
        <f>IF(DATA!P1143="","",DATA!P1143)</f>
        <v/>
      </c>
      <c r="E1213" s="13"/>
      <c r="F1213" s="5" t="str">
        <f t="shared" si="98"/>
        <v/>
      </c>
      <c r="G1213" s="1"/>
      <c r="H1213" s="77">
        <f>IF(G1213="",0,VLOOKUP(G1213,REFCE!A:D,2,FALSE))</f>
        <v>0</v>
      </c>
      <c r="I1213" s="77" t="str">
        <f t="shared" si="99"/>
        <v/>
      </c>
    </row>
    <row r="1214" spans="1:9" x14ac:dyDescent="0.25">
      <c r="A1214" s="203" t="str">
        <f>IF(DATA!M1144="","",DATA!M1144)</f>
        <v/>
      </c>
      <c r="B1214" s="203" t="str">
        <f>IF(DATA!N1144="","",DATA!N1144)</f>
        <v/>
      </c>
      <c r="C1214" s="203" t="str">
        <f>IF(DATA!O1144="","",DATA!O1144)</f>
        <v/>
      </c>
      <c r="D1214" s="203" t="str">
        <f>IF(DATA!P1144="","",DATA!P1144)</f>
        <v/>
      </c>
      <c r="E1214" s="13"/>
      <c r="F1214" s="5" t="str">
        <f t="shared" si="98"/>
        <v/>
      </c>
      <c r="G1214" s="1"/>
      <c r="H1214" s="77">
        <f>IF(G1214="",0,VLOOKUP(G1214,REFCE!A:D,2,FALSE))</f>
        <v>0</v>
      </c>
      <c r="I1214" s="77" t="str">
        <f t="shared" si="99"/>
        <v/>
      </c>
    </row>
    <row r="1215" spans="1:9" x14ac:dyDescent="0.25">
      <c r="A1215" s="203" t="str">
        <f>IF(DATA!M1145="","",DATA!M1145)</f>
        <v/>
      </c>
      <c r="B1215" s="203" t="str">
        <f>IF(DATA!N1145="","",DATA!N1145)</f>
        <v/>
      </c>
      <c r="C1215" s="203" t="str">
        <f>IF(DATA!O1145="","",DATA!O1145)</f>
        <v/>
      </c>
      <c r="D1215" s="203" t="str">
        <f>IF(DATA!P1145="","",DATA!P1145)</f>
        <v/>
      </c>
      <c r="E1215" s="13"/>
      <c r="F1215" s="5" t="str">
        <f t="shared" si="98"/>
        <v/>
      </c>
      <c r="G1215" s="1"/>
      <c r="H1215" s="77">
        <f>IF(G1215="",0,VLOOKUP(G1215,REFCE!A:D,2,FALSE))</f>
        <v>0</v>
      </c>
      <c r="I1215" s="77" t="str">
        <f t="shared" si="99"/>
        <v/>
      </c>
    </row>
    <row r="1216" spans="1:9" x14ac:dyDescent="0.25">
      <c r="A1216" s="203" t="str">
        <f>IF(DATA!M1146="","",DATA!M1146)</f>
        <v/>
      </c>
      <c r="B1216" s="203" t="str">
        <f>IF(DATA!N1146="","",DATA!N1146)</f>
        <v/>
      </c>
      <c r="C1216" s="203" t="str">
        <f>IF(DATA!O1146="","",DATA!O1146)</f>
        <v/>
      </c>
      <c r="D1216" s="203" t="str">
        <f>IF(DATA!P1146="","",DATA!P1146)</f>
        <v/>
      </c>
      <c r="E1216" s="13"/>
      <c r="F1216" s="5" t="str">
        <f t="shared" si="98"/>
        <v/>
      </c>
      <c r="G1216" s="1"/>
      <c r="H1216" s="77">
        <f>IF(G1216="",0,VLOOKUP(G1216,REFCE!A:D,2,FALSE))</f>
        <v>0</v>
      </c>
      <c r="I1216" s="77" t="str">
        <f t="shared" si="99"/>
        <v/>
      </c>
    </row>
    <row r="1217" spans="1:9" x14ac:dyDescent="0.25">
      <c r="A1217" s="203" t="str">
        <f>IF(DATA!M1147="","",DATA!M1147)</f>
        <v/>
      </c>
      <c r="B1217" s="203" t="str">
        <f>IF(DATA!N1147="","",DATA!N1147)</f>
        <v/>
      </c>
      <c r="C1217" s="203" t="str">
        <f>IF(DATA!O1147="","",DATA!O1147)</f>
        <v/>
      </c>
      <c r="D1217" s="203" t="str">
        <f>IF(DATA!P1147="","",DATA!P1147)</f>
        <v/>
      </c>
      <c r="E1217" s="13"/>
      <c r="F1217" s="5" t="str">
        <f t="shared" si="98"/>
        <v/>
      </c>
      <c r="G1217" s="1"/>
      <c r="H1217" s="77">
        <f>IF(G1217="",0,VLOOKUP(G1217,REFCE!A:D,2,FALSE))</f>
        <v>0</v>
      </c>
      <c r="I1217" s="77" t="str">
        <f t="shared" si="99"/>
        <v/>
      </c>
    </row>
    <row r="1218" spans="1:9" x14ac:dyDescent="0.25">
      <c r="A1218" s="203" t="str">
        <f>IF(DATA!M1148="","",DATA!M1148)</f>
        <v/>
      </c>
      <c r="B1218" s="203" t="str">
        <f>IF(DATA!N1148="","",DATA!N1148)</f>
        <v/>
      </c>
      <c r="C1218" s="203" t="str">
        <f>IF(DATA!O1148="","",DATA!O1148)</f>
        <v/>
      </c>
      <c r="D1218" s="203" t="str">
        <f>IF(DATA!P1148="","",DATA!P1148)</f>
        <v/>
      </c>
      <c r="E1218" s="13"/>
      <c r="F1218" s="5" t="str">
        <f t="shared" si="98"/>
        <v/>
      </c>
      <c r="G1218" s="1"/>
      <c r="H1218" s="77">
        <f>IF(G1218="",0,VLOOKUP(G1218,REFCE!A:D,2,FALSE))</f>
        <v>0</v>
      </c>
      <c r="I1218" s="77" t="str">
        <f t="shared" si="99"/>
        <v/>
      </c>
    </row>
    <row r="1219" spans="1:9" x14ac:dyDescent="0.25">
      <c r="A1219" s="203" t="str">
        <f>IF(DATA!M1149="","",DATA!M1149)</f>
        <v/>
      </c>
      <c r="B1219" s="203" t="str">
        <f>IF(DATA!N1149="","",DATA!N1149)</f>
        <v/>
      </c>
      <c r="C1219" s="203" t="str">
        <f>IF(DATA!O1149="","",DATA!O1149)</f>
        <v/>
      </c>
      <c r="D1219" s="203" t="str">
        <f>IF(DATA!P1149="","",DATA!P1149)</f>
        <v/>
      </c>
      <c r="E1219" s="13"/>
      <c r="F1219" s="5" t="str">
        <f t="shared" si="98"/>
        <v/>
      </c>
      <c r="G1219" s="1"/>
      <c r="H1219" s="77">
        <f>IF(G1219="",0,VLOOKUP(G1219,REFCE!A:D,2,FALSE))</f>
        <v>0</v>
      </c>
      <c r="I1219" s="77" t="str">
        <f t="shared" si="99"/>
        <v/>
      </c>
    </row>
    <row r="1220" spans="1:9" x14ac:dyDescent="0.25">
      <c r="A1220" s="203" t="str">
        <f>IF(DATA!M1150="","",DATA!M1150)</f>
        <v/>
      </c>
      <c r="B1220" s="203" t="str">
        <f>IF(DATA!N1150="","",DATA!N1150)</f>
        <v/>
      </c>
      <c r="C1220" s="203" t="str">
        <f>IF(DATA!O1150="","",DATA!O1150)</f>
        <v/>
      </c>
      <c r="D1220" s="203" t="str">
        <f>IF(DATA!P1150="","",DATA!P1150)</f>
        <v/>
      </c>
      <c r="E1220" s="13"/>
      <c r="F1220" s="5" t="str">
        <f t="shared" si="98"/>
        <v/>
      </c>
      <c r="G1220" s="1"/>
      <c r="H1220" s="77">
        <f>IF(G1220="",0,VLOOKUP(G1220,REFCE!A:D,2,FALSE))</f>
        <v>0</v>
      </c>
      <c r="I1220" s="77" t="str">
        <f t="shared" si="99"/>
        <v/>
      </c>
    </row>
    <row r="1221" spans="1:9" x14ac:dyDescent="0.25">
      <c r="A1221" s="203" t="str">
        <f>IF(DATA!M1151="","",DATA!M1151)</f>
        <v/>
      </c>
      <c r="B1221" s="203" t="str">
        <f>IF(DATA!N1151="","",DATA!N1151)</f>
        <v/>
      </c>
      <c r="C1221" s="203" t="str">
        <f>IF(DATA!O1151="","",DATA!O1151)</f>
        <v/>
      </c>
      <c r="D1221" s="203" t="str">
        <f>IF(DATA!P1151="","",DATA!P1151)</f>
        <v/>
      </c>
      <c r="E1221" s="13"/>
      <c r="F1221" s="5" t="str">
        <f t="shared" si="98"/>
        <v/>
      </c>
      <c r="G1221" s="1"/>
      <c r="H1221" s="77">
        <f>IF(G1221="",0,VLOOKUP(G1221,REFCE!A:D,2,FALSE))</f>
        <v>0</v>
      </c>
      <c r="I1221" s="77" t="str">
        <f t="shared" si="99"/>
        <v/>
      </c>
    </row>
    <row r="1222" spans="1:9" x14ac:dyDescent="0.25">
      <c r="A1222" s="203" t="str">
        <f>IF(DATA!M1152="","",DATA!M1152)</f>
        <v/>
      </c>
      <c r="B1222" s="203" t="str">
        <f>IF(DATA!N1152="","",DATA!N1152)</f>
        <v/>
      </c>
      <c r="C1222" s="203" t="str">
        <f>IF(DATA!O1152="","",DATA!O1152)</f>
        <v/>
      </c>
      <c r="D1222" s="203" t="str">
        <f>IF(DATA!P1152="","",DATA!P1152)</f>
        <v/>
      </c>
      <c r="E1222" s="13"/>
      <c r="F1222" s="5" t="str">
        <f t="shared" si="98"/>
        <v/>
      </c>
      <c r="G1222" s="1"/>
      <c r="H1222" s="77">
        <f>IF(G1222="",0,VLOOKUP(G1222,REFCE!A:D,2,FALSE))</f>
        <v>0</v>
      </c>
      <c r="I1222" s="77" t="str">
        <f t="shared" si="99"/>
        <v/>
      </c>
    </row>
    <row r="1223" spans="1:9" x14ac:dyDescent="0.25">
      <c r="A1223" s="203" t="str">
        <f>IF(DATA!M1153="","",DATA!M1153)</f>
        <v/>
      </c>
      <c r="B1223" s="203" t="str">
        <f>IF(DATA!N1153="","",DATA!N1153)</f>
        <v/>
      </c>
      <c r="C1223" s="203" t="str">
        <f>IF(DATA!O1153="","",DATA!O1153)</f>
        <v/>
      </c>
      <c r="D1223" s="203" t="str">
        <f>IF(DATA!P1153="","",DATA!P1153)</f>
        <v/>
      </c>
      <c r="E1223" s="13"/>
      <c r="F1223" s="5" t="str">
        <f t="shared" si="98"/>
        <v/>
      </c>
      <c r="G1223" s="1"/>
      <c r="H1223" s="77">
        <f>IF(G1223="",0,VLOOKUP(G1223,REFCE!A:D,2,FALSE))</f>
        <v>0</v>
      </c>
      <c r="I1223" s="77" t="str">
        <f t="shared" si="99"/>
        <v/>
      </c>
    </row>
    <row r="1224" spans="1:9" x14ac:dyDescent="0.25">
      <c r="A1224" s="203" t="str">
        <f>IF(DATA!M1154="","",DATA!M1154)</f>
        <v/>
      </c>
      <c r="B1224" s="203" t="str">
        <f>IF(DATA!N1154="","",DATA!N1154)</f>
        <v/>
      </c>
      <c r="C1224" s="203" t="str">
        <f>IF(DATA!O1154="","",DATA!O1154)</f>
        <v/>
      </c>
      <c r="D1224" s="203" t="str">
        <f>IF(DATA!P1154="","",DATA!P1154)</f>
        <v/>
      </c>
      <c r="E1224" s="13"/>
      <c r="F1224" s="5" t="str">
        <f t="shared" si="98"/>
        <v/>
      </c>
      <c r="G1224" s="1"/>
      <c r="H1224" s="77">
        <f>IF(G1224="",0,VLOOKUP(G1224,REFCE!A:D,2,FALSE))</f>
        <v>0</v>
      </c>
      <c r="I1224" s="77" t="str">
        <f t="shared" si="99"/>
        <v/>
      </c>
    </row>
    <row r="1225" spans="1:9" x14ac:dyDescent="0.25">
      <c r="A1225" s="203" t="str">
        <f>IF(DATA!M1155="","",DATA!M1155)</f>
        <v/>
      </c>
      <c r="B1225" s="203" t="str">
        <f>IF(DATA!N1155="","",DATA!N1155)</f>
        <v/>
      </c>
      <c r="C1225" s="203" t="str">
        <f>IF(DATA!O1155="","",DATA!O1155)</f>
        <v/>
      </c>
      <c r="D1225" s="203" t="str">
        <f>IF(DATA!P1155="","",DATA!P1155)</f>
        <v/>
      </c>
      <c r="E1225" s="13"/>
      <c r="F1225" s="5" t="str">
        <f t="shared" si="98"/>
        <v/>
      </c>
      <c r="G1225" s="1"/>
      <c r="H1225" s="77">
        <f>IF(G1225="",0,VLOOKUP(G1225,REFCE!A:D,2,FALSE))</f>
        <v>0</v>
      </c>
      <c r="I1225" s="77" t="str">
        <f t="shared" si="99"/>
        <v/>
      </c>
    </row>
    <row r="1226" spans="1:9" x14ac:dyDescent="0.25">
      <c r="A1226" s="203" t="str">
        <f>IF(DATA!M1156="","",DATA!M1156)</f>
        <v/>
      </c>
      <c r="B1226" s="203" t="str">
        <f>IF(DATA!N1156="","",DATA!N1156)</f>
        <v/>
      </c>
      <c r="C1226" s="203" t="str">
        <f>IF(DATA!O1156="","",DATA!O1156)</f>
        <v/>
      </c>
      <c r="D1226" s="203" t="str">
        <f>IF(DATA!P1156="","",DATA!P1156)</f>
        <v/>
      </c>
      <c r="E1226" s="13"/>
      <c r="F1226" s="5" t="str">
        <f t="shared" si="98"/>
        <v/>
      </c>
      <c r="G1226" s="1"/>
      <c r="H1226" s="77">
        <f>IF(G1226="",0,VLOOKUP(G1226,REFCE!A:D,2,FALSE))</f>
        <v>0</v>
      </c>
      <c r="I1226" s="77" t="str">
        <f t="shared" si="99"/>
        <v/>
      </c>
    </row>
    <row r="1227" spans="1:9" x14ac:dyDescent="0.25">
      <c r="A1227" s="203" t="str">
        <f>IF(DATA!M1157="","",DATA!M1157)</f>
        <v/>
      </c>
      <c r="B1227" s="203" t="str">
        <f>IF(DATA!N1157="","",DATA!N1157)</f>
        <v/>
      </c>
      <c r="C1227" s="203" t="str">
        <f>IF(DATA!O1157="","",DATA!O1157)</f>
        <v/>
      </c>
      <c r="D1227" s="203" t="str">
        <f>IF(DATA!P1157="","",DATA!P1157)</f>
        <v/>
      </c>
      <c r="E1227" s="13"/>
      <c r="F1227" s="5" t="str">
        <f t="shared" si="98"/>
        <v/>
      </c>
      <c r="G1227" s="1"/>
      <c r="H1227" s="77">
        <f>IF(G1227="",0,VLOOKUP(G1227,REFCE!A:D,2,FALSE))</f>
        <v>0</v>
      </c>
      <c r="I1227" s="77" t="str">
        <f t="shared" si="99"/>
        <v/>
      </c>
    </row>
    <row r="1228" spans="1:9" x14ac:dyDescent="0.25">
      <c r="A1228" s="203" t="str">
        <f>IF(DATA!M1158="","",DATA!M1158)</f>
        <v/>
      </c>
      <c r="B1228" s="203" t="str">
        <f>IF(DATA!N1158="","",DATA!N1158)</f>
        <v/>
      </c>
      <c r="C1228" s="203" t="str">
        <f>IF(DATA!O1158="","",DATA!O1158)</f>
        <v/>
      </c>
      <c r="D1228" s="203" t="str">
        <f>IF(DATA!P1158="","",DATA!P1158)</f>
        <v/>
      </c>
      <c r="E1228" s="13"/>
      <c r="F1228" s="5" t="str">
        <f t="shared" si="98"/>
        <v/>
      </c>
      <c r="G1228" s="1"/>
      <c r="H1228" s="77">
        <f>IF(G1228="",0,VLOOKUP(G1228,REFCE!A:D,2,FALSE))</f>
        <v>0</v>
      </c>
      <c r="I1228" s="77" t="str">
        <f t="shared" si="99"/>
        <v/>
      </c>
    </row>
    <row r="1229" spans="1:9" x14ac:dyDescent="0.25">
      <c r="A1229" s="203" t="str">
        <f>IF(DATA!M1159="","",DATA!M1159)</f>
        <v/>
      </c>
      <c r="B1229" s="203" t="str">
        <f>IF(DATA!N1159="","",DATA!N1159)</f>
        <v/>
      </c>
      <c r="C1229" s="203" t="str">
        <f>IF(DATA!O1159="","",DATA!O1159)</f>
        <v/>
      </c>
      <c r="D1229" s="203" t="str">
        <f>IF(DATA!P1159="","",DATA!P1159)</f>
        <v/>
      </c>
      <c r="E1229" s="13"/>
      <c r="F1229" s="5" t="str">
        <f t="shared" si="98"/>
        <v/>
      </c>
      <c r="G1229" s="1"/>
      <c r="H1229" s="77">
        <f>IF(G1229="",0,VLOOKUP(G1229,REFCE!A:D,2,FALSE))</f>
        <v>0</v>
      </c>
      <c r="I1229" s="77" t="str">
        <f t="shared" si="99"/>
        <v/>
      </c>
    </row>
    <row r="1230" spans="1:9" x14ac:dyDescent="0.25">
      <c r="A1230" s="203" t="str">
        <f>IF(DATA!M1160="","",DATA!M1160)</f>
        <v/>
      </c>
      <c r="B1230" s="203" t="str">
        <f>IF(DATA!N1160="","",DATA!N1160)</f>
        <v/>
      </c>
      <c r="C1230" s="203" t="str">
        <f>IF(DATA!O1160="","",DATA!O1160)</f>
        <v/>
      </c>
      <c r="D1230" s="203" t="str">
        <f>IF(DATA!P1160="","",DATA!P1160)</f>
        <v/>
      </c>
      <c r="E1230" s="13"/>
      <c r="F1230" s="5" t="str">
        <f t="shared" ref="F1230:F1293" si="100">IF(D1230="","",D1230*E1230)</f>
        <v/>
      </c>
      <c r="G1230" s="1"/>
      <c r="H1230" s="77">
        <f>IF(G1230="",0,VLOOKUP(G1230,REFCE!A:D,2,FALSE))</f>
        <v>0</v>
      </c>
      <c r="I1230" s="77" t="str">
        <f t="shared" ref="I1230:I1293" si="101">IF(F1230="","",F1230*H1230)</f>
        <v/>
      </c>
    </row>
    <row r="1231" spans="1:9" x14ac:dyDescent="0.25">
      <c r="A1231" s="203" t="str">
        <f>IF(DATA!M1161="","",DATA!M1161)</f>
        <v/>
      </c>
      <c r="B1231" s="203" t="str">
        <f>IF(DATA!N1161="","",DATA!N1161)</f>
        <v/>
      </c>
      <c r="C1231" s="203" t="str">
        <f>IF(DATA!O1161="","",DATA!O1161)</f>
        <v/>
      </c>
      <c r="D1231" s="203" t="str">
        <f>IF(DATA!P1161="","",DATA!P1161)</f>
        <v/>
      </c>
      <c r="E1231" s="13"/>
      <c r="F1231" s="5" t="str">
        <f t="shared" si="100"/>
        <v/>
      </c>
      <c r="G1231" s="1"/>
      <c r="H1231" s="77">
        <f>IF(G1231="",0,VLOOKUP(G1231,REFCE!A:D,2,FALSE))</f>
        <v>0</v>
      </c>
      <c r="I1231" s="77" t="str">
        <f t="shared" si="101"/>
        <v/>
      </c>
    </row>
    <row r="1232" spans="1:9" x14ac:dyDescent="0.25">
      <c r="A1232" s="203" t="str">
        <f>IF(DATA!M1162="","",DATA!M1162)</f>
        <v/>
      </c>
      <c r="B1232" s="203" t="str">
        <f>IF(DATA!N1162="","",DATA!N1162)</f>
        <v/>
      </c>
      <c r="C1232" s="203" t="str">
        <f>IF(DATA!O1162="","",DATA!O1162)</f>
        <v/>
      </c>
      <c r="D1232" s="203" t="str">
        <f>IF(DATA!P1162="","",DATA!P1162)</f>
        <v/>
      </c>
      <c r="E1232" s="13"/>
      <c r="F1232" s="5" t="str">
        <f t="shared" si="100"/>
        <v/>
      </c>
      <c r="G1232" s="1"/>
      <c r="H1232" s="77">
        <f>IF(G1232="",0,VLOOKUP(G1232,REFCE!A:D,2,FALSE))</f>
        <v>0</v>
      </c>
      <c r="I1232" s="77" t="str">
        <f t="shared" si="101"/>
        <v/>
      </c>
    </row>
    <row r="1233" spans="1:9" x14ac:dyDescent="0.25">
      <c r="A1233" s="203" t="str">
        <f>IF(DATA!M1163="","",DATA!M1163)</f>
        <v/>
      </c>
      <c r="B1233" s="203" t="str">
        <f>IF(DATA!N1163="","",DATA!N1163)</f>
        <v/>
      </c>
      <c r="C1233" s="203" t="str">
        <f>IF(DATA!O1163="","",DATA!O1163)</f>
        <v/>
      </c>
      <c r="D1233" s="203" t="str">
        <f>IF(DATA!P1163="","",DATA!P1163)</f>
        <v/>
      </c>
      <c r="E1233" s="13"/>
      <c r="F1233" s="5" t="str">
        <f t="shared" si="100"/>
        <v/>
      </c>
      <c r="G1233" s="1"/>
      <c r="H1233" s="77">
        <f>IF(G1233="",0,VLOOKUP(G1233,REFCE!A:D,2,FALSE))</f>
        <v>0</v>
      </c>
      <c r="I1233" s="77" t="str">
        <f t="shared" si="101"/>
        <v/>
      </c>
    </row>
    <row r="1234" spans="1:9" x14ac:dyDescent="0.25">
      <c r="A1234" s="203" t="str">
        <f>IF(DATA!M1164="","",DATA!M1164)</f>
        <v/>
      </c>
      <c r="B1234" s="203" t="str">
        <f>IF(DATA!N1164="","",DATA!N1164)</f>
        <v/>
      </c>
      <c r="C1234" s="203" t="str">
        <f>IF(DATA!O1164="","",DATA!O1164)</f>
        <v/>
      </c>
      <c r="D1234" s="203" t="str">
        <f>IF(DATA!P1164="","",DATA!P1164)</f>
        <v/>
      </c>
      <c r="E1234" s="13"/>
      <c r="F1234" s="5" t="str">
        <f t="shared" si="100"/>
        <v/>
      </c>
      <c r="G1234" s="1"/>
      <c r="H1234" s="77">
        <f>IF(G1234="",0,VLOOKUP(G1234,REFCE!A:D,2,FALSE))</f>
        <v>0</v>
      </c>
      <c r="I1234" s="77" t="str">
        <f t="shared" si="101"/>
        <v/>
      </c>
    </row>
    <row r="1235" spans="1:9" x14ac:dyDescent="0.25">
      <c r="A1235" s="203" t="str">
        <f>IF(DATA!M1165="","",DATA!M1165)</f>
        <v/>
      </c>
      <c r="B1235" s="203" t="str">
        <f>IF(DATA!N1165="","",DATA!N1165)</f>
        <v/>
      </c>
      <c r="C1235" s="203" t="str">
        <f>IF(DATA!O1165="","",DATA!O1165)</f>
        <v/>
      </c>
      <c r="D1235" s="203" t="str">
        <f>IF(DATA!P1165="","",DATA!P1165)</f>
        <v/>
      </c>
      <c r="E1235" s="13"/>
      <c r="F1235" s="5" t="str">
        <f t="shared" si="100"/>
        <v/>
      </c>
      <c r="G1235" s="1"/>
      <c r="H1235" s="77">
        <f>IF(G1235="",0,VLOOKUP(G1235,REFCE!A:D,2,FALSE))</f>
        <v>0</v>
      </c>
      <c r="I1235" s="77" t="str">
        <f t="shared" si="101"/>
        <v/>
      </c>
    </row>
    <row r="1236" spans="1:9" x14ac:dyDescent="0.25">
      <c r="A1236" s="203" t="str">
        <f>IF(DATA!M1166="","",DATA!M1166)</f>
        <v/>
      </c>
      <c r="B1236" s="203" t="str">
        <f>IF(DATA!N1166="","",DATA!N1166)</f>
        <v/>
      </c>
      <c r="C1236" s="203" t="str">
        <f>IF(DATA!O1166="","",DATA!O1166)</f>
        <v/>
      </c>
      <c r="D1236" s="203" t="str">
        <f>IF(DATA!P1166="","",DATA!P1166)</f>
        <v/>
      </c>
      <c r="E1236" s="13"/>
      <c r="F1236" s="5" t="str">
        <f t="shared" si="100"/>
        <v/>
      </c>
      <c r="G1236" s="1"/>
      <c r="H1236" s="77">
        <f>IF(G1236="",0,VLOOKUP(G1236,REFCE!A:D,2,FALSE))</f>
        <v>0</v>
      </c>
      <c r="I1236" s="77" t="str">
        <f t="shared" si="101"/>
        <v/>
      </c>
    </row>
    <row r="1237" spans="1:9" x14ac:dyDescent="0.25">
      <c r="A1237" s="203" t="str">
        <f>IF(DATA!M1167="","",DATA!M1167)</f>
        <v/>
      </c>
      <c r="B1237" s="203" t="str">
        <f>IF(DATA!N1167="","",DATA!N1167)</f>
        <v/>
      </c>
      <c r="C1237" s="203" t="str">
        <f>IF(DATA!O1167="","",DATA!O1167)</f>
        <v/>
      </c>
      <c r="D1237" s="203" t="str">
        <f>IF(DATA!P1167="","",DATA!P1167)</f>
        <v/>
      </c>
      <c r="E1237" s="13"/>
      <c r="F1237" s="5" t="str">
        <f t="shared" si="100"/>
        <v/>
      </c>
      <c r="G1237" s="1"/>
      <c r="H1237" s="77">
        <f>IF(G1237="",0,VLOOKUP(G1237,REFCE!A:D,2,FALSE))</f>
        <v>0</v>
      </c>
      <c r="I1237" s="77" t="str">
        <f t="shared" si="101"/>
        <v/>
      </c>
    </row>
    <row r="1238" spans="1:9" x14ac:dyDescent="0.25">
      <c r="A1238" s="203" t="str">
        <f>IF(DATA!M1168="","",DATA!M1168)</f>
        <v/>
      </c>
      <c r="B1238" s="203" t="str">
        <f>IF(DATA!N1168="","",DATA!N1168)</f>
        <v/>
      </c>
      <c r="C1238" s="203" t="str">
        <f>IF(DATA!O1168="","",DATA!O1168)</f>
        <v/>
      </c>
      <c r="D1238" s="203" t="str">
        <f>IF(DATA!P1168="","",DATA!P1168)</f>
        <v/>
      </c>
      <c r="E1238" s="13"/>
      <c r="F1238" s="5" t="str">
        <f t="shared" si="100"/>
        <v/>
      </c>
      <c r="G1238" s="1"/>
      <c r="H1238" s="77">
        <f>IF(G1238="",0,VLOOKUP(G1238,REFCE!A:D,2,FALSE))</f>
        <v>0</v>
      </c>
      <c r="I1238" s="77" t="str">
        <f t="shared" si="101"/>
        <v/>
      </c>
    </row>
    <row r="1239" spans="1:9" x14ac:dyDescent="0.25">
      <c r="A1239" s="203" t="str">
        <f>IF(DATA!M1169="","",DATA!M1169)</f>
        <v/>
      </c>
      <c r="B1239" s="203" t="str">
        <f>IF(DATA!N1169="","",DATA!N1169)</f>
        <v/>
      </c>
      <c r="C1239" s="203" t="str">
        <f>IF(DATA!O1169="","",DATA!O1169)</f>
        <v/>
      </c>
      <c r="D1239" s="203" t="str">
        <f>IF(DATA!P1169="","",DATA!P1169)</f>
        <v/>
      </c>
      <c r="E1239" s="13"/>
      <c r="F1239" s="5" t="str">
        <f t="shared" si="100"/>
        <v/>
      </c>
      <c r="G1239" s="1"/>
      <c r="H1239" s="77">
        <f>IF(G1239="",0,VLOOKUP(G1239,REFCE!A:D,2,FALSE))</f>
        <v>0</v>
      </c>
      <c r="I1239" s="77" t="str">
        <f t="shared" si="101"/>
        <v/>
      </c>
    </row>
    <row r="1240" spans="1:9" x14ac:dyDescent="0.25">
      <c r="A1240" s="203" t="str">
        <f>IF(DATA!M1170="","",DATA!M1170)</f>
        <v/>
      </c>
      <c r="B1240" s="203" t="str">
        <f>IF(DATA!N1170="","",DATA!N1170)</f>
        <v/>
      </c>
      <c r="C1240" s="203" t="str">
        <f>IF(DATA!O1170="","",DATA!O1170)</f>
        <v/>
      </c>
      <c r="D1240" s="203" t="str">
        <f>IF(DATA!P1170="","",DATA!P1170)</f>
        <v/>
      </c>
      <c r="E1240" s="13"/>
      <c r="F1240" s="5" t="str">
        <f t="shared" si="100"/>
        <v/>
      </c>
      <c r="G1240" s="1"/>
      <c r="H1240" s="77">
        <f>IF(G1240="",0,VLOOKUP(G1240,REFCE!A:D,2,FALSE))</f>
        <v>0</v>
      </c>
      <c r="I1240" s="77" t="str">
        <f t="shared" si="101"/>
        <v/>
      </c>
    </row>
    <row r="1241" spans="1:9" x14ac:dyDescent="0.25">
      <c r="A1241" s="203" t="str">
        <f>IF(DATA!M1171="","",DATA!M1171)</f>
        <v/>
      </c>
      <c r="B1241" s="203" t="str">
        <f>IF(DATA!N1171="","",DATA!N1171)</f>
        <v/>
      </c>
      <c r="C1241" s="203" t="str">
        <f>IF(DATA!O1171="","",DATA!O1171)</f>
        <v/>
      </c>
      <c r="D1241" s="203" t="str">
        <f>IF(DATA!P1171="","",DATA!P1171)</f>
        <v/>
      </c>
      <c r="E1241" s="13"/>
      <c r="F1241" s="5" t="str">
        <f t="shared" si="100"/>
        <v/>
      </c>
      <c r="G1241" s="1"/>
      <c r="H1241" s="77">
        <f>IF(G1241="",0,VLOOKUP(G1241,REFCE!A:D,2,FALSE))</f>
        <v>0</v>
      </c>
      <c r="I1241" s="77" t="str">
        <f t="shared" si="101"/>
        <v/>
      </c>
    </row>
    <row r="1242" spans="1:9" x14ac:dyDescent="0.25">
      <c r="A1242" s="203" t="str">
        <f>IF(DATA!M1172="","",DATA!M1172)</f>
        <v/>
      </c>
      <c r="B1242" s="203" t="str">
        <f>IF(DATA!N1172="","",DATA!N1172)</f>
        <v/>
      </c>
      <c r="C1242" s="203" t="str">
        <f>IF(DATA!O1172="","",DATA!O1172)</f>
        <v/>
      </c>
      <c r="D1242" s="203" t="str">
        <f>IF(DATA!P1172="","",DATA!P1172)</f>
        <v/>
      </c>
      <c r="E1242" s="13"/>
      <c r="F1242" s="5" t="str">
        <f t="shared" si="100"/>
        <v/>
      </c>
      <c r="G1242" s="1"/>
      <c r="H1242" s="77">
        <f>IF(G1242="",0,VLOOKUP(G1242,REFCE!A:D,2,FALSE))</f>
        <v>0</v>
      </c>
      <c r="I1242" s="77" t="str">
        <f t="shared" si="101"/>
        <v/>
      </c>
    </row>
    <row r="1243" spans="1:9" x14ac:dyDescent="0.25">
      <c r="A1243" s="203" t="str">
        <f>IF(DATA!M1173="","",DATA!M1173)</f>
        <v/>
      </c>
      <c r="B1243" s="203" t="str">
        <f>IF(DATA!N1173="","",DATA!N1173)</f>
        <v/>
      </c>
      <c r="C1243" s="203" t="str">
        <f>IF(DATA!O1173="","",DATA!O1173)</f>
        <v/>
      </c>
      <c r="D1243" s="203" t="str">
        <f>IF(DATA!P1173="","",DATA!P1173)</f>
        <v/>
      </c>
      <c r="E1243" s="13"/>
      <c r="F1243" s="5" t="str">
        <f t="shared" si="100"/>
        <v/>
      </c>
      <c r="G1243" s="1"/>
      <c r="H1243" s="77">
        <f>IF(G1243="",0,VLOOKUP(G1243,REFCE!A:D,2,FALSE))</f>
        <v>0</v>
      </c>
      <c r="I1243" s="77" t="str">
        <f t="shared" si="101"/>
        <v/>
      </c>
    </row>
    <row r="1244" spans="1:9" x14ac:dyDescent="0.25">
      <c r="A1244" s="203" t="str">
        <f>IF(DATA!M1174="","",DATA!M1174)</f>
        <v/>
      </c>
      <c r="B1244" s="203" t="str">
        <f>IF(DATA!N1174="","",DATA!N1174)</f>
        <v/>
      </c>
      <c r="C1244" s="203" t="str">
        <f>IF(DATA!O1174="","",DATA!O1174)</f>
        <v/>
      </c>
      <c r="D1244" s="203" t="str">
        <f>IF(DATA!P1174="","",DATA!P1174)</f>
        <v/>
      </c>
      <c r="E1244" s="13"/>
      <c r="F1244" s="5" t="str">
        <f t="shared" si="100"/>
        <v/>
      </c>
      <c r="G1244" s="1"/>
      <c r="H1244" s="77">
        <f>IF(G1244="",0,VLOOKUP(G1244,REFCE!A:D,2,FALSE))</f>
        <v>0</v>
      </c>
      <c r="I1244" s="77" t="str">
        <f t="shared" si="101"/>
        <v/>
      </c>
    </row>
    <row r="1245" spans="1:9" x14ac:dyDescent="0.25">
      <c r="A1245" s="203" t="str">
        <f>IF(DATA!M1175="","",DATA!M1175)</f>
        <v/>
      </c>
      <c r="B1245" s="203" t="str">
        <f>IF(DATA!N1175="","",DATA!N1175)</f>
        <v/>
      </c>
      <c r="C1245" s="203" t="str">
        <f>IF(DATA!O1175="","",DATA!O1175)</f>
        <v/>
      </c>
      <c r="D1245" s="203" t="str">
        <f>IF(DATA!P1175="","",DATA!P1175)</f>
        <v/>
      </c>
      <c r="E1245" s="13"/>
      <c r="F1245" s="5" t="str">
        <f t="shared" si="100"/>
        <v/>
      </c>
      <c r="G1245" s="1"/>
      <c r="H1245" s="77">
        <f>IF(G1245="",0,VLOOKUP(G1245,REFCE!A:D,2,FALSE))</f>
        <v>0</v>
      </c>
      <c r="I1245" s="77" t="str">
        <f t="shared" si="101"/>
        <v/>
      </c>
    </row>
    <row r="1246" spans="1:9" x14ac:dyDescent="0.25">
      <c r="A1246" s="203" t="str">
        <f>IF(DATA!M1176="","",DATA!M1176)</f>
        <v/>
      </c>
      <c r="B1246" s="203" t="str">
        <f>IF(DATA!N1176="","",DATA!N1176)</f>
        <v/>
      </c>
      <c r="C1246" s="203" t="str">
        <f>IF(DATA!O1176="","",DATA!O1176)</f>
        <v/>
      </c>
      <c r="D1246" s="203" t="str">
        <f>IF(DATA!P1176="","",DATA!P1176)</f>
        <v/>
      </c>
      <c r="E1246" s="13"/>
      <c r="F1246" s="5" t="str">
        <f t="shared" si="100"/>
        <v/>
      </c>
      <c r="G1246" s="1"/>
      <c r="H1246" s="77">
        <f>IF(G1246="",0,VLOOKUP(G1246,REFCE!A:D,2,FALSE))</f>
        <v>0</v>
      </c>
      <c r="I1246" s="77" t="str">
        <f t="shared" si="101"/>
        <v/>
      </c>
    </row>
    <row r="1247" spans="1:9" x14ac:dyDescent="0.25">
      <c r="A1247" s="203" t="str">
        <f>IF(DATA!M1177="","",DATA!M1177)</f>
        <v/>
      </c>
      <c r="B1247" s="203" t="str">
        <f>IF(DATA!N1177="","",DATA!N1177)</f>
        <v/>
      </c>
      <c r="C1247" s="203" t="str">
        <f>IF(DATA!O1177="","",DATA!O1177)</f>
        <v/>
      </c>
      <c r="D1247" s="203" t="str">
        <f>IF(DATA!P1177="","",DATA!P1177)</f>
        <v/>
      </c>
      <c r="E1247" s="13"/>
      <c r="F1247" s="5" t="str">
        <f t="shared" si="100"/>
        <v/>
      </c>
      <c r="G1247" s="1"/>
      <c r="H1247" s="77">
        <f>IF(G1247="",0,VLOOKUP(G1247,REFCE!A:D,2,FALSE))</f>
        <v>0</v>
      </c>
      <c r="I1247" s="77" t="str">
        <f t="shared" si="101"/>
        <v/>
      </c>
    </row>
    <row r="1248" spans="1:9" x14ac:dyDescent="0.25">
      <c r="A1248" s="203" t="str">
        <f>IF(DATA!M1178="","",DATA!M1178)</f>
        <v/>
      </c>
      <c r="B1248" s="203" t="str">
        <f>IF(DATA!N1178="","",DATA!N1178)</f>
        <v/>
      </c>
      <c r="C1248" s="203" t="str">
        <f>IF(DATA!O1178="","",DATA!O1178)</f>
        <v/>
      </c>
      <c r="D1248" s="203" t="str">
        <f>IF(DATA!P1178="","",DATA!P1178)</f>
        <v/>
      </c>
      <c r="E1248" s="13"/>
      <c r="F1248" s="5" t="str">
        <f t="shared" si="100"/>
        <v/>
      </c>
      <c r="G1248" s="1"/>
      <c r="H1248" s="77">
        <f>IF(G1248="",0,VLOOKUP(G1248,REFCE!A:D,2,FALSE))</f>
        <v>0</v>
      </c>
      <c r="I1248" s="77" t="str">
        <f t="shared" si="101"/>
        <v/>
      </c>
    </row>
    <row r="1249" spans="1:9" x14ac:dyDescent="0.25">
      <c r="A1249" s="203" t="str">
        <f>IF(DATA!M1179="","",DATA!M1179)</f>
        <v/>
      </c>
      <c r="B1249" s="203" t="str">
        <f>IF(DATA!N1179="","",DATA!N1179)</f>
        <v/>
      </c>
      <c r="C1249" s="203" t="str">
        <f>IF(DATA!O1179="","",DATA!O1179)</f>
        <v/>
      </c>
      <c r="D1249" s="203" t="str">
        <f>IF(DATA!P1179="","",DATA!P1179)</f>
        <v/>
      </c>
      <c r="E1249" s="13"/>
      <c r="F1249" s="5" t="str">
        <f t="shared" si="100"/>
        <v/>
      </c>
      <c r="G1249" s="1"/>
      <c r="H1249" s="77">
        <f>IF(G1249="",0,VLOOKUP(G1249,REFCE!A:D,2,FALSE))</f>
        <v>0</v>
      </c>
      <c r="I1249" s="77" t="str">
        <f t="shared" si="101"/>
        <v/>
      </c>
    </row>
    <row r="1250" spans="1:9" x14ac:dyDescent="0.25">
      <c r="A1250" s="203" t="str">
        <f>IF(DATA!M1180="","",DATA!M1180)</f>
        <v/>
      </c>
      <c r="B1250" s="203" t="str">
        <f>IF(DATA!N1180="","",DATA!N1180)</f>
        <v/>
      </c>
      <c r="C1250" s="203" t="str">
        <f>IF(DATA!O1180="","",DATA!O1180)</f>
        <v/>
      </c>
      <c r="D1250" s="203" t="str">
        <f>IF(DATA!P1180="","",DATA!P1180)</f>
        <v/>
      </c>
      <c r="E1250" s="13"/>
      <c r="F1250" s="5" t="str">
        <f t="shared" si="100"/>
        <v/>
      </c>
      <c r="G1250" s="1"/>
      <c r="H1250" s="77">
        <f>IF(G1250="",0,VLOOKUP(G1250,REFCE!A:D,2,FALSE))</f>
        <v>0</v>
      </c>
      <c r="I1250" s="77" t="str">
        <f t="shared" si="101"/>
        <v/>
      </c>
    </row>
    <row r="1251" spans="1:9" x14ac:dyDescent="0.25">
      <c r="A1251" s="203" t="str">
        <f>IF(DATA!M1181="","",DATA!M1181)</f>
        <v/>
      </c>
      <c r="B1251" s="203" t="str">
        <f>IF(DATA!N1181="","",DATA!N1181)</f>
        <v/>
      </c>
      <c r="C1251" s="203" t="str">
        <f>IF(DATA!O1181="","",DATA!O1181)</f>
        <v/>
      </c>
      <c r="D1251" s="203" t="str">
        <f>IF(DATA!P1181="","",DATA!P1181)</f>
        <v/>
      </c>
      <c r="E1251" s="13"/>
      <c r="F1251" s="5" t="str">
        <f t="shared" si="100"/>
        <v/>
      </c>
      <c r="G1251" s="1"/>
      <c r="H1251" s="77">
        <f>IF(G1251="",0,VLOOKUP(G1251,REFCE!A:D,2,FALSE))</f>
        <v>0</v>
      </c>
      <c r="I1251" s="77" t="str">
        <f t="shared" si="101"/>
        <v/>
      </c>
    </row>
    <row r="1252" spans="1:9" x14ac:dyDescent="0.25">
      <c r="A1252" s="203" t="str">
        <f>IF(DATA!M1182="","",DATA!M1182)</f>
        <v/>
      </c>
      <c r="B1252" s="203" t="str">
        <f>IF(DATA!N1182="","",DATA!N1182)</f>
        <v/>
      </c>
      <c r="C1252" s="203" t="str">
        <f>IF(DATA!O1182="","",DATA!O1182)</f>
        <v/>
      </c>
      <c r="D1252" s="203" t="str">
        <f>IF(DATA!P1182="","",DATA!P1182)</f>
        <v/>
      </c>
      <c r="E1252" s="13"/>
      <c r="F1252" s="5" t="str">
        <f t="shared" si="100"/>
        <v/>
      </c>
      <c r="G1252" s="1"/>
      <c r="H1252" s="77">
        <f>IF(G1252="",0,VLOOKUP(G1252,REFCE!A:D,2,FALSE))</f>
        <v>0</v>
      </c>
      <c r="I1252" s="77" t="str">
        <f t="shared" si="101"/>
        <v/>
      </c>
    </row>
    <row r="1253" spans="1:9" x14ac:dyDescent="0.25">
      <c r="A1253" s="203" t="str">
        <f>IF(DATA!M1183="","",DATA!M1183)</f>
        <v/>
      </c>
      <c r="B1253" s="203" t="str">
        <f>IF(DATA!N1183="","",DATA!N1183)</f>
        <v/>
      </c>
      <c r="C1253" s="203" t="str">
        <f>IF(DATA!O1183="","",DATA!O1183)</f>
        <v/>
      </c>
      <c r="D1253" s="203" t="str">
        <f>IF(DATA!P1183="","",DATA!P1183)</f>
        <v/>
      </c>
      <c r="E1253" s="13"/>
      <c r="F1253" s="5" t="str">
        <f t="shared" si="100"/>
        <v/>
      </c>
      <c r="G1253" s="1"/>
      <c r="H1253" s="77">
        <f>IF(G1253="",0,VLOOKUP(G1253,REFCE!A:D,2,FALSE))</f>
        <v>0</v>
      </c>
      <c r="I1253" s="77" t="str">
        <f t="shared" si="101"/>
        <v/>
      </c>
    </row>
    <row r="1254" spans="1:9" x14ac:dyDescent="0.25">
      <c r="A1254" s="203" t="str">
        <f>IF(DATA!M1184="","",DATA!M1184)</f>
        <v/>
      </c>
      <c r="B1254" s="203" t="str">
        <f>IF(DATA!N1184="","",DATA!N1184)</f>
        <v/>
      </c>
      <c r="C1254" s="203" t="str">
        <f>IF(DATA!O1184="","",DATA!O1184)</f>
        <v/>
      </c>
      <c r="D1254" s="203" t="str">
        <f>IF(DATA!P1184="","",DATA!P1184)</f>
        <v/>
      </c>
      <c r="E1254" s="13"/>
      <c r="F1254" s="5" t="str">
        <f t="shared" si="100"/>
        <v/>
      </c>
      <c r="G1254" s="1"/>
      <c r="H1254" s="77">
        <f>IF(G1254="",0,VLOOKUP(G1254,REFCE!A:D,2,FALSE))</f>
        <v>0</v>
      </c>
      <c r="I1254" s="77" t="str">
        <f t="shared" si="101"/>
        <v/>
      </c>
    </row>
    <row r="1255" spans="1:9" x14ac:dyDescent="0.25">
      <c r="A1255" s="203" t="str">
        <f>IF(DATA!M1185="","",DATA!M1185)</f>
        <v/>
      </c>
      <c r="B1255" s="203" t="str">
        <f>IF(DATA!N1185="","",DATA!N1185)</f>
        <v/>
      </c>
      <c r="C1255" s="203" t="str">
        <f>IF(DATA!O1185="","",DATA!O1185)</f>
        <v/>
      </c>
      <c r="D1255" s="203" t="str">
        <f>IF(DATA!P1185="","",DATA!P1185)</f>
        <v/>
      </c>
      <c r="E1255" s="13"/>
      <c r="F1255" s="5" t="str">
        <f t="shared" si="100"/>
        <v/>
      </c>
      <c r="G1255" s="1"/>
      <c r="H1255" s="77">
        <f>IF(G1255="",0,VLOOKUP(G1255,REFCE!A:D,2,FALSE))</f>
        <v>0</v>
      </c>
      <c r="I1255" s="77" t="str">
        <f t="shared" si="101"/>
        <v/>
      </c>
    </row>
    <row r="1256" spans="1:9" x14ac:dyDescent="0.25">
      <c r="A1256" s="203" t="str">
        <f>IF(DATA!M1186="","",DATA!M1186)</f>
        <v/>
      </c>
      <c r="B1256" s="203" t="str">
        <f>IF(DATA!N1186="","",DATA!N1186)</f>
        <v/>
      </c>
      <c r="C1256" s="203" t="str">
        <f>IF(DATA!O1186="","",DATA!O1186)</f>
        <v/>
      </c>
      <c r="D1256" s="203" t="str">
        <f>IF(DATA!P1186="","",DATA!P1186)</f>
        <v/>
      </c>
      <c r="E1256" s="13"/>
      <c r="F1256" s="5" t="str">
        <f t="shared" si="100"/>
        <v/>
      </c>
      <c r="G1256" s="1"/>
      <c r="H1256" s="77">
        <f>IF(G1256="",0,VLOOKUP(G1256,REFCE!A:D,2,FALSE))</f>
        <v>0</v>
      </c>
      <c r="I1256" s="77" t="str">
        <f t="shared" si="101"/>
        <v/>
      </c>
    </row>
    <row r="1257" spans="1:9" x14ac:dyDescent="0.25">
      <c r="A1257" s="203" t="str">
        <f>IF(DATA!M1187="","",DATA!M1187)</f>
        <v/>
      </c>
      <c r="B1257" s="203" t="str">
        <f>IF(DATA!N1187="","",DATA!N1187)</f>
        <v/>
      </c>
      <c r="C1257" s="203" t="str">
        <f>IF(DATA!O1187="","",DATA!O1187)</f>
        <v/>
      </c>
      <c r="D1257" s="203" t="str">
        <f>IF(DATA!P1187="","",DATA!P1187)</f>
        <v/>
      </c>
      <c r="E1257" s="13"/>
      <c r="F1257" s="5" t="str">
        <f t="shared" si="100"/>
        <v/>
      </c>
      <c r="G1257" s="1"/>
      <c r="H1257" s="77">
        <f>IF(G1257="",0,VLOOKUP(G1257,REFCE!A:D,2,FALSE))</f>
        <v>0</v>
      </c>
      <c r="I1257" s="77" t="str">
        <f t="shared" si="101"/>
        <v/>
      </c>
    </row>
    <row r="1258" spans="1:9" x14ac:dyDescent="0.25">
      <c r="A1258" s="203" t="str">
        <f>IF(DATA!M1188="","",DATA!M1188)</f>
        <v/>
      </c>
      <c r="B1258" s="203" t="str">
        <f>IF(DATA!N1188="","",DATA!N1188)</f>
        <v/>
      </c>
      <c r="C1258" s="203" t="str">
        <f>IF(DATA!O1188="","",DATA!O1188)</f>
        <v/>
      </c>
      <c r="D1258" s="203" t="str">
        <f>IF(DATA!P1188="","",DATA!P1188)</f>
        <v/>
      </c>
      <c r="E1258" s="13"/>
      <c r="F1258" s="5" t="str">
        <f t="shared" si="100"/>
        <v/>
      </c>
      <c r="G1258" s="1"/>
      <c r="H1258" s="77">
        <f>IF(G1258="",0,VLOOKUP(G1258,REFCE!A:D,2,FALSE))</f>
        <v>0</v>
      </c>
      <c r="I1258" s="77" t="str">
        <f t="shared" si="101"/>
        <v/>
      </c>
    </row>
    <row r="1259" spans="1:9" x14ac:dyDescent="0.25">
      <c r="A1259" s="203" t="str">
        <f>IF(DATA!M1189="","",DATA!M1189)</f>
        <v/>
      </c>
      <c r="B1259" s="203" t="str">
        <f>IF(DATA!N1189="","",DATA!N1189)</f>
        <v/>
      </c>
      <c r="C1259" s="203" t="str">
        <f>IF(DATA!O1189="","",DATA!O1189)</f>
        <v/>
      </c>
      <c r="D1259" s="203" t="str">
        <f>IF(DATA!P1189="","",DATA!P1189)</f>
        <v/>
      </c>
      <c r="E1259" s="13"/>
      <c r="F1259" s="5" t="str">
        <f t="shared" si="100"/>
        <v/>
      </c>
      <c r="G1259" s="1"/>
      <c r="H1259" s="77">
        <f>IF(G1259="",0,VLOOKUP(G1259,REFCE!A:D,2,FALSE))</f>
        <v>0</v>
      </c>
      <c r="I1259" s="77" t="str">
        <f t="shared" si="101"/>
        <v/>
      </c>
    </row>
    <row r="1260" spans="1:9" x14ac:dyDescent="0.25">
      <c r="A1260" s="203" t="str">
        <f>IF(DATA!M1190="","",DATA!M1190)</f>
        <v/>
      </c>
      <c r="B1260" s="203" t="str">
        <f>IF(DATA!N1190="","",DATA!N1190)</f>
        <v/>
      </c>
      <c r="C1260" s="203" t="str">
        <f>IF(DATA!O1190="","",DATA!O1190)</f>
        <v/>
      </c>
      <c r="D1260" s="203" t="str">
        <f>IF(DATA!P1190="","",DATA!P1190)</f>
        <v/>
      </c>
      <c r="E1260" s="13"/>
      <c r="F1260" s="5" t="str">
        <f t="shared" si="100"/>
        <v/>
      </c>
      <c r="G1260" s="1"/>
      <c r="H1260" s="77">
        <f>IF(G1260="",0,VLOOKUP(G1260,REFCE!A:D,2,FALSE))</f>
        <v>0</v>
      </c>
      <c r="I1260" s="77" t="str">
        <f t="shared" si="101"/>
        <v/>
      </c>
    </row>
    <row r="1261" spans="1:9" x14ac:dyDescent="0.25">
      <c r="A1261" s="203" t="str">
        <f>IF(DATA!M1191="","",DATA!M1191)</f>
        <v/>
      </c>
      <c r="B1261" s="203" t="str">
        <f>IF(DATA!N1191="","",DATA!N1191)</f>
        <v/>
      </c>
      <c r="C1261" s="203" t="str">
        <f>IF(DATA!O1191="","",DATA!O1191)</f>
        <v/>
      </c>
      <c r="D1261" s="203" t="str">
        <f>IF(DATA!P1191="","",DATA!P1191)</f>
        <v/>
      </c>
      <c r="E1261" s="13"/>
      <c r="F1261" s="5" t="str">
        <f t="shared" si="100"/>
        <v/>
      </c>
      <c r="G1261" s="1"/>
      <c r="H1261" s="77">
        <f>IF(G1261="",0,VLOOKUP(G1261,REFCE!A:D,2,FALSE))</f>
        <v>0</v>
      </c>
      <c r="I1261" s="77" t="str">
        <f t="shared" si="101"/>
        <v/>
      </c>
    </row>
    <row r="1262" spans="1:9" x14ac:dyDescent="0.25">
      <c r="A1262" s="203" t="str">
        <f>IF(DATA!M1192="","",DATA!M1192)</f>
        <v/>
      </c>
      <c r="B1262" s="203" t="str">
        <f>IF(DATA!N1192="","",DATA!N1192)</f>
        <v/>
      </c>
      <c r="C1262" s="203" t="str">
        <f>IF(DATA!O1192="","",DATA!O1192)</f>
        <v/>
      </c>
      <c r="D1262" s="203" t="str">
        <f>IF(DATA!P1192="","",DATA!P1192)</f>
        <v/>
      </c>
      <c r="E1262" s="13"/>
      <c r="F1262" s="5" t="str">
        <f t="shared" si="100"/>
        <v/>
      </c>
      <c r="G1262" s="1"/>
      <c r="H1262" s="77">
        <f>IF(G1262="",0,VLOOKUP(G1262,REFCE!A:D,2,FALSE))</f>
        <v>0</v>
      </c>
      <c r="I1262" s="77" t="str">
        <f t="shared" si="101"/>
        <v/>
      </c>
    </row>
    <row r="1263" spans="1:9" x14ac:dyDescent="0.25">
      <c r="A1263" s="203" t="str">
        <f>IF(DATA!M1193="","",DATA!M1193)</f>
        <v/>
      </c>
      <c r="B1263" s="203" t="str">
        <f>IF(DATA!N1193="","",DATA!N1193)</f>
        <v/>
      </c>
      <c r="C1263" s="203" t="str">
        <f>IF(DATA!O1193="","",DATA!O1193)</f>
        <v/>
      </c>
      <c r="D1263" s="203" t="str">
        <f>IF(DATA!P1193="","",DATA!P1193)</f>
        <v/>
      </c>
      <c r="E1263" s="13"/>
      <c r="F1263" s="5" t="str">
        <f t="shared" si="100"/>
        <v/>
      </c>
      <c r="G1263" s="1"/>
      <c r="H1263" s="77">
        <f>IF(G1263="",0,VLOOKUP(G1263,REFCE!A:D,2,FALSE))</f>
        <v>0</v>
      </c>
      <c r="I1263" s="77" t="str">
        <f t="shared" si="101"/>
        <v/>
      </c>
    </row>
    <row r="1264" spans="1:9" x14ac:dyDescent="0.25">
      <c r="A1264" s="203" t="str">
        <f>IF(DATA!M1194="","",DATA!M1194)</f>
        <v/>
      </c>
      <c r="B1264" s="203" t="str">
        <f>IF(DATA!N1194="","",DATA!N1194)</f>
        <v/>
      </c>
      <c r="C1264" s="203" t="str">
        <f>IF(DATA!O1194="","",DATA!O1194)</f>
        <v/>
      </c>
      <c r="D1264" s="203" t="str">
        <f>IF(DATA!P1194="","",DATA!P1194)</f>
        <v/>
      </c>
      <c r="E1264" s="13"/>
      <c r="F1264" s="5" t="str">
        <f t="shared" si="100"/>
        <v/>
      </c>
      <c r="G1264" s="1"/>
      <c r="H1264" s="77">
        <f>IF(G1264="",0,VLOOKUP(G1264,REFCE!A:D,2,FALSE))</f>
        <v>0</v>
      </c>
      <c r="I1264" s="77" t="str">
        <f t="shared" si="101"/>
        <v/>
      </c>
    </row>
    <row r="1265" spans="1:9" x14ac:dyDescent="0.25">
      <c r="A1265" s="203" t="str">
        <f>IF(DATA!M1195="","",DATA!M1195)</f>
        <v/>
      </c>
      <c r="B1265" s="203" t="str">
        <f>IF(DATA!N1195="","",DATA!N1195)</f>
        <v/>
      </c>
      <c r="C1265" s="203" t="str">
        <f>IF(DATA!O1195="","",DATA!O1195)</f>
        <v/>
      </c>
      <c r="D1265" s="203" t="str">
        <f>IF(DATA!P1195="","",DATA!P1195)</f>
        <v/>
      </c>
      <c r="E1265" s="13"/>
      <c r="F1265" s="5" t="str">
        <f t="shared" si="100"/>
        <v/>
      </c>
      <c r="G1265" s="1"/>
      <c r="H1265" s="77">
        <f>IF(G1265="",0,VLOOKUP(G1265,REFCE!A:D,2,FALSE))</f>
        <v>0</v>
      </c>
      <c r="I1265" s="77" t="str">
        <f t="shared" si="101"/>
        <v/>
      </c>
    </row>
    <row r="1266" spans="1:9" x14ac:dyDescent="0.25">
      <c r="A1266" s="203" t="str">
        <f>IF(DATA!M1196="","",DATA!M1196)</f>
        <v/>
      </c>
      <c r="B1266" s="203" t="str">
        <f>IF(DATA!N1196="","",DATA!N1196)</f>
        <v/>
      </c>
      <c r="C1266" s="203" t="str">
        <f>IF(DATA!O1196="","",DATA!O1196)</f>
        <v/>
      </c>
      <c r="D1266" s="203" t="str">
        <f>IF(DATA!P1196="","",DATA!P1196)</f>
        <v/>
      </c>
      <c r="E1266" s="13"/>
      <c r="F1266" s="5" t="str">
        <f t="shared" si="100"/>
        <v/>
      </c>
      <c r="G1266" s="1"/>
      <c r="H1266" s="77">
        <f>IF(G1266="",0,VLOOKUP(G1266,REFCE!A:D,2,FALSE))</f>
        <v>0</v>
      </c>
      <c r="I1266" s="77" t="str">
        <f t="shared" si="101"/>
        <v/>
      </c>
    </row>
    <row r="1267" spans="1:9" x14ac:dyDescent="0.25">
      <c r="A1267" s="203" t="str">
        <f>IF(DATA!M1197="","",DATA!M1197)</f>
        <v/>
      </c>
      <c r="B1267" s="203" t="str">
        <f>IF(DATA!N1197="","",DATA!N1197)</f>
        <v/>
      </c>
      <c r="C1267" s="203" t="str">
        <f>IF(DATA!O1197="","",DATA!O1197)</f>
        <v/>
      </c>
      <c r="D1267" s="203" t="str">
        <f>IF(DATA!P1197="","",DATA!P1197)</f>
        <v/>
      </c>
      <c r="E1267" s="13"/>
      <c r="F1267" s="5" t="str">
        <f t="shared" si="100"/>
        <v/>
      </c>
      <c r="G1267" s="1"/>
      <c r="H1267" s="77">
        <f>IF(G1267="",0,VLOOKUP(G1267,REFCE!A:D,2,FALSE))</f>
        <v>0</v>
      </c>
      <c r="I1267" s="77" t="str">
        <f t="shared" si="101"/>
        <v/>
      </c>
    </row>
    <row r="1268" spans="1:9" x14ac:dyDescent="0.25">
      <c r="A1268" s="203" t="str">
        <f>IF(DATA!M1198="","",DATA!M1198)</f>
        <v/>
      </c>
      <c r="B1268" s="203" t="str">
        <f>IF(DATA!N1198="","",DATA!N1198)</f>
        <v/>
      </c>
      <c r="C1268" s="203" t="str">
        <f>IF(DATA!O1198="","",DATA!O1198)</f>
        <v/>
      </c>
      <c r="D1268" s="203" t="str">
        <f>IF(DATA!P1198="","",DATA!P1198)</f>
        <v/>
      </c>
      <c r="E1268" s="13"/>
      <c r="F1268" s="5" t="str">
        <f t="shared" si="100"/>
        <v/>
      </c>
      <c r="G1268" s="1"/>
      <c r="H1268" s="77">
        <f>IF(G1268="",0,VLOOKUP(G1268,REFCE!A:D,2,FALSE))</f>
        <v>0</v>
      </c>
      <c r="I1268" s="77" t="str">
        <f t="shared" si="101"/>
        <v/>
      </c>
    </row>
    <row r="1269" spans="1:9" x14ac:dyDescent="0.25">
      <c r="A1269" s="203" t="str">
        <f>IF(DATA!M1199="","",DATA!M1199)</f>
        <v/>
      </c>
      <c r="B1269" s="203" t="str">
        <f>IF(DATA!N1199="","",DATA!N1199)</f>
        <v/>
      </c>
      <c r="C1269" s="203" t="str">
        <f>IF(DATA!O1199="","",DATA!O1199)</f>
        <v/>
      </c>
      <c r="D1269" s="203" t="str">
        <f>IF(DATA!P1199="","",DATA!P1199)</f>
        <v/>
      </c>
      <c r="E1269" s="13"/>
      <c r="F1269" s="5" t="str">
        <f t="shared" si="100"/>
        <v/>
      </c>
      <c r="G1269" s="1"/>
      <c r="H1269" s="77">
        <f>IF(G1269="",0,VLOOKUP(G1269,REFCE!A:D,2,FALSE))</f>
        <v>0</v>
      </c>
      <c r="I1269" s="77" t="str">
        <f t="shared" si="101"/>
        <v/>
      </c>
    </row>
    <row r="1270" spans="1:9" x14ac:dyDescent="0.25">
      <c r="A1270" s="203" t="str">
        <f>IF(DATA!M1200="","",DATA!M1200)</f>
        <v/>
      </c>
      <c r="B1270" s="203" t="str">
        <f>IF(DATA!N1200="","",DATA!N1200)</f>
        <v/>
      </c>
      <c r="C1270" s="203" t="str">
        <f>IF(DATA!O1200="","",DATA!O1200)</f>
        <v/>
      </c>
      <c r="D1270" s="203" t="str">
        <f>IF(DATA!P1200="","",DATA!P1200)</f>
        <v/>
      </c>
      <c r="E1270" s="13"/>
      <c r="F1270" s="5" t="str">
        <f t="shared" si="100"/>
        <v/>
      </c>
      <c r="G1270" s="1"/>
      <c r="H1270" s="77">
        <f>IF(G1270="",0,VLOOKUP(G1270,REFCE!A:D,2,FALSE))</f>
        <v>0</v>
      </c>
      <c r="I1270" s="77" t="str">
        <f t="shared" si="101"/>
        <v/>
      </c>
    </row>
    <row r="1271" spans="1:9" x14ac:dyDescent="0.25">
      <c r="A1271" s="203" t="str">
        <f>IF(DATA!M1201="","",DATA!M1201)</f>
        <v/>
      </c>
      <c r="B1271" s="203" t="str">
        <f>IF(DATA!N1201="","",DATA!N1201)</f>
        <v/>
      </c>
      <c r="C1271" s="203" t="str">
        <f>IF(DATA!O1201="","",DATA!O1201)</f>
        <v/>
      </c>
      <c r="D1271" s="203" t="str">
        <f>IF(DATA!P1201="","",DATA!P1201)</f>
        <v/>
      </c>
      <c r="E1271" s="13"/>
      <c r="F1271" s="5" t="str">
        <f t="shared" si="100"/>
        <v/>
      </c>
      <c r="G1271" s="1"/>
      <c r="H1271" s="77">
        <f>IF(G1271="",0,VLOOKUP(G1271,REFCE!A:D,2,FALSE))</f>
        <v>0</v>
      </c>
      <c r="I1271" s="77" t="str">
        <f t="shared" si="101"/>
        <v/>
      </c>
    </row>
    <row r="1272" spans="1:9" x14ac:dyDescent="0.25">
      <c r="A1272" s="203" t="str">
        <f>IF(DATA!M1202="","",DATA!M1202)</f>
        <v/>
      </c>
      <c r="B1272" s="203" t="str">
        <f>IF(DATA!N1202="","",DATA!N1202)</f>
        <v/>
      </c>
      <c r="C1272" s="203" t="str">
        <f>IF(DATA!O1202="","",DATA!O1202)</f>
        <v/>
      </c>
      <c r="D1272" s="203" t="str">
        <f>IF(DATA!P1202="","",DATA!P1202)</f>
        <v/>
      </c>
      <c r="E1272" s="13"/>
      <c r="F1272" s="5" t="str">
        <f t="shared" si="100"/>
        <v/>
      </c>
      <c r="G1272" s="1"/>
      <c r="H1272" s="77">
        <f>IF(G1272="",0,VLOOKUP(G1272,REFCE!A:D,2,FALSE))</f>
        <v>0</v>
      </c>
      <c r="I1272" s="77" t="str">
        <f t="shared" si="101"/>
        <v/>
      </c>
    </row>
    <row r="1273" spans="1:9" x14ac:dyDescent="0.25">
      <c r="A1273" s="203" t="str">
        <f>IF(DATA!M1203="","",DATA!M1203)</f>
        <v/>
      </c>
      <c r="B1273" s="203" t="str">
        <f>IF(DATA!N1203="","",DATA!N1203)</f>
        <v/>
      </c>
      <c r="C1273" s="203" t="str">
        <f>IF(DATA!O1203="","",DATA!O1203)</f>
        <v/>
      </c>
      <c r="D1273" s="203" t="str">
        <f>IF(DATA!P1203="","",DATA!P1203)</f>
        <v/>
      </c>
      <c r="E1273" s="13"/>
      <c r="F1273" s="5" t="str">
        <f t="shared" si="100"/>
        <v/>
      </c>
      <c r="G1273" s="1"/>
      <c r="H1273" s="77">
        <f>IF(G1273="",0,VLOOKUP(G1273,REFCE!A:D,2,FALSE))</f>
        <v>0</v>
      </c>
      <c r="I1273" s="77" t="str">
        <f t="shared" si="101"/>
        <v/>
      </c>
    </row>
    <row r="1274" spans="1:9" x14ac:dyDescent="0.25">
      <c r="A1274" s="203" t="str">
        <f>IF(DATA!M1204="","",DATA!M1204)</f>
        <v/>
      </c>
      <c r="B1274" s="203" t="str">
        <f>IF(DATA!N1204="","",DATA!N1204)</f>
        <v/>
      </c>
      <c r="C1274" s="203" t="str">
        <f>IF(DATA!O1204="","",DATA!O1204)</f>
        <v/>
      </c>
      <c r="D1274" s="203" t="str">
        <f>IF(DATA!P1204="","",DATA!P1204)</f>
        <v/>
      </c>
      <c r="E1274" s="13"/>
      <c r="F1274" s="5" t="str">
        <f t="shared" si="100"/>
        <v/>
      </c>
      <c r="G1274" s="1"/>
      <c r="H1274" s="77">
        <f>IF(G1274="",0,VLOOKUP(G1274,REFCE!A:D,2,FALSE))</f>
        <v>0</v>
      </c>
      <c r="I1274" s="77" t="str">
        <f t="shared" si="101"/>
        <v/>
      </c>
    </row>
    <row r="1275" spans="1:9" x14ac:dyDescent="0.25">
      <c r="A1275" s="203" t="str">
        <f>IF(DATA!M1205="","",DATA!M1205)</f>
        <v/>
      </c>
      <c r="B1275" s="203" t="str">
        <f>IF(DATA!N1205="","",DATA!N1205)</f>
        <v/>
      </c>
      <c r="C1275" s="203" t="str">
        <f>IF(DATA!O1205="","",DATA!O1205)</f>
        <v/>
      </c>
      <c r="D1275" s="203" t="str">
        <f>IF(DATA!P1205="","",DATA!P1205)</f>
        <v/>
      </c>
      <c r="E1275" s="13"/>
      <c r="F1275" s="5" t="str">
        <f t="shared" si="100"/>
        <v/>
      </c>
      <c r="G1275" s="1"/>
      <c r="H1275" s="77">
        <f>IF(G1275="",0,VLOOKUP(G1275,REFCE!A:D,2,FALSE))</f>
        <v>0</v>
      </c>
      <c r="I1275" s="77" t="str">
        <f t="shared" si="101"/>
        <v/>
      </c>
    </row>
    <row r="1276" spans="1:9" x14ac:dyDescent="0.25">
      <c r="A1276" s="203" t="str">
        <f>IF(DATA!M1206="","",DATA!M1206)</f>
        <v/>
      </c>
      <c r="B1276" s="203" t="str">
        <f>IF(DATA!N1206="","",DATA!N1206)</f>
        <v/>
      </c>
      <c r="C1276" s="203" t="str">
        <f>IF(DATA!O1206="","",DATA!O1206)</f>
        <v/>
      </c>
      <c r="D1276" s="203" t="str">
        <f>IF(DATA!P1206="","",DATA!P1206)</f>
        <v/>
      </c>
      <c r="E1276" s="13"/>
      <c r="F1276" s="5" t="str">
        <f t="shared" si="100"/>
        <v/>
      </c>
      <c r="G1276" s="1"/>
      <c r="H1276" s="77">
        <f>IF(G1276="",0,VLOOKUP(G1276,REFCE!A:D,2,FALSE))</f>
        <v>0</v>
      </c>
      <c r="I1276" s="77" t="str">
        <f t="shared" si="101"/>
        <v/>
      </c>
    </row>
    <row r="1277" spans="1:9" x14ac:dyDescent="0.25">
      <c r="A1277" s="203" t="str">
        <f>IF(DATA!M1207="","",DATA!M1207)</f>
        <v/>
      </c>
      <c r="B1277" s="203" t="str">
        <f>IF(DATA!N1207="","",DATA!N1207)</f>
        <v/>
      </c>
      <c r="C1277" s="203" t="str">
        <f>IF(DATA!O1207="","",DATA!O1207)</f>
        <v/>
      </c>
      <c r="D1277" s="203" t="str">
        <f>IF(DATA!P1207="","",DATA!P1207)</f>
        <v/>
      </c>
      <c r="E1277" s="13"/>
      <c r="F1277" s="5" t="str">
        <f t="shared" si="100"/>
        <v/>
      </c>
      <c r="G1277" s="1"/>
      <c r="H1277" s="77">
        <f>IF(G1277="",0,VLOOKUP(G1277,REFCE!A:D,2,FALSE))</f>
        <v>0</v>
      </c>
      <c r="I1277" s="77" t="str">
        <f t="shared" si="101"/>
        <v/>
      </c>
    </row>
    <row r="1278" spans="1:9" x14ac:dyDescent="0.25">
      <c r="A1278" s="203" t="str">
        <f>IF(DATA!M1208="","",DATA!M1208)</f>
        <v/>
      </c>
      <c r="B1278" s="203" t="str">
        <f>IF(DATA!N1208="","",DATA!N1208)</f>
        <v/>
      </c>
      <c r="C1278" s="203" t="str">
        <f>IF(DATA!O1208="","",DATA!O1208)</f>
        <v/>
      </c>
      <c r="D1278" s="203" t="str">
        <f>IF(DATA!P1208="","",DATA!P1208)</f>
        <v/>
      </c>
      <c r="E1278" s="13"/>
      <c r="F1278" s="5" t="str">
        <f t="shared" si="100"/>
        <v/>
      </c>
      <c r="G1278" s="1"/>
      <c r="H1278" s="77">
        <f>IF(G1278="",0,VLOOKUP(G1278,REFCE!A:D,2,FALSE))</f>
        <v>0</v>
      </c>
      <c r="I1278" s="77" t="str">
        <f t="shared" si="101"/>
        <v/>
      </c>
    </row>
    <row r="1279" spans="1:9" x14ac:dyDescent="0.25">
      <c r="A1279" s="203" t="str">
        <f>IF(DATA!M1209="","",DATA!M1209)</f>
        <v/>
      </c>
      <c r="B1279" s="203" t="str">
        <f>IF(DATA!N1209="","",DATA!N1209)</f>
        <v/>
      </c>
      <c r="C1279" s="203" t="str">
        <f>IF(DATA!O1209="","",DATA!O1209)</f>
        <v/>
      </c>
      <c r="D1279" s="203" t="str">
        <f>IF(DATA!P1209="","",DATA!P1209)</f>
        <v/>
      </c>
      <c r="E1279" s="13"/>
      <c r="F1279" s="5" t="str">
        <f t="shared" si="100"/>
        <v/>
      </c>
      <c r="G1279" s="1"/>
      <c r="H1279" s="77">
        <f>IF(G1279="",0,VLOOKUP(G1279,REFCE!A:D,2,FALSE))</f>
        <v>0</v>
      </c>
      <c r="I1279" s="77" t="str">
        <f t="shared" si="101"/>
        <v/>
      </c>
    </row>
    <row r="1280" spans="1:9" x14ac:dyDescent="0.25">
      <c r="A1280" s="203" t="str">
        <f>IF(DATA!M1210="","",DATA!M1210)</f>
        <v/>
      </c>
      <c r="B1280" s="203" t="str">
        <f>IF(DATA!N1210="","",DATA!N1210)</f>
        <v/>
      </c>
      <c r="C1280" s="203" t="str">
        <f>IF(DATA!O1210="","",DATA!O1210)</f>
        <v/>
      </c>
      <c r="D1280" s="203" t="str">
        <f>IF(DATA!P1210="","",DATA!P1210)</f>
        <v/>
      </c>
      <c r="E1280" s="13"/>
      <c r="F1280" s="5" t="str">
        <f t="shared" si="100"/>
        <v/>
      </c>
      <c r="G1280" s="1"/>
      <c r="H1280" s="77">
        <f>IF(G1280="",0,VLOOKUP(G1280,REFCE!A:D,2,FALSE))</f>
        <v>0</v>
      </c>
      <c r="I1280" s="77" t="str">
        <f t="shared" si="101"/>
        <v/>
      </c>
    </row>
    <row r="1281" spans="1:9" x14ac:dyDescent="0.25">
      <c r="A1281" s="203" t="str">
        <f>IF(DATA!M1211="","",DATA!M1211)</f>
        <v/>
      </c>
      <c r="B1281" s="203" t="str">
        <f>IF(DATA!N1211="","",DATA!N1211)</f>
        <v/>
      </c>
      <c r="C1281" s="203" t="str">
        <f>IF(DATA!O1211="","",DATA!O1211)</f>
        <v/>
      </c>
      <c r="D1281" s="203" t="str">
        <f>IF(DATA!P1211="","",DATA!P1211)</f>
        <v/>
      </c>
      <c r="E1281" s="13"/>
      <c r="F1281" s="5" t="str">
        <f t="shared" si="100"/>
        <v/>
      </c>
      <c r="G1281" s="1"/>
      <c r="H1281" s="77">
        <f>IF(G1281="",0,VLOOKUP(G1281,REFCE!A:D,2,FALSE))</f>
        <v>0</v>
      </c>
      <c r="I1281" s="77" t="str">
        <f t="shared" si="101"/>
        <v/>
      </c>
    </row>
    <row r="1282" spans="1:9" x14ac:dyDescent="0.25">
      <c r="A1282" s="203" t="str">
        <f>IF(DATA!M1212="","",DATA!M1212)</f>
        <v/>
      </c>
      <c r="B1282" s="203" t="str">
        <f>IF(DATA!N1212="","",DATA!N1212)</f>
        <v/>
      </c>
      <c r="C1282" s="203" t="str">
        <f>IF(DATA!O1212="","",DATA!O1212)</f>
        <v/>
      </c>
      <c r="D1282" s="203" t="str">
        <f>IF(DATA!P1212="","",DATA!P1212)</f>
        <v/>
      </c>
      <c r="E1282" s="13"/>
      <c r="F1282" s="5" t="str">
        <f t="shared" si="100"/>
        <v/>
      </c>
      <c r="G1282" s="1"/>
      <c r="H1282" s="77">
        <f>IF(G1282="",0,VLOOKUP(G1282,REFCE!A:D,2,FALSE))</f>
        <v>0</v>
      </c>
      <c r="I1282" s="77" t="str">
        <f t="shared" si="101"/>
        <v/>
      </c>
    </row>
    <row r="1283" spans="1:9" x14ac:dyDescent="0.25">
      <c r="A1283" s="203" t="str">
        <f>IF(DATA!M1213="","",DATA!M1213)</f>
        <v/>
      </c>
      <c r="B1283" s="203" t="str">
        <f>IF(DATA!N1213="","",DATA!N1213)</f>
        <v/>
      </c>
      <c r="C1283" s="203" t="str">
        <f>IF(DATA!O1213="","",DATA!O1213)</f>
        <v/>
      </c>
      <c r="D1283" s="203" t="str">
        <f>IF(DATA!P1213="","",DATA!P1213)</f>
        <v/>
      </c>
      <c r="E1283" s="13"/>
      <c r="F1283" s="5" t="str">
        <f t="shared" si="100"/>
        <v/>
      </c>
      <c r="G1283" s="1"/>
      <c r="H1283" s="77">
        <f>IF(G1283="",0,VLOOKUP(G1283,REFCE!A:D,2,FALSE))</f>
        <v>0</v>
      </c>
      <c r="I1283" s="77" t="str">
        <f t="shared" si="101"/>
        <v/>
      </c>
    </row>
    <row r="1284" spans="1:9" x14ac:dyDescent="0.25">
      <c r="A1284" s="203" t="str">
        <f>IF(DATA!M1214="","",DATA!M1214)</f>
        <v/>
      </c>
      <c r="B1284" s="203" t="str">
        <f>IF(DATA!N1214="","",DATA!N1214)</f>
        <v/>
      </c>
      <c r="C1284" s="203" t="str">
        <f>IF(DATA!O1214="","",DATA!O1214)</f>
        <v/>
      </c>
      <c r="D1284" s="203" t="str">
        <f>IF(DATA!P1214="","",DATA!P1214)</f>
        <v/>
      </c>
      <c r="E1284" s="13"/>
      <c r="F1284" s="5" t="str">
        <f t="shared" si="100"/>
        <v/>
      </c>
      <c r="G1284" s="1"/>
      <c r="H1284" s="77">
        <f>IF(G1284="",0,VLOOKUP(G1284,REFCE!A:D,2,FALSE))</f>
        <v>0</v>
      </c>
      <c r="I1284" s="77" t="str">
        <f t="shared" si="101"/>
        <v/>
      </c>
    </row>
    <row r="1285" spans="1:9" x14ac:dyDescent="0.25">
      <c r="A1285" s="203" t="str">
        <f>IF(DATA!M1215="","",DATA!M1215)</f>
        <v/>
      </c>
      <c r="B1285" s="203" t="str">
        <f>IF(DATA!N1215="","",DATA!N1215)</f>
        <v/>
      </c>
      <c r="C1285" s="203" t="str">
        <f>IF(DATA!O1215="","",DATA!O1215)</f>
        <v/>
      </c>
      <c r="D1285" s="203" t="str">
        <f>IF(DATA!P1215="","",DATA!P1215)</f>
        <v/>
      </c>
      <c r="E1285" s="13"/>
      <c r="F1285" s="5" t="str">
        <f t="shared" si="100"/>
        <v/>
      </c>
      <c r="G1285" s="1"/>
      <c r="H1285" s="77">
        <f>IF(G1285="",0,VLOOKUP(G1285,REFCE!A:D,2,FALSE))</f>
        <v>0</v>
      </c>
      <c r="I1285" s="77" t="str">
        <f t="shared" si="101"/>
        <v/>
      </c>
    </row>
    <row r="1286" spans="1:9" x14ac:dyDescent="0.25">
      <c r="A1286" s="203" t="str">
        <f>IF(DATA!M1216="","",DATA!M1216)</f>
        <v/>
      </c>
      <c r="B1286" s="203" t="str">
        <f>IF(DATA!N1216="","",DATA!N1216)</f>
        <v/>
      </c>
      <c r="C1286" s="203" t="str">
        <f>IF(DATA!O1216="","",DATA!O1216)</f>
        <v/>
      </c>
      <c r="D1286" s="203" t="str">
        <f>IF(DATA!P1216="","",DATA!P1216)</f>
        <v/>
      </c>
      <c r="E1286" s="13"/>
      <c r="F1286" s="5" t="str">
        <f t="shared" si="100"/>
        <v/>
      </c>
      <c r="G1286" s="1"/>
      <c r="H1286" s="77">
        <f>IF(G1286="",0,VLOOKUP(G1286,REFCE!A:D,2,FALSE))</f>
        <v>0</v>
      </c>
      <c r="I1286" s="77" t="str">
        <f t="shared" si="101"/>
        <v/>
      </c>
    </row>
    <row r="1287" spans="1:9" x14ac:dyDescent="0.25">
      <c r="A1287" s="203" t="str">
        <f>IF(DATA!M1217="","",DATA!M1217)</f>
        <v/>
      </c>
      <c r="B1287" s="203" t="str">
        <f>IF(DATA!N1217="","",DATA!N1217)</f>
        <v/>
      </c>
      <c r="C1287" s="203" t="str">
        <f>IF(DATA!O1217="","",DATA!O1217)</f>
        <v/>
      </c>
      <c r="D1287" s="203" t="str">
        <f>IF(DATA!P1217="","",DATA!P1217)</f>
        <v/>
      </c>
      <c r="E1287" s="13"/>
      <c r="F1287" s="5" t="str">
        <f t="shared" si="100"/>
        <v/>
      </c>
      <c r="G1287" s="1"/>
      <c r="H1287" s="77">
        <f>IF(G1287="",0,VLOOKUP(G1287,REFCE!A:D,2,FALSE))</f>
        <v>0</v>
      </c>
      <c r="I1287" s="77" t="str">
        <f t="shared" si="101"/>
        <v/>
      </c>
    </row>
    <row r="1288" spans="1:9" x14ac:dyDescent="0.25">
      <c r="A1288" s="203" t="str">
        <f>IF(DATA!M1218="","",DATA!M1218)</f>
        <v/>
      </c>
      <c r="B1288" s="203" t="str">
        <f>IF(DATA!N1218="","",DATA!N1218)</f>
        <v/>
      </c>
      <c r="C1288" s="203" t="str">
        <f>IF(DATA!O1218="","",DATA!O1218)</f>
        <v/>
      </c>
      <c r="D1288" s="203" t="str">
        <f>IF(DATA!P1218="","",DATA!P1218)</f>
        <v/>
      </c>
      <c r="E1288" s="13"/>
      <c r="F1288" s="5" t="str">
        <f t="shared" si="100"/>
        <v/>
      </c>
      <c r="G1288" s="1"/>
      <c r="H1288" s="77">
        <f>IF(G1288="",0,VLOOKUP(G1288,REFCE!A:D,2,FALSE))</f>
        <v>0</v>
      </c>
      <c r="I1288" s="77" t="str">
        <f t="shared" si="101"/>
        <v/>
      </c>
    </row>
    <row r="1289" spans="1:9" x14ac:dyDescent="0.25">
      <c r="A1289" s="203" t="str">
        <f>IF(DATA!M1219="","",DATA!M1219)</f>
        <v/>
      </c>
      <c r="B1289" s="203" t="str">
        <f>IF(DATA!N1219="","",DATA!N1219)</f>
        <v/>
      </c>
      <c r="C1289" s="203" t="str">
        <f>IF(DATA!O1219="","",DATA!O1219)</f>
        <v/>
      </c>
      <c r="D1289" s="203" t="str">
        <f>IF(DATA!P1219="","",DATA!P1219)</f>
        <v/>
      </c>
      <c r="E1289" s="13"/>
      <c r="F1289" s="5" t="str">
        <f t="shared" si="100"/>
        <v/>
      </c>
      <c r="G1289" s="1"/>
      <c r="H1289" s="77">
        <f>IF(G1289="",0,VLOOKUP(G1289,REFCE!A:D,2,FALSE))</f>
        <v>0</v>
      </c>
      <c r="I1289" s="77" t="str">
        <f t="shared" si="101"/>
        <v/>
      </c>
    </row>
    <row r="1290" spans="1:9" x14ac:dyDescent="0.25">
      <c r="A1290" s="203" t="str">
        <f>IF(DATA!M1220="","",DATA!M1220)</f>
        <v/>
      </c>
      <c r="B1290" s="203" t="str">
        <f>IF(DATA!N1220="","",DATA!N1220)</f>
        <v/>
      </c>
      <c r="C1290" s="203" t="str">
        <f>IF(DATA!O1220="","",DATA!O1220)</f>
        <v/>
      </c>
      <c r="D1290" s="203" t="str">
        <f>IF(DATA!P1220="","",DATA!P1220)</f>
        <v/>
      </c>
      <c r="E1290" s="13"/>
      <c r="F1290" s="5" t="str">
        <f t="shared" si="100"/>
        <v/>
      </c>
      <c r="G1290" s="1"/>
      <c r="H1290" s="77">
        <f>IF(G1290="",0,VLOOKUP(G1290,REFCE!A:D,2,FALSE))</f>
        <v>0</v>
      </c>
      <c r="I1290" s="77" t="str">
        <f t="shared" si="101"/>
        <v/>
      </c>
    </row>
    <row r="1291" spans="1:9" x14ac:dyDescent="0.25">
      <c r="A1291" s="203" t="str">
        <f>IF(DATA!M1221="","",DATA!M1221)</f>
        <v/>
      </c>
      <c r="B1291" s="203" t="str">
        <f>IF(DATA!N1221="","",DATA!N1221)</f>
        <v/>
      </c>
      <c r="C1291" s="203" t="str">
        <f>IF(DATA!O1221="","",DATA!O1221)</f>
        <v/>
      </c>
      <c r="D1291" s="203" t="str">
        <f>IF(DATA!P1221="","",DATA!P1221)</f>
        <v/>
      </c>
      <c r="E1291" s="13"/>
      <c r="F1291" s="5" t="str">
        <f t="shared" si="100"/>
        <v/>
      </c>
      <c r="G1291" s="1"/>
      <c r="H1291" s="77">
        <f>IF(G1291="",0,VLOOKUP(G1291,REFCE!A:D,2,FALSE))</f>
        <v>0</v>
      </c>
      <c r="I1291" s="77" t="str">
        <f t="shared" si="101"/>
        <v/>
      </c>
    </row>
    <row r="1292" spans="1:9" x14ac:dyDescent="0.25">
      <c r="A1292" s="203" t="str">
        <f>IF(DATA!M1222="","",DATA!M1222)</f>
        <v/>
      </c>
      <c r="B1292" s="203" t="str">
        <f>IF(DATA!N1222="","",DATA!N1222)</f>
        <v/>
      </c>
      <c r="C1292" s="203" t="str">
        <f>IF(DATA!O1222="","",DATA!O1222)</f>
        <v/>
      </c>
      <c r="D1292" s="203" t="str">
        <f>IF(DATA!P1222="","",DATA!P1222)</f>
        <v/>
      </c>
      <c r="E1292" s="13"/>
      <c r="F1292" s="5" t="str">
        <f t="shared" si="100"/>
        <v/>
      </c>
      <c r="G1292" s="1"/>
      <c r="H1292" s="77">
        <f>IF(G1292="",0,VLOOKUP(G1292,REFCE!A:D,2,FALSE))</f>
        <v>0</v>
      </c>
      <c r="I1292" s="77" t="str">
        <f t="shared" si="101"/>
        <v/>
      </c>
    </row>
    <row r="1293" spans="1:9" x14ac:dyDescent="0.25">
      <c r="A1293" s="203" t="str">
        <f>IF(DATA!M1223="","",DATA!M1223)</f>
        <v/>
      </c>
      <c r="B1293" s="203" t="str">
        <f>IF(DATA!N1223="","",DATA!N1223)</f>
        <v/>
      </c>
      <c r="C1293" s="203" t="str">
        <f>IF(DATA!O1223="","",DATA!O1223)</f>
        <v/>
      </c>
      <c r="D1293" s="203" t="str">
        <f>IF(DATA!P1223="","",DATA!P1223)</f>
        <v/>
      </c>
      <c r="E1293" s="13"/>
      <c r="F1293" s="5" t="str">
        <f t="shared" si="100"/>
        <v/>
      </c>
      <c r="G1293" s="1"/>
      <c r="H1293" s="77">
        <f>IF(G1293="",0,VLOOKUP(G1293,REFCE!A:D,2,FALSE))</f>
        <v>0</v>
      </c>
      <c r="I1293" s="77" t="str">
        <f t="shared" si="101"/>
        <v/>
      </c>
    </row>
    <row r="1294" spans="1:9" x14ac:dyDescent="0.25">
      <c r="A1294" s="203" t="str">
        <f>IF(DATA!M1224="","",DATA!M1224)</f>
        <v/>
      </c>
      <c r="B1294" s="203" t="str">
        <f>IF(DATA!N1224="","",DATA!N1224)</f>
        <v/>
      </c>
      <c r="C1294" s="203" t="str">
        <f>IF(DATA!O1224="","",DATA!O1224)</f>
        <v/>
      </c>
      <c r="D1294" s="203" t="str">
        <f>IF(DATA!P1224="","",DATA!P1224)</f>
        <v/>
      </c>
      <c r="E1294" s="13"/>
      <c r="F1294" s="5" t="str">
        <f t="shared" ref="F1294:F1357" si="102">IF(D1294="","",D1294*E1294)</f>
        <v/>
      </c>
      <c r="G1294" s="1"/>
      <c r="H1294" s="77">
        <f>IF(G1294="",0,VLOOKUP(G1294,REFCE!A:D,2,FALSE))</f>
        <v>0</v>
      </c>
      <c r="I1294" s="77" t="str">
        <f t="shared" ref="I1294:I1357" si="103">IF(F1294="","",F1294*H1294)</f>
        <v/>
      </c>
    </row>
    <row r="1295" spans="1:9" x14ac:dyDescent="0.25">
      <c r="A1295" s="203" t="str">
        <f>IF(DATA!M1225="","",DATA!M1225)</f>
        <v/>
      </c>
      <c r="B1295" s="203" t="str">
        <f>IF(DATA!N1225="","",DATA!N1225)</f>
        <v/>
      </c>
      <c r="C1295" s="203" t="str">
        <f>IF(DATA!O1225="","",DATA!O1225)</f>
        <v/>
      </c>
      <c r="D1295" s="203" t="str">
        <f>IF(DATA!P1225="","",DATA!P1225)</f>
        <v/>
      </c>
      <c r="E1295" s="13"/>
      <c r="F1295" s="5" t="str">
        <f t="shared" si="102"/>
        <v/>
      </c>
      <c r="G1295" s="1"/>
      <c r="H1295" s="77">
        <f>IF(G1295="",0,VLOOKUP(G1295,REFCE!A:D,2,FALSE))</f>
        <v>0</v>
      </c>
      <c r="I1295" s="77" t="str">
        <f t="shared" si="103"/>
        <v/>
      </c>
    </row>
    <row r="1296" spans="1:9" x14ac:dyDescent="0.25">
      <c r="A1296" s="203" t="str">
        <f>IF(DATA!M1226="","",DATA!M1226)</f>
        <v/>
      </c>
      <c r="B1296" s="203" t="str">
        <f>IF(DATA!N1226="","",DATA!N1226)</f>
        <v/>
      </c>
      <c r="C1296" s="203" t="str">
        <f>IF(DATA!O1226="","",DATA!O1226)</f>
        <v/>
      </c>
      <c r="D1296" s="203" t="str">
        <f>IF(DATA!P1226="","",DATA!P1226)</f>
        <v/>
      </c>
      <c r="E1296" s="13"/>
      <c r="F1296" s="5" t="str">
        <f t="shared" si="102"/>
        <v/>
      </c>
      <c r="G1296" s="1"/>
      <c r="H1296" s="77">
        <f>IF(G1296="",0,VLOOKUP(G1296,REFCE!A:D,2,FALSE))</f>
        <v>0</v>
      </c>
      <c r="I1296" s="77" t="str">
        <f t="shared" si="103"/>
        <v/>
      </c>
    </row>
    <row r="1297" spans="1:9" x14ac:dyDescent="0.25">
      <c r="A1297" s="203" t="str">
        <f>IF(DATA!M1227="","",DATA!M1227)</f>
        <v/>
      </c>
      <c r="B1297" s="203" t="str">
        <f>IF(DATA!N1227="","",DATA!N1227)</f>
        <v/>
      </c>
      <c r="C1297" s="203" t="str">
        <f>IF(DATA!O1227="","",DATA!O1227)</f>
        <v/>
      </c>
      <c r="D1297" s="203" t="str">
        <f>IF(DATA!P1227="","",DATA!P1227)</f>
        <v/>
      </c>
      <c r="E1297" s="13"/>
      <c r="F1297" s="5" t="str">
        <f t="shared" si="102"/>
        <v/>
      </c>
      <c r="G1297" s="1"/>
      <c r="H1297" s="77">
        <f>IF(G1297="",0,VLOOKUP(G1297,REFCE!A:D,2,FALSE))</f>
        <v>0</v>
      </c>
      <c r="I1297" s="77" t="str">
        <f t="shared" si="103"/>
        <v/>
      </c>
    </row>
    <row r="1298" spans="1:9" x14ac:dyDescent="0.25">
      <c r="A1298" s="203" t="str">
        <f>IF(DATA!M1228="","",DATA!M1228)</f>
        <v/>
      </c>
      <c r="B1298" s="203" t="str">
        <f>IF(DATA!N1228="","",DATA!N1228)</f>
        <v/>
      </c>
      <c r="C1298" s="203" t="str">
        <f>IF(DATA!O1228="","",DATA!O1228)</f>
        <v/>
      </c>
      <c r="D1298" s="203" t="str">
        <f>IF(DATA!P1228="","",DATA!P1228)</f>
        <v/>
      </c>
      <c r="E1298" s="13"/>
      <c r="F1298" s="5" t="str">
        <f t="shared" si="102"/>
        <v/>
      </c>
      <c r="G1298" s="1"/>
      <c r="H1298" s="77">
        <f>IF(G1298="",0,VLOOKUP(G1298,REFCE!A:D,2,FALSE))</f>
        <v>0</v>
      </c>
      <c r="I1298" s="77" t="str">
        <f t="shared" si="103"/>
        <v/>
      </c>
    </row>
    <row r="1299" spans="1:9" x14ac:dyDescent="0.25">
      <c r="A1299" s="203" t="str">
        <f>IF(DATA!M1229="","",DATA!M1229)</f>
        <v/>
      </c>
      <c r="B1299" s="203" t="str">
        <f>IF(DATA!N1229="","",DATA!N1229)</f>
        <v/>
      </c>
      <c r="C1299" s="203" t="str">
        <f>IF(DATA!O1229="","",DATA!O1229)</f>
        <v/>
      </c>
      <c r="D1299" s="203" t="str">
        <f>IF(DATA!P1229="","",DATA!P1229)</f>
        <v/>
      </c>
      <c r="E1299" s="13"/>
      <c r="F1299" s="5" t="str">
        <f t="shared" si="102"/>
        <v/>
      </c>
      <c r="G1299" s="1"/>
      <c r="H1299" s="77">
        <f>IF(G1299="",0,VLOOKUP(G1299,REFCE!A:D,2,FALSE))</f>
        <v>0</v>
      </c>
      <c r="I1299" s="77" t="str">
        <f t="shared" si="103"/>
        <v/>
      </c>
    </row>
    <row r="1300" spans="1:9" x14ac:dyDescent="0.25">
      <c r="A1300" s="203" t="str">
        <f>IF(DATA!M1230="","",DATA!M1230)</f>
        <v/>
      </c>
      <c r="B1300" s="203" t="str">
        <f>IF(DATA!N1230="","",DATA!N1230)</f>
        <v/>
      </c>
      <c r="C1300" s="203" t="str">
        <f>IF(DATA!O1230="","",DATA!O1230)</f>
        <v/>
      </c>
      <c r="D1300" s="203" t="str">
        <f>IF(DATA!P1230="","",DATA!P1230)</f>
        <v/>
      </c>
      <c r="E1300" s="13"/>
      <c r="F1300" s="5" t="str">
        <f t="shared" si="102"/>
        <v/>
      </c>
      <c r="G1300" s="1"/>
      <c r="H1300" s="77">
        <f>IF(G1300="",0,VLOOKUP(G1300,REFCE!A:D,2,FALSE))</f>
        <v>0</v>
      </c>
      <c r="I1300" s="77" t="str">
        <f t="shared" si="103"/>
        <v/>
      </c>
    </row>
    <row r="1301" spans="1:9" x14ac:dyDescent="0.25">
      <c r="A1301" s="203" t="str">
        <f>IF(DATA!M1231="","",DATA!M1231)</f>
        <v/>
      </c>
      <c r="B1301" s="203" t="str">
        <f>IF(DATA!N1231="","",DATA!N1231)</f>
        <v/>
      </c>
      <c r="C1301" s="203" t="str">
        <f>IF(DATA!O1231="","",DATA!O1231)</f>
        <v/>
      </c>
      <c r="D1301" s="203" t="str">
        <f>IF(DATA!P1231="","",DATA!P1231)</f>
        <v/>
      </c>
      <c r="E1301" s="13"/>
      <c r="F1301" s="5" t="str">
        <f t="shared" si="102"/>
        <v/>
      </c>
      <c r="G1301" s="1"/>
      <c r="H1301" s="77">
        <f>IF(G1301="",0,VLOOKUP(G1301,REFCE!A:D,2,FALSE))</f>
        <v>0</v>
      </c>
      <c r="I1301" s="77" t="str">
        <f t="shared" si="103"/>
        <v/>
      </c>
    </row>
    <row r="1302" spans="1:9" x14ac:dyDescent="0.25">
      <c r="A1302" s="203" t="str">
        <f>IF(DATA!M1232="","",DATA!M1232)</f>
        <v/>
      </c>
      <c r="B1302" s="203" t="str">
        <f>IF(DATA!N1232="","",DATA!N1232)</f>
        <v/>
      </c>
      <c r="C1302" s="203" t="str">
        <f>IF(DATA!O1232="","",DATA!O1232)</f>
        <v/>
      </c>
      <c r="D1302" s="203" t="str">
        <f>IF(DATA!P1232="","",DATA!P1232)</f>
        <v/>
      </c>
      <c r="E1302" s="13"/>
      <c r="F1302" s="5" t="str">
        <f t="shared" si="102"/>
        <v/>
      </c>
      <c r="G1302" s="1"/>
      <c r="H1302" s="77">
        <f>IF(G1302="",0,VLOOKUP(G1302,REFCE!A:D,2,FALSE))</f>
        <v>0</v>
      </c>
      <c r="I1302" s="77" t="str">
        <f t="shared" si="103"/>
        <v/>
      </c>
    </row>
    <row r="1303" spans="1:9" x14ac:dyDescent="0.25">
      <c r="A1303" s="203" t="str">
        <f>IF(DATA!M1233="","",DATA!M1233)</f>
        <v/>
      </c>
      <c r="B1303" s="203" t="str">
        <f>IF(DATA!N1233="","",DATA!N1233)</f>
        <v/>
      </c>
      <c r="C1303" s="203" t="str">
        <f>IF(DATA!O1233="","",DATA!O1233)</f>
        <v/>
      </c>
      <c r="D1303" s="203" t="str">
        <f>IF(DATA!P1233="","",DATA!P1233)</f>
        <v/>
      </c>
      <c r="E1303" s="13"/>
      <c r="F1303" s="5" t="str">
        <f t="shared" si="102"/>
        <v/>
      </c>
      <c r="G1303" s="1"/>
      <c r="H1303" s="77">
        <f>IF(G1303="",0,VLOOKUP(G1303,REFCE!A:D,2,FALSE))</f>
        <v>0</v>
      </c>
      <c r="I1303" s="77" t="str">
        <f t="shared" si="103"/>
        <v/>
      </c>
    </row>
    <row r="1304" spans="1:9" x14ac:dyDescent="0.25">
      <c r="A1304" s="203" t="str">
        <f>IF(DATA!M1234="","",DATA!M1234)</f>
        <v/>
      </c>
      <c r="B1304" s="203" t="str">
        <f>IF(DATA!N1234="","",DATA!N1234)</f>
        <v/>
      </c>
      <c r="C1304" s="203" t="str">
        <f>IF(DATA!O1234="","",DATA!O1234)</f>
        <v/>
      </c>
      <c r="D1304" s="203" t="str">
        <f>IF(DATA!P1234="","",DATA!P1234)</f>
        <v/>
      </c>
      <c r="E1304" s="13"/>
      <c r="F1304" s="5" t="str">
        <f t="shared" si="102"/>
        <v/>
      </c>
      <c r="G1304" s="1"/>
      <c r="H1304" s="77">
        <f>IF(G1304="",0,VLOOKUP(G1304,REFCE!A:D,2,FALSE))</f>
        <v>0</v>
      </c>
      <c r="I1304" s="77" t="str">
        <f t="shared" si="103"/>
        <v/>
      </c>
    </row>
    <row r="1305" spans="1:9" x14ac:dyDescent="0.25">
      <c r="A1305" s="203" t="str">
        <f>IF(DATA!M1235="","",DATA!M1235)</f>
        <v/>
      </c>
      <c r="B1305" s="203" t="str">
        <f>IF(DATA!N1235="","",DATA!N1235)</f>
        <v/>
      </c>
      <c r="C1305" s="203" t="str">
        <f>IF(DATA!O1235="","",DATA!O1235)</f>
        <v/>
      </c>
      <c r="D1305" s="203" t="str">
        <f>IF(DATA!P1235="","",DATA!P1235)</f>
        <v/>
      </c>
      <c r="E1305" s="13"/>
      <c r="F1305" s="5" t="str">
        <f t="shared" si="102"/>
        <v/>
      </c>
      <c r="G1305" s="1"/>
      <c r="H1305" s="77">
        <f>IF(G1305="",0,VLOOKUP(G1305,REFCE!A:D,2,FALSE))</f>
        <v>0</v>
      </c>
      <c r="I1305" s="77" t="str">
        <f t="shared" si="103"/>
        <v/>
      </c>
    </row>
    <row r="1306" spans="1:9" x14ac:dyDescent="0.25">
      <c r="A1306" s="203" t="str">
        <f>IF(DATA!M1236="","",DATA!M1236)</f>
        <v/>
      </c>
      <c r="B1306" s="203" t="str">
        <f>IF(DATA!N1236="","",DATA!N1236)</f>
        <v/>
      </c>
      <c r="C1306" s="203" t="str">
        <f>IF(DATA!O1236="","",DATA!O1236)</f>
        <v/>
      </c>
      <c r="D1306" s="203" t="str">
        <f>IF(DATA!P1236="","",DATA!P1236)</f>
        <v/>
      </c>
      <c r="E1306" s="13"/>
      <c r="F1306" s="5" t="str">
        <f t="shared" si="102"/>
        <v/>
      </c>
      <c r="G1306" s="1"/>
      <c r="H1306" s="77">
        <f>IF(G1306="",0,VLOOKUP(G1306,REFCE!A:D,2,FALSE))</f>
        <v>0</v>
      </c>
      <c r="I1306" s="77" t="str">
        <f t="shared" si="103"/>
        <v/>
      </c>
    </row>
    <row r="1307" spans="1:9" x14ac:dyDescent="0.25">
      <c r="A1307" s="203" t="str">
        <f>IF(DATA!M1237="","",DATA!M1237)</f>
        <v/>
      </c>
      <c r="B1307" s="203" t="str">
        <f>IF(DATA!N1237="","",DATA!N1237)</f>
        <v/>
      </c>
      <c r="C1307" s="203" t="str">
        <f>IF(DATA!O1237="","",DATA!O1237)</f>
        <v/>
      </c>
      <c r="D1307" s="203" t="str">
        <f>IF(DATA!P1237="","",DATA!P1237)</f>
        <v/>
      </c>
      <c r="E1307" s="13"/>
      <c r="F1307" s="5" t="str">
        <f t="shared" si="102"/>
        <v/>
      </c>
      <c r="G1307" s="1"/>
      <c r="H1307" s="77">
        <f>IF(G1307="",0,VLOOKUP(G1307,REFCE!A:D,2,FALSE))</f>
        <v>0</v>
      </c>
      <c r="I1307" s="77" t="str">
        <f t="shared" si="103"/>
        <v/>
      </c>
    </row>
    <row r="1308" spans="1:9" x14ac:dyDescent="0.25">
      <c r="A1308" s="203" t="str">
        <f>IF(DATA!M1238="","",DATA!M1238)</f>
        <v/>
      </c>
      <c r="B1308" s="203" t="str">
        <f>IF(DATA!N1238="","",DATA!N1238)</f>
        <v/>
      </c>
      <c r="C1308" s="203" t="str">
        <f>IF(DATA!O1238="","",DATA!O1238)</f>
        <v/>
      </c>
      <c r="D1308" s="203" t="str">
        <f>IF(DATA!P1238="","",DATA!P1238)</f>
        <v/>
      </c>
      <c r="E1308" s="13"/>
      <c r="F1308" s="5" t="str">
        <f t="shared" si="102"/>
        <v/>
      </c>
      <c r="G1308" s="1"/>
      <c r="H1308" s="77">
        <f>IF(G1308="",0,VLOOKUP(G1308,REFCE!A:D,2,FALSE))</f>
        <v>0</v>
      </c>
      <c r="I1308" s="77" t="str">
        <f t="shared" si="103"/>
        <v/>
      </c>
    </row>
    <row r="1309" spans="1:9" x14ac:dyDescent="0.25">
      <c r="A1309" s="203" t="str">
        <f>IF(DATA!M1239="","",DATA!M1239)</f>
        <v/>
      </c>
      <c r="B1309" s="203" t="str">
        <f>IF(DATA!N1239="","",DATA!N1239)</f>
        <v/>
      </c>
      <c r="C1309" s="203" t="str">
        <f>IF(DATA!O1239="","",DATA!O1239)</f>
        <v/>
      </c>
      <c r="D1309" s="203" t="str">
        <f>IF(DATA!P1239="","",DATA!P1239)</f>
        <v/>
      </c>
      <c r="E1309" s="13"/>
      <c r="F1309" s="5" t="str">
        <f t="shared" si="102"/>
        <v/>
      </c>
      <c r="G1309" s="1"/>
      <c r="H1309" s="77">
        <f>IF(G1309="",0,VLOOKUP(G1309,REFCE!A:D,2,FALSE))</f>
        <v>0</v>
      </c>
      <c r="I1309" s="77" t="str">
        <f t="shared" si="103"/>
        <v/>
      </c>
    </row>
    <row r="1310" spans="1:9" x14ac:dyDescent="0.25">
      <c r="A1310" s="203" t="str">
        <f>IF(DATA!M1240="","",DATA!M1240)</f>
        <v/>
      </c>
      <c r="B1310" s="203" t="str">
        <f>IF(DATA!N1240="","",DATA!N1240)</f>
        <v/>
      </c>
      <c r="C1310" s="203" t="str">
        <f>IF(DATA!O1240="","",DATA!O1240)</f>
        <v/>
      </c>
      <c r="D1310" s="203" t="str">
        <f>IF(DATA!P1240="","",DATA!P1240)</f>
        <v/>
      </c>
      <c r="E1310" s="13"/>
      <c r="F1310" s="5" t="str">
        <f t="shared" si="102"/>
        <v/>
      </c>
      <c r="G1310" s="1"/>
      <c r="H1310" s="77">
        <f>IF(G1310="",0,VLOOKUP(G1310,REFCE!A:D,2,FALSE))</f>
        <v>0</v>
      </c>
      <c r="I1310" s="77" t="str">
        <f t="shared" si="103"/>
        <v/>
      </c>
    </row>
    <row r="1311" spans="1:9" x14ac:dyDescent="0.25">
      <c r="A1311" s="203" t="str">
        <f>IF(DATA!M1241="","",DATA!M1241)</f>
        <v/>
      </c>
      <c r="B1311" s="203" t="str">
        <f>IF(DATA!N1241="","",DATA!N1241)</f>
        <v/>
      </c>
      <c r="C1311" s="203" t="str">
        <f>IF(DATA!O1241="","",DATA!O1241)</f>
        <v/>
      </c>
      <c r="D1311" s="203" t="str">
        <f>IF(DATA!P1241="","",DATA!P1241)</f>
        <v/>
      </c>
      <c r="E1311" s="13"/>
      <c r="F1311" s="5" t="str">
        <f t="shared" si="102"/>
        <v/>
      </c>
      <c r="G1311" s="1"/>
      <c r="H1311" s="77">
        <f>IF(G1311="",0,VLOOKUP(G1311,REFCE!A:D,2,FALSE))</f>
        <v>0</v>
      </c>
      <c r="I1311" s="77" t="str">
        <f t="shared" si="103"/>
        <v/>
      </c>
    </row>
    <row r="1312" spans="1:9" x14ac:dyDescent="0.25">
      <c r="A1312" s="203" t="str">
        <f>IF(DATA!M1242="","",DATA!M1242)</f>
        <v/>
      </c>
      <c r="B1312" s="203" t="str">
        <f>IF(DATA!N1242="","",DATA!N1242)</f>
        <v/>
      </c>
      <c r="C1312" s="203" t="str">
        <f>IF(DATA!O1242="","",DATA!O1242)</f>
        <v/>
      </c>
      <c r="D1312" s="203" t="str">
        <f>IF(DATA!P1242="","",DATA!P1242)</f>
        <v/>
      </c>
      <c r="E1312" s="13"/>
      <c r="F1312" s="5" t="str">
        <f t="shared" si="102"/>
        <v/>
      </c>
      <c r="G1312" s="1"/>
      <c r="H1312" s="77">
        <f>IF(G1312="",0,VLOOKUP(G1312,REFCE!A:D,2,FALSE))</f>
        <v>0</v>
      </c>
      <c r="I1312" s="77" t="str">
        <f t="shared" si="103"/>
        <v/>
      </c>
    </row>
    <row r="1313" spans="1:9" x14ac:dyDescent="0.25">
      <c r="A1313" s="203" t="str">
        <f>IF(DATA!M1243="","",DATA!M1243)</f>
        <v/>
      </c>
      <c r="B1313" s="203" t="str">
        <f>IF(DATA!N1243="","",DATA!N1243)</f>
        <v/>
      </c>
      <c r="C1313" s="203" t="str">
        <f>IF(DATA!O1243="","",DATA!O1243)</f>
        <v/>
      </c>
      <c r="D1313" s="203" t="str">
        <f>IF(DATA!P1243="","",DATA!P1243)</f>
        <v/>
      </c>
      <c r="E1313" s="13"/>
      <c r="F1313" s="5" t="str">
        <f t="shared" si="102"/>
        <v/>
      </c>
      <c r="G1313" s="1"/>
      <c r="H1313" s="77">
        <f>IF(G1313="",0,VLOOKUP(G1313,REFCE!A:D,2,FALSE))</f>
        <v>0</v>
      </c>
      <c r="I1313" s="77" t="str">
        <f t="shared" si="103"/>
        <v/>
      </c>
    </row>
    <row r="1314" spans="1:9" x14ac:dyDescent="0.25">
      <c r="A1314" s="203" t="str">
        <f>IF(DATA!M1244="","",DATA!M1244)</f>
        <v/>
      </c>
      <c r="B1314" s="203" t="str">
        <f>IF(DATA!N1244="","",DATA!N1244)</f>
        <v/>
      </c>
      <c r="C1314" s="203" t="str">
        <f>IF(DATA!O1244="","",DATA!O1244)</f>
        <v/>
      </c>
      <c r="D1314" s="203" t="str">
        <f>IF(DATA!P1244="","",DATA!P1244)</f>
        <v/>
      </c>
      <c r="E1314" s="13"/>
      <c r="F1314" s="5" t="str">
        <f t="shared" si="102"/>
        <v/>
      </c>
      <c r="G1314" s="1"/>
      <c r="H1314" s="77">
        <f>IF(G1314="",0,VLOOKUP(G1314,REFCE!A:D,2,FALSE))</f>
        <v>0</v>
      </c>
      <c r="I1314" s="77" t="str">
        <f t="shared" si="103"/>
        <v/>
      </c>
    </row>
    <row r="1315" spans="1:9" x14ac:dyDescent="0.25">
      <c r="A1315" s="203" t="str">
        <f>IF(DATA!M1245="","",DATA!M1245)</f>
        <v/>
      </c>
      <c r="B1315" s="203" t="str">
        <f>IF(DATA!N1245="","",DATA!N1245)</f>
        <v/>
      </c>
      <c r="C1315" s="203" t="str">
        <f>IF(DATA!O1245="","",DATA!O1245)</f>
        <v/>
      </c>
      <c r="D1315" s="203" t="str">
        <f>IF(DATA!P1245="","",DATA!P1245)</f>
        <v/>
      </c>
      <c r="E1315" s="13"/>
      <c r="F1315" s="5" t="str">
        <f t="shared" si="102"/>
        <v/>
      </c>
      <c r="G1315" s="1"/>
      <c r="H1315" s="77">
        <f>IF(G1315="",0,VLOOKUP(G1315,REFCE!A:D,2,FALSE))</f>
        <v>0</v>
      </c>
      <c r="I1315" s="77" t="str">
        <f t="shared" si="103"/>
        <v/>
      </c>
    </row>
    <row r="1316" spans="1:9" x14ac:dyDescent="0.25">
      <c r="A1316" s="203" t="str">
        <f>IF(DATA!M1246="","",DATA!M1246)</f>
        <v/>
      </c>
      <c r="B1316" s="203" t="str">
        <f>IF(DATA!N1246="","",DATA!N1246)</f>
        <v/>
      </c>
      <c r="C1316" s="203" t="str">
        <f>IF(DATA!O1246="","",DATA!O1246)</f>
        <v/>
      </c>
      <c r="D1316" s="203" t="str">
        <f>IF(DATA!P1246="","",DATA!P1246)</f>
        <v/>
      </c>
      <c r="E1316" s="13"/>
      <c r="F1316" s="5" t="str">
        <f t="shared" si="102"/>
        <v/>
      </c>
      <c r="G1316" s="1"/>
      <c r="H1316" s="77">
        <f>IF(G1316="",0,VLOOKUP(G1316,REFCE!A:D,2,FALSE))</f>
        <v>0</v>
      </c>
      <c r="I1316" s="77" t="str">
        <f t="shared" si="103"/>
        <v/>
      </c>
    </row>
    <row r="1317" spans="1:9" x14ac:dyDescent="0.25">
      <c r="A1317" s="203" t="str">
        <f>IF(DATA!M1247="","",DATA!M1247)</f>
        <v/>
      </c>
      <c r="B1317" s="203" t="str">
        <f>IF(DATA!N1247="","",DATA!N1247)</f>
        <v/>
      </c>
      <c r="C1317" s="203" t="str">
        <f>IF(DATA!O1247="","",DATA!O1247)</f>
        <v/>
      </c>
      <c r="D1317" s="203" t="str">
        <f>IF(DATA!P1247="","",DATA!P1247)</f>
        <v/>
      </c>
      <c r="E1317" s="13"/>
      <c r="F1317" s="5" t="str">
        <f t="shared" si="102"/>
        <v/>
      </c>
      <c r="G1317" s="1"/>
      <c r="H1317" s="77">
        <f>IF(G1317="",0,VLOOKUP(G1317,REFCE!A:D,2,FALSE))</f>
        <v>0</v>
      </c>
      <c r="I1317" s="77" t="str">
        <f t="shared" si="103"/>
        <v/>
      </c>
    </row>
    <row r="1318" spans="1:9" x14ac:dyDescent="0.25">
      <c r="A1318" s="203" t="str">
        <f>IF(DATA!M1248="","",DATA!M1248)</f>
        <v/>
      </c>
      <c r="B1318" s="203" t="str">
        <f>IF(DATA!N1248="","",DATA!N1248)</f>
        <v/>
      </c>
      <c r="C1318" s="203" t="str">
        <f>IF(DATA!O1248="","",DATA!O1248)</f>
        <v/>
      </c>
      <c r="D1318" s="203" t="str">
        <f>IF(DATA!P1248="","",DATA!P1248)</f>
        <v/>
      </c>
      <c r="E1318" s="13"/>
      <c r="F1318" s="5" t="str">
        <f t="shared" si="102"/>
        <v/>
      </c>
      <c r="G1318" s="1"/>
      <c r="H1318" s="77">
        <f>IF(G1318="",0,VLOOKUP(G1318,REFCE!A:D,2,FALSE))</f>
        <v>0</v>
      </c>
      <c r="I1318" s="77" t="str">
        <f t="shared" si="103"/>
        <v/>
      </c>
    </row>
    <row r="1319" spans="1:9" x14ac:dyDescent="0.25">
      <c r="A1319" s="203" t="str">
        <f>IF(DATA!M1249="","",DATA!M1249)</f>
        <v/>
      </c>
      <c r="B1319" s="203" t="str">
        <f>IF(DATA!N1249="","",DATA!N1249)</f>
        <v/>
      </c>
      <c r="C1319" s="203" t="str">
        <f>IF(DATA!O1249="","",DATA!O1249)</f>
        <v/>
      </c>
      <c r="D1319" s="203" t="str">
        <f>IF(DATA!P1249="","",DATA!P1249)</f>
        <v/>
      </c>
      <c r="E1319" s="13"/>
      <c r="F1319" s="5" t="str">
        <f t="shared" si="102"/>
        <v/>
      </c>
      <c r="G1319" s="1"/>
      <c r="H1319" s="77">
        <f>IF(G1319="",0,VLOOKUP(G1319,REFCE!A:D,2,FALSE))</f>
        <v>0</v>
      </c>
      <c r="I1319" s="77" t="str">
        <f t="shared" si="103"/>
        <v/>
      </c>
    </row>
    <row r="1320" spans="1:9" x14ac:dyDescent="0.25">
      <c r="A1320" s="203" t="str">
        <f>IF(DATA!M1250="","",DATA!M1250)</f>
        <v/>
      </c>
      <c r="B1320" s="203" t="str">
        <f>IF(DATA!N1250="","",DATA!N1250)</f>
        <v/>
      </c>
      <c r="C1320" s="203" t="str">
        <f>IF(DATA!O1250="","",DATA!O1250)</f>
        <v/>
      </c>
      <c r="D1320" s="203" t="str">
        <f>IF(DATA!P1250="","",DATA!P1250)</f>
        <v/>
      </c>
      <c r="E1320" s="13"/>
      <c r="F1320" s="5" t="str">
        <f t="shared" si="102"/>
        <v/>
      </c>
      <c r="G1320" s="1"/>
      <c r="H1320" s="77">
        <f>IF(G1320="",0,VLOOKUP(G1320,REFCE!A:D,2,FALSE))</f>
        <v>0</v>
      </c>
      <c r="I1320" s="77" t="str">
        <f t="shared" si="103"/>
        <v/>
      </c>
    </row>
    <row r="1321" spans="1:9" x14ac:dyDescent="0.25">
      <c r="A1321" s="203" t="str">
        <f>IF(DATA!M1251="","",DATA!M1251)</f>
        <v/>
      </c>
      <c r="B1321" s="203" t="str">
        <f>IF(DATA!N1251="","",DATA!N1251)</f>
        <v/>
      </c>
      <c r="C1321" s="203" t="str">
        <f>IF(DATA!O1251="","",DATA!O1251)</f>
        <v/>
      </c>
      <c r="D1321" s="203" t="str">
        <f>IF(DATA!P1251="","",DATA!P1251)</f>
        <v/>
      </c>
      <c r="E1321" s="13"/>
      <c r="F1321" s="5" t="str">
        <f t="shared" si="102"/>
        <v/>
      </c>
      <c r="G1321" s="1"/>
      <c r="H1321" s="77">
        <f>IF(G1321="",0,VLOOKUP(G1321,REFCE!A:D,2,FALSE))</f>
        <v>0</v>
      </c>
      <c r="I1321" s="77" t="str">
        <f t="shared" si="103"/>
        <v/>
      </c>
    </row>
    <row r="1322" spans="1:9" x14ac:dyDescent="0.25">
      <c r="A1322" s="203" t="str">
        <f>IF(DATA!M1252="","",DATA!M1252)</f>
        <v/>
      </c>
      <c r="B1322" s="203" t="str">
        <f>IF(DATA!N1252="","",DATA!N1252)</f>
        <v/>
      </c>
      <c r="C1322" s="203" t="str">
        <f>IF(DATA!O1252="","",DATA!O1252)</f>
        <v/>
      </c>
      <c r="D1322" s="203" t="str">
        <f>IF(DATA!P1252="","",DATA!P1252)</f>
        <v/>
      </c>
      <c r="E1322" s="13"/>
      <c r="F1322" s="5" t="str">
        <f t="shared" si="102"/>
        <v/>
      </c>
      <c r="G1322" s="1"/>
      <c r="H1322" s="77">
        <f>IF(G1322="",0,VLOOKUP(G1322,REFCE!A:D,2,FALSE))</f>
        <v>0</v>
      </c>
      <c r="I1322" s="77" t="str">
        <f t="shared" si="103"/>
        <v/>
      </c>
    </row>
    <row r="1323" spans="1:9" x14ac:dyDescent="0.25">
      <c r="A1323" s="203" t="str">
        <f>IF(DATA!M1253="","",DATA!M1253)</f>
        <v/>
      </c>
      <c r="B1323" s="203" t="str">
        <f>IF(DATA!N1253="","",DATA!N1253)</f>
        <v/>
      </c>
      <c r="C1323" s="203" t="str">
        <f>IF(DATA!O1253="","",DATA!O1253)</f>
        <v/>
      </c>
      <c r="D1323" s="203" t="str">
        <f>IF(DATA!P1253="","",DATA!P1253)</f>
        <v/>
      </c>
      <c r="E1323" s="13"/>
      <c r="F1323" s="5" t="str">
        <f t="shared" si="102"/>
        <v/>
      </c>
      <c r="G1323" s="1"/>
      <c r="H1323" s="77">
        <f>IF(G1323="",0,VLOOKUP(G1323,REFCE!A:D,2,FALSE))</f>
        <v>0</v>
      </c>
      <c r="I1323" s="77" t="str">
        <f t="shared" si="103"/>
        <v/>
      </c>
    </row>
    <row r="1324" spans="1:9" x14ac:dyDescent="0.25">
      <c r="A1324" s="203" t="str">
        <f>IF(DATA!M1254="","",DATA!M1254)</f>
        <v/>
      </c>
      <c r="B1324" s="203" t="str">
        <f>IF(DATA!N1254="","",DATA!N1254)</f>
        <v/>
      </c>
      <c r="C1324" s="203" t="str">
        <f>IF(DATA!O1254="","",DATA!O1254)</f>
        <v/>
      </c>
      <c r="D1324" s="203" t="str">
        <f>IF(DATA!P1254="","",DATA!P1254)</f>
        <v/>
      </c>
      <c r="E1324" s="13"/>
      <c r="F1324" s="5" t="str">
        <f t="shared" si="102"/>
        <v/>
      </c>
      <c r="G1324" s="1"/>
      <c r="H1324" s="77">
        <f>IF(G1324="",0,VLOOKUP(G1324,REFCE!A:D,2,FALSE))</f>
        <v>0</v>
      </c>
      <c r="I1324" s="77" t="str">
        <f t="shared" si="103"/>
        <v/>
      </c>
    </row>
    <row r="1325" spans="1:9" x14ac:dyDescent="0.25">
      <c r="A1325" s="203" t="str">
        <f>IF(DATA!M1255="","",DATA!M1255)</f>
        <v/>
      </c>
      <c r="B1325" s="203" t="str">
        <f>IF(DATA!N1255="","",DATA!N1255)</f>
        <v/>
      </c>
      <c r="C1325" s="203" t="str">
        <f>IF(DATA!O1255="","",DATA!O1255)</f>
        <v/>
      </c>
      <c r="D1325" s="203" t="str">
        <f>IF(DATA!P1255="","",DATA!P1255)</f>
        <v/>
      </c>
      <c r="E1325" s="13"/>
      <c r="F1325" s="5" t="str">
        <f t="shared" si="102"/>
        <v/>
      </c>
      <c r="G1325" s="1"/>
      <c r="H1325" s="77">
        <f>IF(G1325="",0,VLOOKUP(G1325,REFCE!A:D,2,FALSE))</f>
        <v>0</v>
      </c>
      <c r="I1325" s="77" t="str">
        <f t="shared" si="103"/>
        <v/>
      </c>
    </row>
    <row r="1326" spans="1:9" x14ac:dyDescent="0.25">
      <c r="A1326" s="203" t="str">
        <f>IF(DATA!M1256="","",DATA!M1256)</f>
        <v/>
      </c>
      <c r="B1326" s="203" t="str">
        <f>IF(DATA!N1256="","",DATA!N1256)</f>
        <v/>
      </c>
      <c r="C1326" s="203" t="str">
        <f>IF(DATA!O1256="","",DATA!O1256)</f>
        <v/>
      </c>
      <c r="D1326" s="203" t="str">
        <f>IF(DATA!P1256="","",DATA!P1256)</f>
        <v/>
      </c>
      <c r="E1326" s="13"/>
      <c r="F1326" s="5" t="str">
        <f t="shared" si="102"/>
        <v/>
      </c>
      <c r="G1326" s="1"/>
      <c r="H1326" s="77">
        <f>IF(G1326="",0,VLOOKUP(G1326,REFCE!A:D,2,FALSE))</f>
        <v>0</v>
      </c>
      <c r="I1326" s="77" t="str">
        <f t="shared" si="103"/>
        <v/>
      </c>
    </row>
    <row r="1327" spans="1:9" x14ac:dyDescent="0.25">
      <c r="A1327" s="203" t="str">
        <f>IF(DATA!M1257="","",DATA!M1257)</f>
        <v/>
      </c>
      <c r="B1327" s="203" t="str">
        <f>IF(DATA!N1257="","",DATA!N1257)</f>
        <v/>
      </c>
      <c r="C1327" s="203" t="str">
        <f>IF(DATA!O1257="","",DATA!O1257)</f>
        <v/>
      </c>
      <c r="D1327" s="203" t="str">
        <f>IF(DATA!P1257="","",DATA!P1257)</f>
        <v/>
      </c>
      <c r="E1327" s="13"/>
      <c r="F1327" s="5" t="str">
        <f t="shared" si="102"/>
        <v/>
      </c>
      <c r="G1327" s="1"/>
      <c r="H1327" s="77">
        <f>IF(G1327="",0,VLOOKUP(G1327,REFCE!A:D,2,FALSE))</f>
        <v>0</v>
      </c>
      <c r="I1327" s="77" t="str">
        <f t="shared" si="103"/>
        <v/>
      </c>
    </row>
    <row r="1328" spans="1:9" x14ac:dyDescent="0.25">
      <c r="A1328" s="203" t="str">
        <f>IF(DATA!M1258="","",DATA!M1258)</f>
        <v/>
      </c>
      <c r="B1328" s="203" t="str">
        <f>IF(DATA!N1258="","",DATA!N1258)</f>
        <v/>
      </c>
      <c r="C1328" s="203" t="str">
        <f>IF(DATA!O1258="","",DATA!O1258)</f>
        <v/>
      </c>
      <c r="D1328" s="203" t="str">
        <f>IF(DATA!P1258="","",DATA!P1258)</f>
        <v/>
      </c>
      <c r="E1328" s="13"/>
      <c r="F1328" s="5" t="str">
        <f t="shared" si="102"/>
        <v/>
      </c>
      <c r="G1328" s="1"/>
      <c r="H1328" s="77">
        <f>IF(G1328="",0,VLOOKUP(G1328,REFCE!A:D,2,FALSE))</f>
        <v>0</v>
      </c>
      <c r="I1328" s="77" t="str">
        <f t="shared" si="103"/>
        <v/>
      </c>
    </row>
    <row r="1329" spans="1:9" x14ac:dyDescent="0.25">
      <c r="A1329" s="203" t="str">
        <f>IF(DATA!M1259="","",DATA!M1259)</f>
        <v/>
      </c>
      <c r="B1329" s="203" t="str">
        <f>IF(DATA!N1259="","",DATA!N1259)</f>
        <v/>
      </c>
      <c r="C1329" s="203" t="str">
        <f>IF(DATA!O1259="","",DATA!O1259)</f>
        <v/>
      </c>
      <c r="D1329" s="203" t="str">
        <f>IF(DATA!P1259="","",DATA!P1259)</f>
        <v/>
      </c>
      <c r="E1329" s="13"/>
      <c r="F1329" s="5" t="str">
        <f t="shared" si="102"/>
        <v/>
      </c>
      <c r="G1329" s="1"/>
      <c r="H1329" s="77">
        <f>IF(G1329="",0,VLOOKUP(G1329,REFCE!A:D,2,FALSE))</f>
        <v>0</v>
      </c>
      <c r="I1329" s="77" t="str">
        <f t="shared" si="103"/>
        <v/>
      </c>
    </row>
    <row r="1330" spans="1:9" x14ac:dyDescent="0.25">
      <c r="A1330" s="203" t="str">
        <f>IF(DATA!M1260="","",DATA!M1260)</f>
        <v/>
      </c>
      <c r="B1330" s="203" t="str">
        <f>IF(DATA!N1260="","",DATA!N1260)</f>
        <v/>
      </c>
      <c r="C1330" s="203" t="str">
        <f>IF(DATA!O1260="","",DATA!O1260)</f>
        <v/>
      </c>
      <c r="D1330" s="203" t="str">
        <f>IF(DATA!P1260="","",DATA!P1260)</f>
        <v/>
      </c>
      <c r="E1330" s="13"/>
      <c r="F1330" s="5" t="str">
        <f t="shared" si="102"/>
        <v/>
      </c>
      <c r="G1330" s="1"/>
      <c r="H1330" s="77">
        <f>IF(G1330="",0,VLOOKUP(G1330,REFCE!A:D,2,FALSE))</f>
        <v>0</v>
      </c>
      <c r="I1330" s="77" t="str">
        <f t="shared" si="103"/>
        <v/>
      </c>
    </row>
    <row r="1331" spans="1:9" x14ac:dyDescent="0.25">
      <c r="A1331" s="203" t="str">
        <f>IF(DATA!M1261="","",DATA!M1261)</f>
        <v/>
      </c>
      <c r="B1331" s="203" t="str">
        <f>IF(DATA!N1261="","",DATA!N1261)</f>
        <v/>
      </c>
      <c r="C1331" s="203" t="str">
        <f>IF(DATA!O1261="","",DATA!O1261)</f>
        <v/>
      </c>
      <c r="D1331" s="203" t="str">
        <f>IF(DATA!P1261="","",DATA!P1261)</f>
        <v/>
      </c>
      <c r="E1331" s="13"/>
      <c r="F1331" s="5" t="str">
        <f t="shared" si="102"/>
        <v/>
      </c>
      <c r="G1331" s="1"/>
      <c r="H1331" s="77">
        <f>IF(G1331="",0,VLOOKUP(G1331,REFCE!A:D,2,FALSE))</f>
        <v>0</v>
      </c>
      <c r="I1331" s="77" t="str">
        <f t="shared" si="103"/>
        <v/>
      </c>
    </row>
    <row r="1332" spans="1:9" x14ac:dyDescent="0.25">
      <c r="A1332" s="203" t="str">
        <f>IF(DATA!M1262="","",DATA!M1262)</f>
        <v/>
      </c>
      <c r="B1332" s="203" t="str">
        <f>IF(DATA!N1262="","",DATA!N1262)</f>
        <v/>
      </c>
      <c r="C1332" s="203" t="str">
        <f>IF(DATA!O1262="","",DATA!O1262)</f>
        <v/>
      </c>
      <c r="D1332" s="203" t="str">
        <f>IF(DATA!P1262="","",DATA!P1262)</f>
        <v/>
      </c>
      <c r="E1332" s="13"/>
      <c r="F1332" s="5" t="str">
        <f t="shared" si="102"/>
        <v/>
      </c>
      <c r="G1332" s="1"/>
      <c r="H1332" s="77">
        <f>IF(G1332="",0,VLOOKUP(G1332,REFCE!A:D,2,FALSE))</f>
        <v>0</v>
      </c>
      <c r="I1332" s="77" t="str">
        <f t="shared" si="103"/>
        <v/>
      </c>
    </row>
    <row r="1333" spans="1:9" x14ac:dyDescent="0.25">
      <c r="A1333" s="203" t="str">
        <f>IF(DATA!M1263="","",DATA!M1263)</f>
        <v/>
      </c>
      <c r="B1333" s="203" t="str">
        <f>IF(DATA!N1263="","",DATA!N1263)</f>
        <v/>
      </c>
      <c r="C1333" s="203" t="str">
        <f>IF(DATA!O1263="","",DATA!O1263)</f>
        <v/>
      </c>
      <c r="D1333" s="203" t="str">
        <f>IF(DATA!P1263="","",DATA!P1263)</f>
        <v/>
      </c>
      <c r="E1333" s="13"/>
      <c r="F1333" s="5" t="str">
        <f t="shared" si="102"/>
        <v/>
      </c>
      <c r="G1333" s="1"/>
      <c r="H1333" s="77">
        <f>IF(G1333="",0,VLOOKUP(G1333,REFCE!A:D,2,FALSE))</f>
        <v>0</v>
      </c>
      <c r="I1333" s="77" t="str">
        <f t="shared" si="103"/>
        <v/>
      </c>
    </row>
    <row r="1334" spans="1:9" x14ac:dyDescent="0.25">
      <c r="A1334" s="203" t="str">
        <f>IF(DATA!M1264="","",DATA!M1264)</f>
        <v/>
      </c>
      <c r="B1334" s="203" t="str">
        <f>IF(DATA!N1264="","",DATA!N1264)</f>
        <v/>
      </c>
      <c r="C1334" s="203" t="str">
        <f>IF(DATA!O1264="","",DATA!O1264)</f>
        <v/>
      </c>
      <c r="D1334" s="203" t="str">
        <f>IF(DATA!P1264="","",DATA!P1264)</f>
        <v/>
      </c>
      <c r="E1334" s="13"/>
      <c r="F1334" s="5" t="str">
        <f t="shared" si="102"/>
        <v/>
      </c>
      <c r="G1334" s="1"/>
      <c r="H1334" s="77">
        <f>IF(G1334="",0,VLOOKUP(G1334,REFCE!A:D,2,FALSE))</f>
        <v>0</v>
      </c>
      <c r="I1334" s="77" t="str">
        <f t="shared" si="103"/>
        <v/>
      </c>
    </row>
    <row r="1335" spans="1:9" x14ac:dyDescent="0.25">
      <c r="A1335" s="203" t="str">
        <f>IF(DATA!M1265="","",DATA!M1265)</f>
        <v/>
      </c>
      <c r="B1335" s="203" t="str">
        <f>IF(DATA!N1265="","",DATA!N1265)</f>
        <v/>
      </c>
      <c r="C1335" s="203" t="str">
        <f>IF(DATA!O1265="","",DATA!O1265)</f>
        <v/>
      </c>
      <c r="D1335" s="203" t="str">
        <f>IF(DATA!P1265="","",DATA!P1265)</f>
        <v/>
      </c>
      <c r="E1335" s="13"/>
      <c r="F1335" s="5" t="str">
        <f t="shared" si="102"/>
        <v/>
      </c>
      <c r="G1335" s="1"/>
      <c r="H1335" s="77">
        <f>IF(G1335="",0,VLOOKUP(G1335,REFCE!A:D,2,FALSE))</f>
        <v>0</v>
      </c>
      <c r="I1335" s="77" t="str">
        <f t="shared" si="103"/>
        <v/>
      </c>
    </row>
    <row r="1336" spans="1:9" x14ac:dyDescent="0.25">
      <c r="A1336" s="203" t="str">
        <f>IF(DATA!M1266="","",DATA!M1266)</f>
        <v/>
      </c>
      <c r="B1336" s="203" t="str">
        <f>IF(DATA!N1266="","",DATA!N1266)</f>
        <v/>
      </c>
      <c r="C1336" s="203" t="str">
        <f>IF(DATA!O1266="","",DATA!O1266)</f>
        <v/>
      </c>
      <c r="D1336" s="203" t="str">
        <f>IF(DATA!P1266="","",DATA!P1266)</f>
        <v/>
      </c>
      <c r="E1336" s="13"/>
      <c r="F1336" s="5" t="str">
        <f t="shared" si="102"/>
        <v/>
      </c>
      <c r="G1336" s="1"/>
      <c r="H1336" s="77">
        <f>IF(G1336="",0,VLOOKUP(G1336,REFCE!A:D,2,FALSE))</f>
        <v>0</v>
      </c>
      <c r="I1336" s="77" t="str">
        <f t="shared" si="103"/>
        <v/>
      </c>
    </row>
    <row r="1337" spans="1:9" x14ac:dyDescent="0.25">
      <c r="A1337" s="203" t="str">
        <f>IF(DATA!M1267="","",DATA!M1267)</f>
        <v/>
      </c>
      <c r="B1337" s="203" t="str">
        <f>IF(DATA!N1267="","",DATA!N1267)</f>
        <v/>
      </c>
      <c r="C1337" s="203" t="str">
        <f>IF(DATA!O1267="","",DATA!O1267)</f>
        <v/>
      </c>
      <c r="D1337" s="203" t="str">
        <f>IF(DATA!P1267="","",DATA!P1267)</f>
        <v/>
      </c>
      <c r="E1337" s="13"/>
      <c r="F1337" s="5" t="str">
        <f t="shared" si="102"/>
        <v/>
      </c>
      <c r="G1337" s="1"/>
      <c r="H1337" s="77">
        <f>IF(G1337="",0,VLOOKUP(G1337,REFCE!A:D,2,FALSE))</f>
        <v>0</v>
      </c>
      <c r="I1337" s="77" t="str">
        <f t="shared" si="103"/>
        <v/>
      </c>
    </row>
    <row r="1338" spans="1:9" x14ac:dyDescent="0.25">
      <c r="A1338" s="203" t="str">
        <f>IF(DATA!M1268="","",DATA!M1268)</f>
        <v/>
      </c>
      <c r="B1338" s="203" t="str">
        <f>IF(DATA!N1268="","",DATA!N1268)</f>
        <v/>
      </c>
      <c r="C1338" s="203" t="str">
        <f>IF(DATA!O1268="","",DATA!O1268)</f>
        <v/>
      </c>
      <c r="D1338" s="203" t="str">
        <f>IF(DATA!P1268="","",DATA!P1268)</f>
        <v/>
      </c>
      <c r="E1338" s="13"/>
      <c r="F1338" s="5" t="str">
        <f t="shared" si="102"/>
        <v/>
      </c>
      <c r="G1338" s="1"/>
      <c r="H1338" s="77">
        <f>IF(G1338="",0,VLOOKUP(G1338,REFCE!A:D,2,FALSE))</f>
        <v>0</v>
      </c>
      <c r="I1338" s="77" t="str">
        <f t="shared" si="103"/>
        <v/>
      </c>
    </row>
    <row r="1339" spans="1:9" x14ac:dyDescent="0.25">
      <c r="A1339" s="203" t="str">
        <f>IF(DATA!M1269="","",DATA!M1269)</f>
        <v/>
      </c>
      <c r="B1339" s="203" t="str">
        <f>IF(DATA!N1269="","",DATA!N1269)</f>
        <v/>
      </c>
      <c r="C1339" s="203" t="str">
        <f>IF(DATA!O1269="","",DATA!O1269)</f>
        <v/>
      </c>
      <c r="D1339" s="203" t="str">
        <f>IF(DATA!P1269="","",DATA!P1269)</f>
        <v/>
      </c>
      <c r="E1339" s="13"/>
      <c r="F1339" s="5" t="str">
        <f t="shared" si="102"/>
        <v/>
      </c>
      <c r="G1339" s="1"/>
      <c r="H1339" s="77">
        <f>IF(G1339="",0,VLOOKUP(G1339,REFCE!A:D,2,FALSE))</f>
        <v>0</v>
      </c>
      <c r="I1339" s="77" t="str">
        <f t="shared" si="103"/>
        <v/>
      </c>
    </row>
    <row r="1340" spans="1:9" x14ac:dyDescent="0.25">
      <c r="A1340" s="203" t="str">
        <f>IF(DATA!M1270="","",DATA!M1270)</f>
        <v/>
      </c>
      <c r="B1340" s="203" t="str">
        <f>IF(DATA!N1270="","",DATA!N1270)</f>
        <v/>
      </c>
      <c r="C1340" s="203" t="str">
        <f>IF(DATA!O1270="","",DATA!O1270)</f>
        <v/>
      </c>
      <c r="D1340" s="203" t="str">
        <f>IF(DATA!P1270="","",DATA!P1270)</f>
        <v/>
      </c>
      <c r="E1340" s="13"/>
      <c r="F1340" s="5" t="str">
        <f t="shared" si="102"/>
        <v/>
      </c>
      <c r="G1340" s="1"/>
      <c r="H1340" s="77">
        <f>IF(G1340="",0,VLOOKUP(G1340,REFCE!A:D,2,FALSE))</f>
        <v>0</v>
      </c>
      <c r="I1340" s="77" t="str">
        <f t="shared" si="103"/>
        <v/>
      </c>
    </row>
    <row r="1341" spans="1:9" x14ac:dyDescent="0.25">
      <c r="A1341" s="203" t="str">
        <f>IF(DATA!M1271="","",DATA!M1271)</f>
        <v/>
      </c>
      <c r="B1341" s="203" t="str">
        <f>IF(DATA!N1271="","",DATA!N1271)</f>
        <v/>
      </c>
      <c r="C1341" s="203" t="str">
        <f>IF(DATA!O1271="","",DATA!O1271)</f>
        <v/>
      </c>
      <c r="D1341" s="203" t="str">
        <f>IF(DATA!P1271="","",DATA!P1271)</f>
        <v/>
      </c>
      <c r="E1341" s="13"/>
      <c r="F1341" s="5" t="str">
        <f t="shared" si="102"/>
        <v/>
      </c>
      <c r="G1341" s="1"/>
      <c r="H1341" s="77">
        <f>IF(G1341="",0,VLOOKUP(G1341,REFCE!A:D,2,FALSE))</f>
        <v>0</v>
      </c>
      <c r="I1341" s="77" t="str">
        <f t="shared" si="103"/>
        <v/>
      </c>
    </row>
    <row r="1342" spans="1:9" x14ac:dyDescent="0.25">
      <c r="A1342" s="203" t="str">
        <f>IF(DATA!M1272="","",DATA!M1272)</f>
        <v/>
      </c>
      <c r="B1342" s="203" t="str">
        <f>IF(DATA!N1272="","",DATA!N1272)</f>
        <v/>
      </c>
      <c r="C1342" s="203" t="str">
        <f>IF(DATA!O1272="","",DATA!O1272)</f>
        <v/>
      </c>
      <c r="D1342" s="203" t="str">
        <f>IF(DATA!P1272="","",DATA!P1272)</f>
        <v/>
      </c>
      <c r="E1342" s="13"/>
      <c r="F1342" s="5" t="str">
        <f t="shared" si="102"/>
        <v/>
      </c>
      <c r="G1342" s="1"/>
      <c r="H1342" s="77">
        <f>IF(G1342="",0,VLOOKUP(G1342,REFCE!A:D,2,FALSE))</f>
        <v>0</v>
      </c>
      <c r="I1342" s="77" t="str">
        <f t="shared" si="103"/>
        <v/>
      </c>
    </row>
    <row r="1343" spans="1:9" x14ac:dyDescent="0.25">
      <c r="A1343" s="203" t="str">
        <f>IF(DATA!M1273="","",DATA!M1273)</f>
        <v/>
      </c>
      <c r="B1343" s="203" t="str">
        <f>IF(DATA!N1273="","",DATA!N1273)</f>
        <v/>
      </c>
      <c r="C1343" s="203" t="str">
        <f>IF(DATA!O1273="","",DATA!O1273)</f>
        <v/>
      </c>
      <c r="D1343" s="203" t="str">
        <f>IF(DATA!P1273="","",DATA!P1273)</f>
        <v/>
      </c>
      <c r="E1343" s="13"/>
      <c r="F1343" s="5" t="str">
        <f t="shared" si="102"/>
        <v/>
      </c>
      <c r="G1343" s="1"/>
      <c r="H1343" s="77">
        <f>IF(G1343="",0,VLOOKUP(G1343,REFCE!A:D,2,FALSE))</f>
        <v>0</v>
      </c>
      <c r="I1343" s="77" t="str">
        <f t="shared" si="103"/>
        <v/>
      </c>
    </row>
    <row r="1344" spans="1:9" x14ac:dyDescent="0.25">
      <c r="A1344" s="203" t="str">
        <f>IF(DATA!M1274="","",DATA!M1274)</f>
        <v/>
      </c>
      <c r="B1344" s="203" t="str">
        <f>IF(DATA!N1274="","",DATA!N1274)</f>
        <v/>
      </c>
      <c r="C1344" s="203" t="str">
        <f>IF(DATA!O1274="","",DATA!O1274)</f>
        <v/>
      </c>
      <c r="D1344" s="203" t="str">
        <f>IF(DATA!P1274="","",DATA!P1274)</f>
        <v/>
      </c>
      <c r="E1344" s="13"/>
      <c r="F1344" s="5" t="str">
        <f t="shared" si="102"/>
        <v/>
      </c>
      <c r="G1344" s="1"/>
      <c r="H1344" s="77">
        <f>IF(G1344="",0,VLOOKUP(G1344,REFCE!A:D,2,FALSE))</f>
        <v>0</v>
      </c>
      <c r="I1344" s="77" t="str">
        <f t="shared" si="103"/>
        <v/>
      </c>
    </row>
    <row r="1345" spans="1:9" x14ac:dyDescent="0.25">
      <c r="A1345" s="203" t="str">
        <f>IF(DATA!M1275="","",DATA!M1275)</f>
        <v/>
      </c>
      <c r="B1345" s="203" t="str">
        <f>IF(DATA!N1275="","",DATA!N1275)</f>
        <v/>
      </c>
      <c r="C1345" s="203" t="str">
        <f>IF(DATA!O1275="","",DATA!O1275)</f>
        <v/>
      </c>
      <c r="D1345" s="203" t="str">
        <f>IF(DATA!P1275="","",DATA!P1275)</f>
        <v/>
      </c>
      <c r="E1345" s="13"/>
      <c r="F1345" s="5" t="str">
        <f t="shared" si="102"/>
        <v/>
      </c>
      <c r="G1345" s="1"/>
      <c r="H1345" s="77">
        <f>IF(G1345="",0,VLOOKUP(G1345,REFCE!A:D,2,FALSE))</f>
        <v>0</v>
      </c>
      <c r="I1345" s="77" t="str">
        <f t="shared" si="103"/>
        <v/>
      </c>
    </row>
    <row r="1346" spans="1:9" x14ac:dyDescent="0.25">
      <c r="A1346" s="203" t="str">
        <f>IF(DATA!M1276="","",DATA!M1276)</f>
        <v/>
      </c>
      <c r="B1346" s="203" t="str">
        <f>IF(DATA!N1276="","",DATA!N1276)</f>
        <v/>
      </c>
      <c r="C1346" s="203" t="str">
        <f>IF(DATA!O1276="","",DATA!O1276)</f>
        <v/>
      </c>
      <c r="D1346" s="203" t="str">
        <f>IF(DATA!P1276="","",DATA!P1276)</f>
        <v/>
      </c>
      <c r="E1346" s="13"/>
      <c r="F1346" s="5" t="str">
        <f t="shared" si="102"/>
        <v/>
      </c>
      <c r="G1346" s="1"/>
      <c r="H1346" s="77">
        <f>IF(G1346="",0,VLOOKUP(G1346,REFCE!A:D,2,FALSE))</f>
        <v>0</v>
      </c>
      <c r="I1346" s="77" t="str">
        <f t="shared" si="103"/>
        <v/>
      </c>
    </row>
    <row r="1347" spans="1:9" x14ac:dyDescent="0.25">
      <c r="A1347" s="203" t="str">
        <f>IF(DATA!M1277="","",DATA!M1277)</f>
        <v/>
      </c>
      <c r="B1347" s="203" t="str">
        <f>IF(DATA!N1277="","",DATA!N1277)</f>
        <v/>
      </c>
      <c r="C1347" s="203" t="str">
        <f>IF(DATA!O1277="","",DATA!O1277)</f>
        <v/>
      </c>
      <c r="D1347" s="203" t="str">
        <f>IF(DATA!P1277="","",DATA!P1277)</f>
        <v/>
      </c>
      <c r="E1347" s="13"/>
      <c r="F1347" s="5" t="str">
        <f t="shared" si="102"/>
        <v/>
      </c>
      <c r="G1347" s="1"/>
      <c r="H1347" s="77">
        <f>IF(G1347="",0,VLOOKUP(G1347,REFCE!A:D,2,FALSE))</f>
        <v>0</v>
      </c>
      <c r="I1347" s="77" t="str">
        <f t="shared" si="103"/>
        <v/>
      </c>
    </row>
    <row r="1348" spans="1:9" x14ac:dyDescent="0.25">
      <c r="A1348" s="203" t="str">
        <f>IF(DATA!M1278="","",DATA!M1278)</f>
        <v/>
      </c>
      <c r="B1348" s="203" t="str">
        <f>IF(DATA!N1278="","",DATA!N1278)</f>
        <v/>
      </c>
      <c r="C1348" s="203" t="str">
        <f>IF(DATA!O1278="","",DATA!O1278)</f>
        <v/>
      </c>
      <c r="D1348" s="203" t="str">
        <f>IF(DATA!P1278="","",DATA!P1278)</f>
        <v/>
      </c>
      <c r="E1348" s="13"/>
      <c r="F1348" s="5" t="str">
        <f t="shared" si="102"/>
        <v/>
      </c>
      <c r="G1348" s="1"/>
      <c r="H1348" s="77">
        <f>IF(G1348="",0,VLOOKUP(G1348,REFCE!A:D,2,FALSE))</f>
        <v>0</v>
      </c>
      <c r="I1348" s="77" t="str">
        <f t="shared" si="103"/>
        <v/>
      </c>
    </row>
    <row r="1349" spans="1:9" x14ac:dyDescent="0.25">
      <c r="A1349" s="203" t="str">
        <f>IF(DATA!M1279="","",DATA!M1279)</f>
        <v/>
      </c>
      <c r="B1349" s="203" t="str">
        <f>IF(DATA!N1279="","",DATA!N1279)</f>
        <v/>
      </c>
      <c r="C1349" s="203" t="str">
        <f>IF(DATA!O1279="","",DATA!O1279)</f>
        <v/>
      </c>
      <c r="D1349" s="203" t="str">
        <f>IF(DATA!P1279="","",DATA!P1279)</f>
        <v/>
      </c>
      <c r="E1349" s="13"/>
      <c r="F1349" s="5" t="str">
        <f t="shared" si="102"/>
        <v/>
      </c>
      <c r="G1349" s="1"/>
      <c r="H1349" s="77">
        <f>IF(G1349="",0,VLOOKUP(G1349,REFCE!A:D,2,FALSE))</f>
        <v>0</v>
      </c>
      <c r="I1349" s="77" t="str">
        <f t="shared" si="103"/>
        <v/>
      </c>
    </row>
    <row r="1350" spans="1:9" x14ac:dyDescent="0.25">
      <c r="A1350" s="203" t="str">
        <f>IF(DATA!M1280="","",DATA!M1280)</f>
        <v/>
      </c>
      <c r="B1350" s="203" t="str">
        <f>IF(DATA!N1280="","",DATA!N1280)</f>
        <v/>
      </c>
      <c r="C1350" s="203" t="str">
        <f>IF(DATA!O1280="","",DATA!O1280)</f>
        <v/>
      </c>
      <c r="D1350" s="203" t="str">
        <f>IF(DATA!P1280="","",DATA!P1280)</f>
        <v/>
      </c>
      <c r="E1350" s="13"/>
      <c r="F1350" s="5" t="str">
        <f t="shared" si="102"/>
        <v/>
      </c>
      <c r="G1350" s="1"/>
      <c r="H1350" s="77">
        <f>IF(G1350="",0,VLOOKUP(G1350,REFCE!A:D,2,FALSE))</f>
        <v>0</v>
      </c>
      <c r="I1350" s="77" t="str">
        <f t="shared" si="103"/>
        <v/>
      </c>
    </row>
    <row r="1351" spans="1:9" x14ac:dyDescent="0.25">
      <c r="A1351" s="203" t="str">
        <f>IF(DATA!M1281="","",DATA!M1281)</f>
        <v/>
      </c>
      <c r="B1351" s="203" t="str">
        <f>IF(DATA!N1281="","",DATA!N1281)</f>
        <v/>
      </c>
      <c r="C1351" s="203" t="str">
        <f>IF(DATA!O1281="","",DATA!O1281)</f>
        <v/>
      </c>
      <c r="D1351" s="203" t="str">
        <f>IF(DATA!P1281="","",DATA!P1281)</f>
        <v/>
      </c>
      <c r="E1351" s="13"/>
      <c r="F1351" s="5" t="str">
        <f t="shared" si="102"/>
        <v/>
      </c>
      <c r="G1351" s="1"/>
      <c r="H1351" s="77">
        <f>IF(G1351="",0,VLOOKUP(G1351,REFCE!A:D,2,FALSE))</f>
        <v>0</v>
      </c>
      <c r="I1351" s="77" t="str">
        <f t="shared" si="103"/>
        <v/>
      </c>
    </row>
    <row r="1352" spans="1:9" x14ac:dyDescent="0.25">
      <c r="A1352" s="203" t="str">
        <f>IF(DATA!M1282="","",DATA!M1282)</f>
        <v/>
      </c>
      <c r="B1352" s="203" t="str">
        <f>IF(DATA!N1282="","",DATA!N1282)</f>
        <v/>
      </c>
      <c r="C1352" s="203" t="str">
        <f>IF(DATA!O1282="","",DATA!O1282)</f>
        <v/>
      </c>
      <c r="D1352" s="203" t="str">
        <f>IF(DATA!P1282="","",DATA!P1282)</f>
        <v/>
      </c>
      <c r="E1352" s="13"/>
      <c r="F1352" s="5" t="str">
        <f t="shared" si="102"/>
        <v/>
      </c>
      <c r="G1352" s="1"/>
      <c r="H1352" s="77">
        <f>IF(G1352="",0,VLOOKUP(G1352,REFCE!A:D,2,FALSE))</f>
        <v>0</v>
      </c>
      <c r="I1352" s="77" t="str">
        <f t="shared" si="103"/>
        <v/>
      </c>
    </row>
    <row r="1353" spans="1:9" x14ac:dyDescent="0.25">
      <c r="A1353" s="203" t="str">
        <f>IF(DATA!M1283="","",DATA!M1283)</f>
        <v/>
      </c>
      <c r="B1353" s="203" t="str">
        <f>IF(DATA!N1283="","",DATA!N1283)</f>
        <v/>
      </c>
      <c r="C1353" s="203" t="str">
        <f>IF(DATA!O1283="","",DATA!O1283)</f>
        <v/>
      </c>
      <c r="D1353" s="203" t="str">
        <f>IF(DATA!P1283="","",DATA!P1283)</f>
        <v/>
      </c>
      <c r="E1353" s="13"/>
      <c r="F1353" s="5" t="str">
        <f t="shared" si="102"/>
        <v/>
      </c>
      <c r="G1353" s="1"/>
      <c r="H1353" s="77">
        <f>IF(G1353="",0,VLOOKUP(G1353,REFCE!A:D,2,FALSE))</f>
        <v>0</v>
      </c>
      <c r="I1353" s="77" t="str">
        <f t="shared" si="103"/>
        <v/>
      </c>
    </row>
    <row r="1354" spans="1:9" x14ac:dyDescent="0.25">
      <c r="A1354" s="203" t="str">
        <f>IF(DATA!M1284="","",DATA!M1284)</f>
        <v/>
      </c>
      <c r="B1354" s="203" t="str">
        <f>IF(DATA!N1284="","",DATA!N1284)</f>
        <v/>
      </c>
      <c r="C1354" s="203" t="str">
        <f>IF(DATA!O1284="","",DATA!O1284)</f>
        <v/>
      </c>
      <c r="D1354" s="203" t="str">
        <f>IF(DATA!P1284="","",DATA!P1284)</f>
        <v/>
      </c>
      <c r="E1354" s="13"/>
      <c r="F1354" s="5" t="str">
        <f t="shared" si="102"/>
        <v/>
      </c>
      <c r="G1354" s="1"/>
      <c r="H1354" s="77">
        <f>IF(G1354="",0,VLOOKUP(G1354,REFCE!A:D,2,FALSE))</f>
        <v>0</v>
      </c>
      <c r="I1354" s="77" t="str">
        <f t="shared" si="103"/>
        <v/>
      </c>
    </row>
    <row r="1355" spans="1:9" x14ac:dyDescent="0.25">
      <c r="A1355" s="203" t="str">
        <f>IF(DATA!M1285="","",DATA!M1285)</f>
        <v/>
      </c>
      <c r="B1355" s="203" t="str">
        <f>IF(DATA!N1285="","",DATA!N1285)</f>
        <v/>
      </c>
      <c r="C1355" s="203" t="str">
        <f>IF(DATA!O1285="","",DATA!O1285)</f>
        <v/>
      </c>
      <c r="D1355" s="203" t="str">
        <f>IF(DATA!P1285="","",DATA!P1285)</f>
        <v/>
      </c>
      <c r="E1355" s="13"/>
      <c r="F1355" s="5" t="str">
        <f t="shared" si="102"/>
        <v/>
      </c>
      <c r="G1355" s="1"/>
      <c r="H1355" s="77">
        <f>IF(G1355="",0,VLOOKUP(G1355,REFCE!A:D,2,FALSE))</f>
        <v>0</v>
      </c>
      <c r="I1355" s="77" t="str">
        <f t="shared" si="103"/>
        <v/>
      </c>
    </row>
    <row r="1356" spans="1:9" x14ac:dyDescent="0.25">
      <c r="A1356" s="203" t="str">
        <f>IF(DATA!M1286="","",DATA!M1286)</f>
        <v/>
      </c>
      <c r="B1356" s="203" t="str">
        <f>IF(DATA!N1286="","",DATA!N1286)</f>
        <v/>
      </c>
      <c r="C1356" s="203" t="str">
        <f>IF(DATA!O1286="","",DATA!O1286)</f>
        <v/>
      </c>
      <c r="D1356" s="203" t="str">
        <f>IF(DATA!P1286="","",DATA!P1286)</f>
        <v/>
      </c>
      <c r="E1356" s="13"/>
      <c r="F1356" s="5" t="str">
        <f t="shared" si="102"/>
        <v/>
      </c>
      <c r="G1356" s="1"/>
      <c r="H1356" s="77">
        <f>IF(G1356="",0,VLOOKUP(G1356,REFCE!A:D,2,FALSE))</f>
        <v>0</v>
      </c>
      <c r="I1356" s="77" t="str">
        <f t="shared" si="103"/>
        <v/>
      </c>
    </row>
    <row r="1357" spans="1:9" x14ac:dyDescent="0.25">
      <c r="A1357" s="203" t="str">
        <f>IF(DATA!M1287="","",DATA!M1287)</f>
        <v/>
      </c>
      <c r="B1357" s="203" t="str">
        <f>IF(DATA!N1287="","",DATA!N1287)</f>
        <v/>
      </c>
      <c r="C1357" s="203" t="str">
        <f>IF(DATA!O1287="","",DATA!O1287)</f>
        <v/>
      </c>
      <c r="D1357" s="203" t="str">
        <f>IF(DATA!P1287="","",DATA!P1287)</f>
        <v/>
      </c>
      <c r="E1357" s="13"/>
      <c r="F1357" s="5" t="str">
        <f t="shared" si="102"/>
        <v/>
      </c>
      <c r="G1357" s="1"/>
      <c r="H1357" s="77">
        <f>IF(G1357="",0,VLOOKUP(G1357,REFCE!A:D,2,FALSE))</f>
        <v>0</v>
      </c>
      <c r="I1357" s="77" t="str">
        <f t="shared" si="103"/>
        <v/>
      </c>
    </row>
    <row r="1358" spans="1:9" x14ac:dyDescent="0.25">
      <c r="A1358" s="203" t="str">
        <f>IF(DATA!M1288="","",DATA!M1288)</f>
        <v/>
      </c>
      <c r="B1358" s="203" t="str">
        <f>IF(DATA!N1288="","",DATA!N1288)</f>
        <v/>
      </c>
      <c r="C1358" s="203" t="str">
        <f>IF(DATA!O1288="","",DATA!O1288)</f>
        <v/>
      </c>
      <c r="D1358" s="203" t="str">
        <f>IF(DATA!P1288="","",DATA!P1288)</f>
        <v/>
      </c>
      <c r="E1358" s="13"/>
      <c r="F1358" s="5" t="str">
        <f t="shared" ref="F1358:F1421" si="104">IF(D1358="","",D1358*E1358)</f>
        <v/>
      </c>
      <c r="G1358" s="1"/>
      <c r="H1358" s="77">
        <f>IF(G1358="",0,VLOOKUP(G1358,REFCE!A:D,2,FALSE))</f>
        <v>0</v>
      </c>
      <c r="I1358" s="77" t="str">
        <f t="shared" ref="I1358:I1421" si="105">IF(F1358="","",F1358*H1358)</f>
        <v/>
      </c>
    </row>
    <row r="1359" spans="1:9" x14ac:dyDescent="0.25">
      <c r="A1359" s="203" t="str">
        <f>IF(DATA!M1289="","",DATA!M1289)</f>
        <v/>
      </c>
      <c r="B1359" s="203" t="str">
        <f>IF(DATA!N1289="","",DATA!N1289)</f>
        <v/>
      </c>
      <c r="C1359" s="203" t="str">
        <f>IF(DATA!O1289="","",DATA!O1289)</f>
        <v/>
      </c>
      <c r="D1359" s="203" t="str">
        <f>IF(DATA!P1289="","",DATA!P1289)</f>
        <v/>
      </c>
      <c r="E1359" s="13"/>
      <c r="F1359" s="5" t="str">
        <f t="shared" si="104"/>
        <v/>
      </c>
      <c r="G1359" s="1"/>
      <c r="H1359" s="77">
        <f>IF(G1359="",0,VLOOKUP(G1359,REFCE!A:D,2,FALSE))</f>
        <v>0</v>
      </c>
      <c r="I1359" s="77" t="str">
        <f t="shared" si="105"/>
        <v/>
      </c>
    </row>
    <row r="1360" spans="1:9" x14ac:dyDescent="0.25">
      <c r="A1360" s="203" t="str">
        <f>IF(DATA!M1290="","",DATA!M1290)</f>
        <v/>
      </c>
      <c r="B1360" s="203" t="str">
        <f>IF(DATA!N1290="","",DATA!N1290)</f>
        <v/>
      </c>
      <c r="C1360" s="203" t="str">
        <f>IF(DATA!O1290="","",DATA!O1290)</f>
        <v/>
      </c>
      <c r="D1360" s="203" t="str">
        <f>IF(DATA!P1290="","",DATA!P1290)</f>
        <v/>
      </c>
      <c r="E1360" s="13"/>
      <c r="F1360" s="5" t="str">
        <f t="shared" si="104"/>
        <v/>
      </c>
      <c r="G1360" s="1"/>
      <c r="H1360" s="77">
        <f>IF(G1360="",0,VLOOKUP(G1360,REFCE!A:D,2,FALSE))</f>
        <v>0</v>
      </c>
      <c r="I1360" s="77" t="str">
        <f t="shared" si="105"/>
        <v/>
      </c>
    </row>
    <row r="1361" spans="1:9" x14ac:dyDescent="0.25">
      <c r="A1361" s="203" t="str">
        <f>IF(DATA!M1291="","",DATA!M1291)</f>
        <v/>
      </c>
      <c r="B1361" s="203" t="str">
        <f>IF(DATA!N1291="","",DATA!N1291)</f>
        <v/>
      </c>
      <c r="C1361" s="203" t="str">
        <f>IF(DATA!O1291="","",DATA!O1291)</f>
        <v/>
      </c>
      <c r="D1361" s="203" t="str">
        <f>IF(DATA!P1291="","",DATA!P1291)</f>
        <v/>
      </c>
      <c r="E1361" s="13"/>
      <c r="F1361" s="5" t="str">
        <f t="shared" si="104"/>
        <v/>
      </c>
      <c r="G1361" s="1"/>
      <c r="H1361" s="77">
        <f>IF(G1361="",0,VLOOKUP(G1361,REFCE!A:D,2,FALSE))</f>
        <v>0</v>
      </c>
      <c r="I1361" s="77" t="str">
        <f t="shared" si="105"/>
        <v/>
      </c>
    </row>
    <row r="1362" spans="1:9" x14ac:dyDescent="0.25">
      <c r="A1362" s="203" t="str">
        <f>IF(DATA!M1292="","",DATA!M1292)</f>
        <v/>
      </c>
      <c r="B1362" s="203" t="str">
        <f>IF(DATA!N1292="","",DATA!N1292)</f>
        <v/>
      </c>
      <c r="C1362" s="203" t="str">
        <f>IF(DATA!O1292="","",DATA!O1292)</f>
        <v/>
      </c>
      <c r="D1362" s="203" t="str">
        <f>IF(DATA!P1292="","",DATA!P1292)</f>
        <v/>
      </c>
      <c r="E1362" s="13"/>
      <c r="F1362" s="5" t="str">
        <f t="shared" si="104"/>
        <v/>
      </c>
      <c r="G1362" s="1"/>
      <c r="H1362" s="77">
        <f>IF(G1362="",0,VLOOKUP(G1362,REFCE!A:D,2,FALSE))</f>
        <v>0</v>
      </c>
      <c r="I1362" s="77" t="str">
        <f t="shared" si="105"/>
        <v/>
      </c>
    </row>
    <row r="1363" spans="1:9" x14ac:dyDescent="0.25">
      <c r="A1363" s="203" t="str">
        <f>IF(DATA!M1293="","",DATA!M1293)</f>
        <v/>
      </c>
      <c r="B1363" s="203" t="str">
        <f>IF(DATA!N1293="","",DATA!N1293)</f>
        <v/>
      </c>
      <c r="C1363" s="203" t="str">
        <f>IF(DATA!O1293="","",DATA!O1293)</f>
        <v/>
      </c>
      <c r="D1363" s="203" t="str">
        <f>IF(DATA!P1293="","",DATA!P1293)</f>
        <v/>
      </c>
      <c r="E1363" s="13"/>
      <c r="F1363" s="5" t="str">
        <f t="shared" si="104"/>
        <v/>
      </c>
      <c r="G1363" s="1"/>
      <c r="H1363" s="77">
        <f>IF(G1363="",0,VLOOKUP(G1363,REFCE!A:D,2,FALSE))</f>
        <v>0</v>
      </c>
      <c r="I1363" s="77" t="str">
        <f t="shared" si="105"/>
        <v/>
      </c>
    </row>
    <row r="1364" spans="1:9" x14ac:dyDescent="0.25">
      <c r="A1364" s="203" t="str">
        <f>IF(DATA!M1294="","",DATA!M1294)</f>
        <v/>
      </c>
      <c r="B1364" s="203" t="str">
        <f>IF(DATA!N1294="","",DATA!N1294)</f>
        <v/>
      </c>
      <c r="C1364" s="203" t="str">
        <f>IF(DATA!O1294="","",DATA!O1294)</f>
        <v/>
      </c>
      <c r="D1364" s="203" t="str">
        <f>IF(DATA!P1294="","",DATA!P1294)</f>
        <v/>
      </c>
      <c r="E1364" s="13"/>
      <c r="F1364" s="5" t="str">
        <f t="shared" si="104"/>
        <v/>
      </c>
      <c r="G1364" s="1"/>
      <c r="H1364" s="77">
        <f>IF(G1364="",0,VLOOKUP(G1364,REFCE!A:D,2,FALSE))</f>
        <v>0</v>
      </c>
      <c r="I1364" s="77" t="str">
        <f t="shared" si="105"/>
        <v/>
      </c>
    </row>
    <row r="1365" spans="1:9" x14ac:dyDescent="0.25">
      <c r="A1365" s="203" t="str">
        <f>IF(DATA!M1295="","",DATA!M1295)</f>
        <v/>
      </c>
      <c r="B1365" s="203" t="str">
        <f>IF(DATA!N1295="","",DATA!N1295)</f>
        <v/>
      </c>
      <c r="C1365" s="203" t="str">
        <f>IF(DATA!O1295="","",DATA!O1295)</f>
        <v/>
      </c>
      <c r="D1365" s="203" t="str">
        <f>IF(DATA!P1295="","",DATA!P1295)</f>
        <v/>
      </c>
      <c r="E1365" s="13"/>
      <c r="F1365" s="5" t="str">
        <f t="shared" si="104"/>
        <v/>
      </c>
      <c r="G1365" s="1"/>
      <c r="H1365" s="77">
        <f>IF(G1365="",0,VLOOKUP(G1365,REFCE!A:D,2,FALSE))</f>
        <v>0</v>
      </c>
      <c r="I1365" s="77" t="str">
        <f t="shared" si="105"/>
        <v/>
      </c>
    </row>
    <row r="1366" spans="1:9" x14ac:dyDescent="0.25">
      <c r="A1366" s="203" t="str">
        <f>IF(DATA!M1296="","",DATA!M1296)</f>
        <v/>
      </c>
      <c r="B1366" s="203" t="str">
        <f>IF(DATA!N1296="","",DATA!N1296)</f>
        <v/>
      </c>
      <c r="C1366" s="203" t="str">
        <f>IF(DATA!O1296="","",DATA!O1296)</f>
        <v/>
      </c>
      <c r="D1366" s="203" t="str">
        <f>IF(DATA!P1296="","",DATA!P1296)</f>
        <v/>
      </c>
      <c r="E1366" s="13"/>
      <c r="F1366" s="5" t="str">
        <f t="shared" si="104"/>
        <v/>
      </c>
      <c r="G1366" s="1"/>
      <c r="H1366" s="77">
        <f>IF(G1366="",0,VLOOKUP(G1366,REFCE!A:D,2,FALSE))</f>
        <v>0</v>
      </c>
      <c r="I1366" s="77" t="str">
        <f t="shared" si="105"/>
        <v/>
      </c>
    </row>
    <row r="1367" spans="1:9" x14ac:dyDescent="0.25">
      <c r="A1367" s="203" t="str">
        <f>IF(DATA!M1297="","",DATA!M1297)</f>
        <v/>
      </c>
      <c r="B1367" s="203" t="str">
        <f>IF(DATA!N1297="","",DATA!N1297)</f>
        <v/>
      </c>
      <c r="C1367" s="203" t="str">
        <f>IF(DATA!O1297="","",DATA!O1297)</f>
        <v/>
      </c>
      <c r="D1367" s="203" t="str">
        <f>IF(DATA!P1297="","",DATA!P1297)</f>
        <v/>
      </c>
      <c r="E1367" s="13"/>
      <c r="F1367" s="5" t="str">
        <f t="shared" si="104"/>
        <v/>
      </c>
      <c r="G1367" s="1"/>
      <c r="H1367" s="77">
        <f>IF(G1367="",0,VLOOKUP(G1367,REFCE!A:D,2,FALSE))</f>
        <v>0</v>
      </c>
      <c r="I1367" s="77" t="str">
        <f t="shared" si="105"/>
        <v/>
      </c>
    </row>
    <row r="1368" spans="1:9" x14ac:dyDescent="0.25">
      <c r="A1368" s="203" t="str">
        <f>IF(DATA!M1298="","",DATA!M1298)</f>
        <v/>
      </c>
      <c r="B1368" s="203" t="str">
        <f>IF(DATA!N1298="","",DATA!N1298)</f>
        <v/>
      </c>
      <c r="C1368" s="203" t="str">
        <f>IF(DATA!O1298="","",DATA!O1298)</f>
        <v/>
      </c>
      <c r="D1368" s="203" t="str">
        <f>IF(DATA!P1298="","",DATA!P1298)</f>
        <v/>
      </c>
      <c r="E1368" s="13"/>
      <c r="F1368" s="5" t="str">
        <f t="shared" si="104"/>
        <v/>
      </c>
      <c r="G1368" s="1"/>
      <c r="H1368" s="77">
        <f>IF(G1368="",0,VLOOKUP(G1368,REFCE!A:D,2,FALSE))</f>
        <v>0</v>
      </c>
      <c r="I1368" s="77" t="str">
        <f t="shared" si="105"/>
        <v/>
      </c>
    </row>
    <row r="1369" spans="1:9" x14ac:dyDescent="0.25">
      <c r="A1369" s="203" t="str">
        <f>IF(DATA!M1299="","",DATA!M1299)</f>
        <v/>
      </c>
      <c r="B1369" s="203" t="str">
        <f>IF(DATA!N1299="","",DATA!N1299)</f>
        <v/>
      </c>
      <c r="C1369" s="203" t="str">
        <f>IF(DATA!O1299="","",DATA!O1299)</f>
        <v/>
      </c>
      <c r="D1369" s="203" t="str">
        <f>IF(DATA!P1299="","",DATA!P1299)</f>
        <v/>
      </c>
      <c r="E1369" s="13"/>
      <c r="F1369" s="5" t="str">
        <f t="shared" si="104"/>
        <v/>
      </c>
      <c r="G1369" s="1"/>
      <c r="H1369" s="77">
        <f>IF(G1369="",0,VLOOKUP(G1369,REFCE!A:D,2,FALSE))</f>
        <v>0</v>
      </c>
      <c r="I1369" s="77" t="str">
        <f t="shared" si="105"/>
        <v/>
      </c>
    </row>
    <row r="1370" spans="1:9" x14ac:dyDescent="0.25">
      <c r="A1370" s="203" t="str">
        <f>IF(DATA!M1300="","",DATA!M1300)</f>
        <v/>
      </c>
      <c r="B1370" s="203" t="str">
        <f>IF(DATA!N1300="","",DATA!N1300)</f>
        <v/>
      </c>
      <c r="C1370" s="203" t="str">
        <f>IF(DATA!O1300="","",DATA!O1300)</f>
        <v/>
      </c>
      <c r="D1370" s="203" t="str">
        <f>IF(DATA!P1300="","",DATA!P1300)</f>
        <v/>
      </c>
      <c r="E1370" s="13"/>
      <c r="F1370" s="5" t="str">
        <f t="shared" si="104"/>
        <v/>
      </c>
      <c r="G1370" s="1"/>
      <c r="H1370" s="77">
        <f>IF(G1370="",0,VLOOKUP(G1370,REFCE!A:D,2,FALSE))</f>
        <v>0</v>
      </c>
      <c r="I1370" s="77" t="str">
        <f t="shared" si="105"/>
        <v/>
      </c>
    </row>
    <row r="1371" spans="1:9" x14ac:dyDescent="0.25">
      <c r="A1371" s="203" t="str">
        <f>IF(DATA!M1301="","",DATA!M1301)</f>
        <v/>
      </c>
      <c r="B1371" s="203" t="str">
        <f>IF(DATA!N1301="","",DATA!N1301)</f>
        <v/>
      </c>
      <c r="C1371" s="203" t="str">
        <f>IF(DATA!O1301="","",DATA!O1301)</f>
        <v/>
      </c>
      <c r="D1371" s="203" t="str">
        <f>IF(DATA!P1301="","",DATA!P1301)</f>
        <v/>
      </c>
      <c r="E1371" s="13"/>
      <c r="F1371" s="5" t="str">
        <f t="shared" si="104"/>
        <v/>
      </c>
      <c r="G1371" s="1"/>
      <c r="H1371" s="77">
        <f>IF(G1371="",0,VLOOKUP(G1371,REFCE!A:D,2,FALSE))</f>
        <v>0</v>
      </c>
      <c r="I1371" s="77" t="str">
        <f t="shared" si="105"/>
        <v/>
      </c>
    </row>
    <row r="1372" spans="1:9" x14ac:dyDescent="0.25">
      <c r="A1372" s="203" t="str">
        <f>IF(DATA!M1302="","",DATA!M1302)</f>
        <v/>
      </c>
      <c r="B1372" s="203" t="str">
        <f>IF(DATA!N1302="","",DATA!N1302)</f>
        <v/>
      </c>
      <c r="C1372" s="203" t="str">
        <f>IF(DATA!O1302="","",DATA!O1302)</f>
        <v/>
      </c>
      <c r="D1372" s="203" t="str">
        <f>IF(DATA!P1302="","",DATA!P1302)</f>
        <v/>
      </c>
      <c r="E1372" s="13"/>
      <c r="F1372" s="5" t="str">
        <f t="shared" si="104"/>
        <v/>
      </c>
      <c r="G1372" s="1"/>
      <c r="H1372" s="77">
        <f>IF(G1372="",0,VLOOKUP(G1372,REFCE!A:D,2,FALSE))</f>
        <v>0</v>
      </c>
      <c r="I1372" s="77" t="str">
        <f t="shared" si="105"/>
        <v/>
      </c>
    </row>
    <row r="1373" spans="1:9" x14ac:dyDescent="0.25">
      <c r="A1373" s="203" t="str">
        <f>IF(DATA!M1303="","",DATA!M1303)</f>
        <v/>
      </c>
      <c r="B1373" s="203" t="str">
        <f>IF(DATA!N1303="","",DATA!N1303)</f>
        <v/>
      </c>
      <c r="C1373" s="203" t="str">
        <f>IF(DATA!O1303="","",DATA!O1303)</f>
        <v/>
      </c>
      <c r="D1373" s="203" t="str">
        <f>IF(DATA!P1303="","",DATA!P1303)</f>
        <v/>
      </c>
      <c r="E1373" s="13"/>
      <c r="F1373" s="5" t="str">
        <f t="shared" si="104"/>
        <v/>
      </c>
      <c r="G1373" s="1"/>
      <c r="H1373" s="77">
        <f>IF(G1373="",0,VLOOKUP(G1373,REFCE!A:D,2,FALSE))</f>
        <v>0</v>
      </c>
      <c r="I1373" s="77" t="str">
        <f t="shared" si="105"/>
        <v/>
      </c>
    </row>
    <row r="1374" spans="1:9" x14ac:dyDescent="0.25">
      <c r="A1374" s="203" t="str">
        <f>IF(DATA!M1304="","",DATA!M1304)</f>
        <v/>
      </c>
      <c r="B1374" s="203" t="str">
        <f>IF(DATA!N1304="","",DATA!N1304)</f>
        <v/>
      </c>
      <c r="C1374" s="203" t="str">
        <f>IF(DATA!O1304="","",DATA!O1304)</f>
        <v/>
      </c>
      <c r="D1374" s="203" t="str">
        <f>IF(DATA!P1304="","",DATA!P1304)</f>
        <v/>
      </c>
      <c r="E1374" s="13"/>
      <c r="F1374" s="5" t="str">
        <f t="shared" si="104"/>
        <v/>
      </c>
      <c r="G1374" s="1"/>
      <c r="H1374" s="77">
        <f>IF(G1374="",0,VLOOKUP(G1374,REFCE!A:D,2,FALSE))</f>
        <v>0</v>
      </c>
      <c r="I1374" s="77" t="str">
        <f t="shared" si="105"/>
        <v/>
      </c>
    </row>
    <row r="1375" spans="1:9" x14ac:dyDescent="0.25">
      <c r="A1375" s="203" t="str">
        <f>IF(DATA!M1305="","",DATA!M1305)</f>
        <v/>
      </c>
      <c r="B1375" s="203" t="str">
        <f>IF(DATA!N1305="","",DATA!N1305)</f>
        <v/>
      </c>
      <c r="C1375" s="203" t="str">
        <f>IF(DATA!O1305="","",DATA!O1305)</f>
        <v/>
      </c>
      <c r="D1375" s="203" t="str">
        <f>IF(DATA!P1305="","",DATA!P1305)</f>
        <v/>
      </c>
      <c r="E1375" s="13"/>
      <c r="F1375" s="5" t="str">
        <f t="shared" si="104"/>
        <v/>
      </c>
      <c r="G1375" s="1"/>
      <c r="H1375" s="77">
        <f>IF(G1375="",0,VLOOKUP(G1375,REFCE!A:D,2,FALSE))</f>
        <v>0</v>
      </c>
      <c r="I1375" s="77" t="str">
        <f t="shared" si="105"/>
        <v/>
      </c>
    </row>
    <row r="1376" spans="1:9" x14ac:dyDescent="0.25">
      <c r="A1376" s="203" t="str">
        <f>IF(DATA!M1306="","",DATA!M1306)</f>
        <v/>
      </c>
      <c r="B1376" s="203" t="str">
        <f>IF(DATA!N1306="","",DATA!N1306)</f>
        <v/>
      </c>
      <c r="C1376" s="203" t="str">
        <f>IF(DATA!O1306="","",DATA!O1306)</f>
        <v/>
      </c>
      <c r="D1376" s="203" t="str">
        <f>IF(DATA!P1306="","",DATA!P1306)</f>
        <v/>
      </c>
      <c r="E1376" s="13"/>
      <c r="F1376" s="5" t="str">
        <f t="shared" si="104"/>
        <v/>
      </c>
      <c r="G1376" s="1"/>
      <c r="H1376" s="77">
        <f>IF(G1376="",0,VLOOKUP(G1376,REFCE!A:D,2,FALSE))</f>
        <v>0</v>
      </c>
      <c r="I1376" s="77" t="str">
        <f t="shared" si="105"/>
        <v/>
      </c>
    </row>
    <row r="1377" spans="1:9" x14ac:dyDescent="0.25">
      <c r="A1377" s="203" t="str">
        <f>IF(DATA!M1307="","",DATA!M1307)</f>
        <v/>
      </c>
      <c r="B1377" s="203" t="str">
        <f>IF(DATA!N1307="","",DATA!N1307)</f>
        <v/>
      </c>
      <c r="C1377" s="203" t="str">
        <f>IF(DATA!O1307="","",DATA!O1307)</f>
        <v/>
      </c>
      <c r="D1377" s="203" t="str">
        <f>IF(DATA!P1307="","",DATA!P1307)</f>
        <v/>
      </c>
      <c r="E1377" s="13"/>
      <c r="F1377" s="5" t="str">
        <f t="shared" si="104"/>
        <v/>
      </c>
      <c r="G1377" s="1"/>
      <c r="H1377" s="77">
        <f>IF(G1377="",0,VLOOKUP(G1377,REFCE!A:D,2,FALSE))</f>
        <v>0</v>
      </c>
      <c r="I1377" s="77" t="str">
        <f t="shared" si="105"/>
        <v/>
      </c>
    </row>
    <row r="1378" spans="1:9" x14ac:dyDescent="0.25">
      <c r="A1378" s="203" t="str">
        <f>IF(DATA!M1308="","",DATA!M1308)</f>
        <v/>
      </c>
      <c r="B1378" s="203" t="str">
        <f>IF(DATA!N1308="","",DATA!N1308)</f>
        <v/>
      </c>
      <c r="C1378" s="203" t="str">
        <f>IF(DATA!O1308="","",DATA!O1308)</f>
        <v/>
      </c>
      <c r="D1378" s="203" t="str">
        <f>IF(DATA!P1308="","",DATA!P1308)</f>
        <v/>
      </c>
      <c r="E1378" s="13"/>
      <c r="F1378" s="5" t="str">
        <f t="shared" si="104"/>
        <v/>
      </c>
      <c r="G1378" s="1"/>
      <c r="H1378" s="77">
        <f>IF(G1378="",0,VLOOKUP(G1378,REFCE!A:D,2,FALSE))</f>
        <v>0</v>
      </c>
      <c r="I1378" s="77" t="str">
        <f t="shared" si="105"/>
        <v/>
      </c>
    </row>
    <row r="1379" spans="1:9" x14ac:dyDescent="0.25">
      <c r="A1379" s="203" t="str">
        <f>IF(DATA!M1309="","",DATA!M1309)</f>
        <v/>
      </c>
      <c r="B1379" s="203" t="str">
        <f>IF(DATA!N1309="","",DATA!N1309)</f>
        <v/>
      </c>
      <c r="C1379" s="203" t="str">
        <f>IF(DATA!O1309="","",DATA!O1309)</f>
        <v/>
      </c>
      <c r="D1379" s="203" t="str">
        <f>IF(DATA!P1309="","",DATA!P1309)</f>
        <v/>
      </c>
      <c r="E1379" s="13"/>
      <c r="F1379" s="5" t="str">
        <f t="shared" si="104"/>
        <v/>
      </c>
      <c r="G1379" s="1"/>
      <c r="H1379" s="77">
        <f>IF(G1379="",0,VLOOKUP(G1379,REFCE!A:D,2,FALSE))</f>
        <v>0</v>
      </c>
      <c r="I1379" s="77" t="str">
        <f t="shared" si="105"/>
        <v/>
      </c>
    </row>
    <row r="1380" spans="1:9" x14ac:dyDescent="0.25">
      <c r="A1380" s="203" t="str">
        <f>IF(DATA!M1310="","",DATA!M1310)</f>
        <v/>
      </c>
      <c r="B1380" s="203" t="str">
        <f>IF(DATA!N1310="","",DATA!N1310)</f>
        <v/>
      </c>
      <c r="C1380" s="203" t="str">
        <f>IF(DATA!O1310="","",DATA!O1310)</f>
        <v/>
      </c>
      <c r="D1380" s="203" t="str">
        <f>IF(DATA!P1310="","",DATA!P1310)</f>
        <v/>
      </c>
      <c r="E1380" s="13"/>
      <c r="F1380" s="5" t="str">
        <f t="shared" si="104"/>
        <v/>
      </c>
      <c r="G1380" s="1"/>
      <c r="H1380" s="77">
        <f>IF(G1380="",0,VLOOKUP(G1380,REFCE!A:D,2,FALSE))</f>
        <v>0</v>
      </c>
      <c r="I1380" s="77" t="str">
        <f t="shared" si="105"/>
        <v/>
      </c>
    </row>
    <row r="1381" spans="1:9" x14ac:dyDescent="0.25">
      <c r="A1381" s="203" t="str">
        <f>IF(DATA!M1311="","",DATA!M1311)</f>
        <v/>
      </c>
      <c r="B1381" s="203" t="str">
        <f>IF(DATA!N1311="","",DATA!N1311)</f>
        <v/>
      </c>
      <c r="C1381" s="203" t="str">
        <f>IF(DATA!O1311="","",DATA!O1311)</f>
        <v/>
      </c>
      <c r="D1381" s="203" t="str">
        <f>IF(DATA!P1311="","",DATA!P1311)</f>
        <v/>
      </c>
      <c r="E1381" s="13"/>
      <c r="F1381" s="5" t="str">
        <f t="shared" si="104"/>
        <v/>
      </c>
      <c r="G1381" s="1"/>
      <c r="H1381" s="77">
        <f>IF(G1381="",0,VLOOKUP(G1381,REFCE!A:D,2,FALSE))</f>
        <v>0</v>
      </c>
      <c r="I1381" s="77" t="str">
        <f t="shared" si="105"/>
        <v/>
      </c>
    </row>
    <row r="1382" spans="1:9" x14ac:dyDescent="0.25">
      <c r="A1382" s="203" t="str">
        <f>IF(DATA!M1312="","",DATA!M1312)</f>
        <v/>
      </c>
      <c r="B1382" s="203" t="str">
        <f>IF(DATA!N1312="","",DATA!N1312)</f>
        <v/>
      </c>
      <c r="C1382" s="203" t="str">
        <f>IF(DATA!O1312="","",DATA!O1312)</f>
        <v/>
      </c>
      <c r="D1382" s="203" t="str">
        <f>IF(DATA!P1312="","",DATA!P1312)</f>
        <v/>
      </c>
      <c r="E1382" s="13"/>
      <c r="F1382" s="5" t="str">
        <f t="shared" si="104"/>
        <v/>
      </c>
      <c r="G1382" s="1"/>
      <c r="H1382" s="77">
        <f>IF(G1382="",0,VLOOKUP(G1382,REFCE!A:D,2,FALSE))</f>
        <v>0</v>
      </c>
      <c r="I1382" s="77" t="str">
        <f t="shared" si="105"/>
        <v/>
      </c>
    </row>
    <row r="1383" spans="1:9" x14ac:dyDescent="0.25">
      <c r="A1383" s="203" t="str">
        <f>IF(DATA!M1313="","",DATA!M1313)</f>
        <v/>
      </c>
      <c r="B1383" s="203" t="str">
        <f>IF(DATA!N1313="","",DATA!N1313)</f>
        <v/>
      </c>
      <c r="C1383" s="203" t="str">
        <f>IF(DATA!O1313="","",DATA!O1313)</f>
        <v/>
      </c>
      <c r="D1383" s="203" t="str">
        <f>IF(DATA!P1313="","",DATA!P1313)</f>
        <v/>
      </c>
      <c r="E1383" s="13"/>
      <c r="F1383" s="5" t="str">
        <f t="shared" si="104"/>
        <v/>
      </c>
      <c r="G1383" s="1"/>
      <c r="H1383" s="77">
        <f>IF(G1383="",0,VLOOKUP(G1383,REFCE!A:D,2,FALSE))</f>
        <v>0</v>
      </c>
      <c r="I1383" s="77" t="str">
        <f t="shared" si="105"/>
        <v/>
      </c>
    </row>
    <row r="1384" spans="1:9" x14ac:dyDescent="0.25">
      <c r="A1384" s="203" t="str">
        <f>IF(DATA!M1314="","",DATA!M1314)</f>
        <v/>
      </c>
      <c r="B1384" s="203" t="str">
        <f>IF(DATA!N1314="","",DATA!N1314)</f>
        <v/>
      </c>
      <c r="C1384" s="203" t="str">
        <f>IF(DATA!O1314="","",DATA!O1314)</f>
        <v/>
      </c>
      <c r="D1384" s="203" t="str">
        <f>IF(DATA!P1314="","",DATA!P1314)</f>
        <v/>
      </c>
      <c r="E1384" s="13"/>
      <c r="F1384" s="5" t="str">
        <f t="shared" si="104"/>
        <v/>
      </c>
      <c r="G1384" s="1"/>
      <c r="H1384" s="77">
        <f>IF(G1384="",0,VLOOKUP(G1384,REFCE!A:D,2,FALSE))</f>
        <v>0</v>
      </c>
      <c r="I1384" s="77" t="str">
        <f t="shared" si="105"/>
        <v/>
      </c>
    </row>
    <row r="1385" spans="1:9" x14ac:dyDescent="0.25">
      <c r="A1385" s="203" t="str">
        <f>IF(DATA!M1315="","",DATA!M1315)</f>
        <v/>
      </c>
      <c r="B1385" s="203" t="str">
        <f>IF(DATA!N1315="","",DATA!N1315)</f>
        <v/>
      </c>
      <c r="C1385" s="203" t="str">
        <f>IF(DATA!O1315="","",DATA!O1315)</f>
        <v/>
      </c>
      <c r="D1385" s="203" t="str">
        <f>IF(DATA!P1315="","",DATA!P1315)</f>
        <v/>
      </c>
      <c r="E1385" s="13"/>
      <c r="F1385" s="5" t="str">
        <f t="shared" si="104"/>
        <v/>
      </c>
      <c r="G1385" s="1"/>
      <c r="H1385" s="77">
        <f>IF(G1385="",0,VLOOKUP(G1385,REFCE!A:D,2,FALSE))</f>
        <v>0</v>
      </c>
      <c r="I1385" s="77" t="str">
        <f t="shared" si="105"/>
        <v/>
      </c>
    </row>
    <row r="1386" spans="1:9" x14ac:dyDescent="0.25">
      <c r="A1386" s="203" t="str">
        <f>IF(DATA!M1316="","",DATA!M1316)</f>
        <v/>
      </c>
      <c r="B1386" s="203" t="str">
        <f>IF(DATA!N1316="","",DATA!N1316)</f>
        <v/>
      </c>
      <c r="C1386" s="203" t="str">
        <f>IF(DATA!O1316="","",DATA!O1316)</f>
        <v/>
      </c>
      <c r="D1386" s="203" t="str">
        <f>IF(DATA!P1316="","",DATA!P1316)</f>
        <v/>
      </c>
      <c r="E1386" s="13"/>
      <c r="F1386" s="5" t="str">
        <f t="shared" si="104"/>
        <v/>
      </c>
      <c r="G1386" s="1"/>
      <c r="H1386" s="77">
        <f>IF(G1386="",0,VLOOKUP(G1386,REFCE!A:D,2,FALSE))</f>
        <v>0</v>
      </c>
      <c r="I1386" s="77" t="str">
        <f t="shared" si="105"/>
        <v/>
      </c>
    </row>
    <row r="1387" spans="1:9" x14ac:dyDescent="0.25">
      <c r="A1387" s="203" t="str">
        <f>IF(DATA!M1317="","",DATA!M1317)</f>
        <v/>
      </c>
      <c r="B1387" s="203" t="str">
        <f>IF(DATA!N1317="","",DATA!N1317)</f>
        <v/>
      </c>
      <c r="C1387" s="203" t="str">
        <f>IF(DATA!O1317="","",DATA!O1317)</f>
        <v/>
      </c>
      <c r="D1387" s="203" t="str">
        <f>IF(DATA!P1317="","",DATA!P1317)</f>
        <v/>
      </c>
      <c r="E1387" s="13"/>
      <c r="F1387" s="5" t="str">
        <f t="shared" si="104"/>
        <v/>
      </c>
      <c r="G1387" s="1"/>
      <c r="H1387" s="77">
        <f>IF(G1387="",0,VLOOKUP(G1387,REFCE!A:D,2,FALSE))</f>
        <v>0</v>
      </c>
      <c r="I1387" s="77" t="str">
        <f t="shared" si="105"/>
        <v/>
      </c>
    </row>
    <row r="1388" spans="1:9" x14ac:dyDescent="0.25">
      <c r="A1388" s="203" t="str">
        <f>IF(DATA!M1318="","",DATA!M1318)</f>
        <v/>
      </c>
      <c r="B1388" s="203" t="str">
        <f>IF(DATA!N1318="","",DATA!N1318)</f>
        <v/>
      </c>
      <c r="C1388" s="203" t="str">
        <f>IF(DATA!O1318="","",DATA!O1318)</f>
        <v/>
      </c>
      <c r="D1388" s="203" t="str">
        <f>IF(DATA!P1318="","",DATA!P1318)</f>
        <v/>
      </c>
      <c r="E1388" s="13"/>
      <c r="F1388" s="5" t="str">
        <f t="shared" si="104"/>
        <v/>
      </c>
      <c r="G1388" s="1"/>
      <c r="H1388" s="77">
        <f>IF(G1388="",0,VLOOKUP(G1388,REFCE!A:D,2,FALSE))</f>
        <v>0</v>
      </c>
      <c r="I1388" s="77" t="str">
        <f t="shared" si="105"/>
        <v/>
      </c>
    </row>
    <row r="1389" spans="1:9" x14ac:dyDescent="0.25">
      <c r="A1389" s="203" t="str">
        <f>IF(DATA!M1319="","",DATA!M1319)</f>
        <v/>
      </c>
      <c r="B1389" s="203" t="str">
        <f>IF(DATA!N1319="","",DATA!N1319)</f>
        <v/>
      </c>
      <c r="C1389" s="203" t="str">
        <f>IF(DATA!O1319="","",DATA!O1319)</f>
        <v/>
      </c>
      <c r="D1389" s="203" t="str">
        <f>IF(DATA!P1319="","",DATA!P1319)</f>
        <v/>
      </c>
      <c r="E1389" s="13"/>
      <c r="F1389" s="5" t="str">
        <f t="shared" si="104"/>
        <v/>
      </c>
      <c r="G1389" s="1"/>
      <c r="H1389" s="77">
        <f>IF(G1389="",0,VLOOKUP(G1389,REFCE!A:D,2,FALSE))</f>
        <v>0</v>
      </c>
      <c r="I1389" s="77" t="str">
        <f t="shared" si="105"/>
        <v/>
      </c>
    </row>
    <row r="1390" spans="1:9" x14ac:dyDescent="0.25">
      <c r="A1390" s="203" t="str">
        <f>IF(DATA!M1320="","",DATA!M1320)</f>
        <v/>
      </c>
      <c r="B1390" s="203" t="str">
        <f>IF(DATA!N1320="","",DATA!N1320)</f>
        <v/>
      </c>
      <c r="C1390" s="203" t="str">
        <f>IF(DATA!O1320="","",DATA!O1320)</f>
        <v/>
      </c>
      <c r="D1390" s="203" t="str">
        <f>IF(DATA!P1320="","",DATA!P1320)</f>
        <v/>
      </c>
      <c r="E1390" s="13"/>
      <c r="F1390" s="5" t="str">
        <f t="shared" si="104"/>
        <v/>
      </c>
      <c r="G1390" s="1"/>
      <c r="H1390" s="77">
        <f>IF(G1390="",0,VLOOKUP(G1390,REFCE!A:D,2,FALSE))</f>
        <v>0</v>
      </c>
      <c r="I1390" s="77" t="str">
        <f t="shared" si="105"/>
        <v/>
      </c>
    </row>
    <row r="1391" spans="1:9" x14ac:dyDescent="0.25">
      <c r="A1391" s="203" t="str">
        <f>IF(DATA!M1321="","",DATA!M1321)</f>
        <v/>
      </c>
      <c r="B1391" s="203" t="str">
        <f>IF(DATA!N1321="","",DATA!N1321)</f>
        <v/>
      </c>
      <c r="C1391" s="203" t="str">
        <f>IF(DATA!O1321="","",DATA!O1321)</f>
        <v/>
      </c>
      <c r="D1391" s="203" t="str">
        <f>IF(DATA!P1321="","",DATA!P1321)</f>
        <v/>
      </c>
      <c r="E1391" s="13"/>
      <c r="F1391" s="5" t="str">
        <f t="shared" si="104"/>
        <v/>
      </c>
      <c r="G1391" s="1"/>
      <c r="H1391" s="77">
        <f>IF(G1391="",0,VLOOKUP(G1391,REFCE!A:D,2,FALSE))</f>
        <v>0</v>
      </c>
      <c r="I1391" s="77" t="str">
        <f t="shared" si="105"/>
        <v/>
      </c>
    </row>
    <row r="1392" spans="1:9" x14ac:dyDescent="0.25">
      <c r="A1392" s="203" t="str">
        <f>IF(DATA!M1322="","",DATA!M1322)</f>
        <v/>
      </c>
      <c r="B1392" s="203" t="str">
        <f>IF(DATA!N1322="","",DATA!N1322)</f>
        <v/>
      </c>
      <c r="C1392" s="203" t="str">
        <f>IF(DATA!O1322="","",DATA!O1322)</f>
        <v/>
      </c>
      <c r="D1392" s="203" t="str">
        <f>IF(DATA!P1322="","",DATA!P1322)</f>
        <v/>
      </c>
      <c r="E1392" s="13"/>
      <c r="F1392" s="5" t="str">
        <f t="shared" si="104"/>
        <v/>
      </c>
      <c r="G1392" s="1"/>
      <c r="H1392" s="77">
        <f>IF(G1392="",0,VLOOKUP(G1392,REFCE!A:D,2,FALSE))</f>
        <v>0</v>
      </c>
      <c r="I1392" s="77" t="str">
        <f t="shared" si="105"/>
        <v/>
      </c>
    </row>
    <row r="1393" spans="1:9" x14ac:dyDescent="0.25">
      <c r="A1393" s="203" t="str">
        <f>IF(DATA!M1323="","",DATA!M1323)</f>
        <v/>
      </c>
      <c r="B1393" s="203" t="str">
        <f>IF(DATA!N1323="","",DATA!N1323)</f>
        <v/>
      </c>
      <c r="C1393" s="203" t="str">
        <f>IF(DATA!O1323="","",DATA!O1323)</f>
        <v/>
      </c>
      <c r="D1393" s="203" t="str">
        <f>IF(DATA!P1323="","",DATA!P1323)</f>
        <v/>
      </c>
      <c r="E1393" s="13"/>
      <c r="F1393" s="5" t="str">
        <f t="shared" si="104"/>
        <v/>
      </c>
      <c r="G1393" s="1"/>
      <c r="H1393" s="77">
        <f>IF(G1393="",0,VLOOKUP(G1393,REFCE!A:D,2,FALSE))</f>
        <v>0</v>
      </c>
      <c r="I1393" s="77" t="str">
        <f t="shared" si="105"/>
        <v/>
      </c>
    </row>
    <row r="1394" spans="1:9" x14ac:dyDescent="0.25">
      <c r="A1394" s="203" t="str">
        <f>IF(DATA!M1324="","",DATA!M1324)</f>
        <v/>
      </c>
      <c r="B1394" s="203" t="str">
        <f>IF(DATA!N1324="","",DATA!N1324)</f>
        <v/>
      </c>
      <c r="C1394" s="203" t="str">
        <f>IF(DATA!O1324="","",DATA!O1324)</f>
        <v/>
      </c>
      <c r="D1394" s="203" t="str">
        <f>IF(DATA!P1324="","",DATA!P1324)</f>
        <v/>
      </c>
      <c r="E1394" s="13"/>
      <c r="F1394" s="5" t="str">
        <f t="shared" si="104"/>
        <v/>
      </c>
      <c r="G1394" s="1"/>
      <c r="H1394" s="77">
        <f>IF(G1394="",0,VLOOKUP(G1394,REFCE!A:D,2,FALSE))</f>
        <v>0</v>
      </c>
      <c r="I1394" s="77" t="str">
        <f t="shared" si="105"/>
        <v/>
      </c>
    </row>
    <row r="1395" spans="1:9" x14ac:dyDescent="0.25">
      <c r="A1395" s="203" t="str">
        <f>IF(DATA!M1325="","",DATA!M1325)</f>
        <v/>
      </c>
      <c r="B1395" s="203" t="str">
        <f>IF(DATA!N1325="","",DATA!N1325)</f>
        <v/>
      </c>
      <c r="C1395" s="203" t="str">
        <f>IF(DATA!O1325="","",DATA!O1325)</f>
        <v/>
      </c>
      <c r="D1395" s="203" t="str">
        <f>IF(DATA!P1325="","",DATA!P1325)</f>
        <v/>
      </c>
      <c r="E1395" s="13"/>
      <c r="F1395" s="5" t="str">
        <f t="shared" si="104"/>
        <v/>
      </c>
      <c r="G1395" s="1"/>
      <c r="H1395" s="77">
        <f>IF(G1395="",0,VLOOKUP(G1395,REFCE!A:D,2,FALSE))</f>
        <v>0</v>
      </c>
      <c r="I1395" s="77" t="str">
        <f t="shared" si="105"/>
        <v/>
      </c>
    </row>
    <row r="1396" spans="1:9" x14ac:dyDescent="0.25">
      <c r="A1396" s="203" t="str">
        <f>IF(DATA!M1326="","",DATA!M1326)</f>
        <v/>
      </c>
      <c r="B1396" s="203" t="str">
        <f>IF(DATA!N1326="","",DATA!N1326)</f>
        <v/>
      </c>
      <c r="C1396" s="203" t="str">
        <f>IF(DATA!O1326="","",DATA!O1326)</f>
        <v/>
      </c>
      <c r="D1396" s="203" t="str">
        <f>IF(DATA!P1326="","",DATA!P1326)</f>
        <v/>
      </c>
      <c r="E1396" s="13"/>
      <c r="F1396" s="5" t="str">
        <f t="shared" si="104"/>
        <v/>
      </c>
      <c r="G1396" s="1"/>
      <c r="H1396" s="77">
        <f>IF(G1396="",0,VLOOKUP(G1396,REFCE!A:D,2,FALSE))</f>
        <v>0</v>
      </c>
      <c r="I1396" s="77" t="str">
        <f t="shared" si="105"/>
        <v/>
      </c>
    </row>
    <row r="1397" spans="1:9" x14ac:dyDescent="0.25">
      <c r="A1397" s="203" t="str">
        <f>IF(DATA!M1327="","",DATA!M1327)</f>
        <v/>
      </c>
      <c r="B1397" s="203" t="str">
        <f>IF(DATA!N1327="","",DATA!N1327)</f>
        <v/>
      </c>
      <c r="C1397" s="203" t="str">
        <f>IF(DATA!O1327="","",DATA!O1327)</f>
        <v/>
      </c>
      <c r="D1397" s="203" t="str">
        <f>IF(DATA!P1327="","",DATA!P1327)</f>
        <v/>
      </c>
      <c r="E1397" s="13"/>
      <c r="F1397" s="5" t="str">
        <f t="shared" si="104"/>
        <v/>
      </c>
      <c r="G1397" s="1"/>
      <c r="H1397" s="77">
        <f>IF(G1397="",0,VLOOKUP(G1397,REFCE!A:D,2,FALSE))</f>
        <v>0</v>
      </c>
      <c r="I1397" s="77" t="str">
        <f t="shared" si="105"/>
        <v/>
      </c>
    </row>
    <row r="1398" spans="1:9" x14ac:dyDescent="0.25">
      <c r="A1398" s="203" t="str">
        <f>IF(DATA!M1328="","",DATA!M1328)</f>
        <v/>
      </c>
      <c r="B1398" s="203" t="str">
        <f>IF(DATA!N1328="","",DATA!N1328)</f>
        <v/>
      </c>
      <c r="C1398" s="203" t="str">
        <f>IF(DATA!O1328="","",DATA!O1328)</f>
        <v/>
      </c>
      <c r="D1398" s="203" t="str">
        <f>IF(DATA!P1328="","",DATA!P1328)</f>
        <v/>
      </c>
      <c r="E1398" s="13"/>
      <c r="F1398" s="5" t="str">
        <f t="shared" si="104"/>
        <v/>
      </c>
      <c r="G1398" s="1"/>
      <c r="H1398" s="77">
        <f>IF(G1398="",0,VLOOKUP(G1398,REFCE!A:D,2,FALSE))</f>
        <v>0</v>
      </c>
      <c r="I1398" s="77" t="str">
        <f t="shared" si="105"/>
        <v/>
      </c>
    </row>
    <row r="1399" spans="1:9" x14ac:dyDescent="0.25">
      <c r="A1399" s="203" t="str">
        <f>IF(DATA!M1329="","",DATA!M1329)</f>
        <v/>
      </c>
      <c r="B1399" s="203" t="str">
        <f>IF(DATA!N1329="","",DATA!N1329)</f>
        <v/>
      </c>
      <c r="C1399" s="203" t="str">
        <f>IF(DATA!O1329="","",DATA!O1329)</f>
        <v/>
      </c>
      <c r="D1399" s="203" t="str">
        <f>IF(DATA!P1329="","",DATA!P1329)</f>
        <v/>
      </c>
      <c r="E1399" s="13"/>
      <c r="F1399" s="5" t="str">
        <f t="shared" si="104"/>
        <v/>
      </c>
      <c r="G1399" s="1"/>
      <c r="H1399" s="77">
        <f>IF(G1399="",0,VLOOKUP(G1399,REFCE!A:D,2,FALSE))</f>
        <v>0</v>
      </c>
      <c r="I1399" s="77" t="str">
        <f t="shared" si="105"/>
        <v/>
      </c>
    </row>
    <row r="1400" spans="1:9" x14ac:dyDescent="0.25">
      <c r="A1400" s="203" t="str">
        <f>IF(DATA!M1330="","",DATA!M1330)</f>
        <v/>
      </c>
      <c r="B1400" s="203" t="str">
        <f>IF(DATA!N1330="","",DATA!N1330)</f>
        <v/>
      </c>
      <c r="C1400" s="203" t="str">
        <f>IF(DATA!O1330="","",DATA!O1330)</f>
        <v/>
      </c>
      <c r="D1400" s="203" t="str">
        <f>IF(DATA!P1330="","",DATA!P1330)</f>
        <v/>
      </c>
      <c r="E1400" s="13"/>
      <c r="F1400" s="5" t="str">
        <f t="shared" si="104"/>
        <v/>
      </c>
      <c r="G1400" s="1"/>
      <c r="H1400" s="77">
        <f>IF(G1400="",0,VLOOKUP(G1400,REFCE!A:D,2,FALSE))</f>
        <v>0</v>
      </c>
      <c r="I1400" s="77" t="str">
        <f t="shared" si="105"/>
        <v/>
      </c>
    </row>
    <row r="1401" spans="1:9" x14ac:dyDescent="0.25">
      <c r="A1401" s="203" t="str">
        <f>IF(DATA!M1331="","",DATA!M1331)</f>
        <v/>
      </c>
      <c r="B1401" s="203" t="str">
        <f>IF(DATA!N1331="","",DATA!N1331)</f>
        <v/>
      </c>
      <c r="C1401" s="203" t="str">
        <f>IF(DATA!O1331="","",DATA!O1331)</f>
        <v/>
      </c>
      <c r="D1401" s="203" t="str">
        <f>IF(DATA!P1331="","",DATA!P1331)</f>
        <v/>
      </c>
      <c r="E1401" s="13"/>
      <c r="F1401" s="5" t="str">
        <f t="shared" si="104"/>
        <v/>
      </c>
      <c r="G1401" s="1"/>
      <c r="H1401" s="77">
        <f>IF(G1401="",0,VLOOKUP(G1401,REFCE!A:D,2,FALSE))</f>
        <v>0</v>
      </c>
      <c r="I1401" s="77" t="str">
        <f t="shared" si="105"/>
        <v/>
      </c>
    </row>
    <row r="1402" spans="1:9" x14ac:dyDescent="0.25">
      <c r="A1402" s="203" t="str">
        <f>IF(DATA!M1332="","",DATA!M1332)</f>
        <v/>
      </c>
      <c r="B1402" s="203" t="str">
        <f>IF(DATA!N1332="","",DATA!N1332)</f>
        <v/>
      </c>
      <c r="C1402" s="203" t="str">
        <f>IF(DATA!O1332="","",DATA!O1332)</f>
        <v/>
      </c>
      <c r="D1402" s="203" t="str">
        <f>IF(DATA!P1332="","",DATA!P1332)</f>
        <v/>
      </c>
      <c r="E1402" s="13"/>
      <c r="F1402" s="5" t="str">
        <f t="shared" si="104"/>
        <v/>
      </c>
      <c r="G1402" s="1"/>
      <c r="H1402" s="77">
        <f>IF(G1402="",0,VLOOKUP(G1402,REFCE!A:D,2,FALSE))</f>
        <v>0</v>
      </c>
      <c r="I1402" s="77" t="str">
        <f t="shared" si="105"/>
        <v/>
      </c>
    </row>
    <row r="1403" spans="1:9" x14ac:dyDescent="0.25">
      <c r="A1403" s="203" t="str">
        <f>IF(DATA!M1333="","",DATA!M1333)</f>
        <v/>
      </c>
      <c r="B1403" s="203" t="str">
        <f>IF(DATA!N1333="","",DATA!N1333)</f>
        <v/>
      </c>
      <c r="C1403" s="203" t="str">
        <f>IF(DATA!O1333="","",DATA!O1333)</f>
        <v/>
      </c>
      <c r="D1403" s="203" t="str">
        <f>IF(DATA!P1333="","",DATA!P1333)</f>
        <v/>
      </c>
      <c r="E1403" s="13"/>
      <c r="F1403" s="5" t="str">
        <f t="shared" si="104"/>
        <v/>
      </c>
      <c r="G1403" s="1"/>
      <c r="H1403" s="77">
        <f>IF(G1403="",0,VLOOKUP(G1403,REFCE!A:D,2,FALSE))</f>
        <v>0</v>
      </c>
      <c r="I1403" s="77" t="str">
        <f t="shared" si="105"/>
        <v/>
      </c>
    </row>
    <row r="1404" spans="1:9" x14ac:dyDescent="0.25">
      <c r="A1404" s="203" t="str">
        <f>IF(DATA!M1334="","",DATA!M1334)</f>
        <v/>
      </c>
      <c r="B1404" s="203" t="str">
        <f>IF(DATA!N1334="","",DATA!N1334)</f>
        <v/>
      </c>
      <c r="C1404" s="203" t="str">
        <f>IF(DATA!O1334="","",DATA!O1334)</f>
        <v/>
      </c>
      <c r="D1404" s="203" t="str">
        <f>IF(DATA!P1334="","",DATA!P1334)</f>
        <v/>
      </c>
      <c r="E1404" s="13"/>
      <c r="F1404" s="5" t="str">
        <f t="shared" si="104"/>
        <v/>
      </c>
      <c r="G1404" s="1"/>
      <c r="H1404" s="77">
        <f>IF(G1404="",0,VLOOKUP(G1404,REFCE!A:D,2,FALSE))</f>
        <v>0</v>
      </c>
      <c r="I1404" s="77" t="str">
        <f t="shared" si="105"/>
        <v/>
      </c>
    </row>
    <row r="1405" spans="1:9" x14ac:dyDescent="0.25">
      <c r="A1405" s="203" t="str">
        <f>IF(DATA!M1335="","",DATA!M1335)</f>
        <v/>
      </c>
      <c r="B1405" s="203" t="str">
        <f>IF(DATA!N1335="","",DATA!N1335)</f>
        <v/>
      </c>
      <c r="C1405" s="203" t="str">
        <f>IF(DATA!O1335="","",DATA!O1335)</f>
        <v/>
      </c>
      <c r="D1405" s="203" t="str">
        <f>IF(DATA!P1335="","",DATA!P1335)</f>
        <v/>
      </c>
      <c r="E1405" s="13"/>
      <c r="F1405" s="5" t="str">
        <f t="shared" si="104"/>
        <v/>
      </c>
      <c r="G1405" s="1"/>
      <c r="H1405" s="77">
        <f>IF(G1405="",0,VLOOKUP(G1405,REFCE!A:D,2,FALSE))</f>
        <v>0</v>
      </c>
      <c r="I1405" s="77" t="str">
        <f t="shared" si="105"/>
        <v/>
      </c>
    </row>
    <row r="1406" spans="1:9" x14ac:dyDescent="0.25">
      <c r="A1406" s="203" t="str">
        <f>IF(DATA!M1336="","",DATA!M1336)</f>
        <v/>
      </c>
      <c r="B1406" s="203" t="str">
        <f>IF(DATA!N1336="","",DATA!N1336)</f>
        <v/>
      </c>
      <c r="C1406" s="203" t="str">
        <f>IF(DATA!O1336="","",DATA!O1336)</f>
        <v/>
      </c>
      <c r="D1406" s="203" t="str">
        <f>IF(DATA!P1336="","",DATA!P1336)</f>
        <v/>
      </c>
      <c r="E1406" s="13"/>
      <c r="F1406" s="5" t="str">
        <f t="shared" si="104"/>
        <v/>
      </c>
      <c r="G1406" s="1"/>
      <c r="H1406" s="77">
        <f>IF(G1406="",0,VLOOKUP(G1406,REFCE!A:D,2,FALSE))</f>
        <v>0</v>
      </c>
      <c r="I1406" s="77" t="str">
        <f t="shared" si="105"/>
        <v/>
      </c>
    </row>
    <row r="1407" spans="1:9" x14ac:dyDescent="0.25">
      <c r="A1407" s="203" t="str">
        <f>IF(DATA!M1337="","",DATA!M1337)</f>
        <v/>
      </c>
      <c r="B1407" s="203" t="str">
        <f>IF(DATA!N1337="","",DATA!N1337)</f>
        <v/>
      </c>
      <c r="C1407" s="203" t="str">
        <f>IF(DATA!O1337="","",DATA!O1337)</f>
        <v/>
      </c>
      <c r="D1407" s="203" t="str">
        <f>IF(DATA!P1337="","",DATA!P1337)</f>
        <v/>
      </c>
      <c r="E1407" s="13"/>
      <c r="F1407" s="5" t="str">
        <f t="shared" si="104"/>
        <v/>
      </c>
      <c r="G1407" s="1"/>
      <c r="H1407" s="77">
        <f>IF(G1407="",0,VLOOKUP(G1407,REFCE!A:D,2,FALSE))</f>
        <v>0</v>
      </c>
      <c r="I1407" s="77" t="str">
        <f t="shared" si="105"/>
        <v/>
      </c>
    </row>
    <row r="1408" spans="1:9" x14ac:dyDescent="0.25">
      <c r="A1408" s="203" t="str">
        <f>IF(DATA!M1338="","",DATA!M1338)</f>
        <v/>
      </c>
      <c r="B1408" s="203" t="str">
        <f>IF(DATA!N1338="","",DATA!N1338)</f>
        <v/>
      </c>
      <c r="C1408" s="203" t="str">
        <f>IF(DATA!O1338="","",DATA!O1338)</f>
        <v/>
      </c>
      <c r="D1408" s="203" t="str">
        <f>IF(DATA!P1338="","",DATA!P1338)</f>
        <v/>
      </c>
      <c r="E1408" s="13"/>
      <c r="F1408" s="5" t="str">
        <f t="shared" si="104"/>
        <v/>
      </c>
      <c r="G1408" s="1"/>
      <c r="H1408" s="77">
        <f>IF(G1408="",0,VLOOKUP(G1408,REFCE!A:D,2,FALSE))</f>
        <v>0</v>
      </c>
      <c r="I1408" s="77" t="str">
        <f t="shared" si="105"/>
        <v/>
      </c>
    </row>
    <row r="1409" spans="1:9" x14ac:dyDescent="0.25">
      <c r="A1409" s="203" t="str">
        <f>IF(DATA!M1339="","",DATA!M1339)</f>
        <v/>
      </c>
      <c r="B1409" s="203" t="str">
        <f>IF(DATA!N1339="","",DATA!N1339)</f>
        <v/>
      </c>
      <c r="C1409" s="203" t="str">
        <f>IF(DATA!O1339="","",DATA!O1339)</f>
        <v/>
      </c>
      <c r="D1409" s="203" t="str">
        <f>IF(DATA!P1339="","",DATA!P1339)</f>
        <v/>
      </c>
      <c r="E1409" s="13"/>
      <c r="F1409" s="5" t="str">
        <f t="shared" si="104"/>
        <v/>
      </c>
      <c r="G1409" s="1"/>
      <c r="H1409" s="77">
        <f>IF(G1409="",0,VLOOKUP(G1409,REFCE!A:D,2,FALSE))</f>
        <v>0</v>
      </c>
      <c r="I1409" s="77" t="str">
        <f t="shared" si="105"/>
        <v/>
      </c>
    </row>
    <row r="1410" spans="1:9" x14ac:dyDescent="0.25">
      <c r="A1410" s="203" t="str">
        <f>IF(DATA!M1340="","",DATA!M1340)</f>
        <v/>
      </c>
      <c r="B1410" s="203" t="str">
        <f>IF(DATA!N1340="","",DATA!N1340)</f>
        <v/>
      </c>
      <c r="C1410" s="203" t="str">
        <f>IF(DATA!O1340="","",DATA!O1340)</f>
        <v/>
      </c>
      <c r="D1410" s="203" t="str">
        <f>IF(DATA!P1340="","",DATA!P1340)</f>
        <v/>
      </c>
      <c r="E1410" s="13"/>
      <c r="F1410" s="5" t="str">
        <f t="shared" si="104"/>
        <v/>
      </c>
      <c r="G1410" s="1"/>
      <c r="H1410" s="77">
        <f>IF(G1410="",0,VLOOKUP(G1410,REFCE!A:D,2,FALSE))</f>
        <v>0</v>
      </c>
      <c r="I1410" s="77" t="str">
        <f t="shared" si="105"/>
        <v/>
      </c>
    </row>
    <row r="1411" spans="1:9" x14ac:dyDescent="0.25">
      <c r="A1411" s="203" t="str">
        <f>IF(DATA!M1341="","",DATA!M1341)</f>
        <v/>
      </c>
      <c r="B1411" s="203" t="str">
        <f>IF(DATA!N1341="","",DATA!N1341)</f>
        <v/>
      </c>
      <c r="C1411" s="203" t="str">
        <f>IF(DATA!O1341="","",DATA!O1341)</f>
        <v/>
      </c>
      <c r="D1411" s="203" t="str">
        <f>IF(DATA!P1341="","",DATA!P1341)</f>
        <v/>
      </c>
      <c r="E1411" s="13"/>
      <c r="F1411" s="5" t="str">
        <f t="shared" si="104"/>
        <v/>
      </c>
      <c r="G1411" s="1"/>
      <c r="H1411" s="77">
        <f>IF(G1411="",0,VLOOKUP(G1411,REFCE!A:D,2,FALSE))</f>
        <v>0</v>
      </c>
      <c r="I1411" s="77" t="str">
        <f t="shared" si="105"/>
        <v/>
      </c>
    </row>
    <row r="1412" spans="1:9" x14ac:dyDescent="0.25">
      <c r="A1412" s="203" t="str">
        <f>IF(DATA!M1342="","",DATA!M1342)</f>
        <v/>
      </c>
      <c r="B1412" s="203" t="str">
        <f>IF(DATA!N1342="","",DATA!N1342)</f>
        <v/>
      </c>
      <c r="C1412" s="203" t="str">
        <f>IF(DATA!O1342="","",DATA!O1342)</f>
        <v/>
      </c>
      <c r="D1412" s="203" t="str">
        <f>IF(DATA!P1342="","",DATA!P1342)</f>
        <v/>
      </c>
      <c r="E1412" s="13"/>
      <c r="F1412" s="5" t="str">
        <f t="shared" si="104"/>
        <v/>
      </c>
      <c r="G1412" s="1"/>
      <c r="H1412" s="77">
        <f>IF(G1412="",0,VLOOKUP(G1412,REFCE!A:D,2,FALSE))</f>
        <v>0</v>
      </c>
      <c r="I1412" s="77" t="str">
        <f t="shared" si="105"/>
        <v/>
      </c>
    </row>
    <row r="1413" spans="1:9" x14ac:dyDescent="0.25">
      <c r="A1413" s="203" t="str">
        <f>IF(DATA!M1343="","",DATA!M1343)</f>
        <v/>
      </c>
      <c r="B1413" s="203" t="str">
        <f>IF(DATA!N1343="","",DATA!N1343)</f>
        <v/>
      </c>
      <c r="C1413" s="203" t="str">
        <f>IF(DATA!O1343="","",DATA!O1343)</f>
        <v/>
      </c>
      <c r="D1413" s="203" t="str">
        <f>IF(DATA!P1343="","",DATA!P1343)</f>
        <v/>
      </c>
      <c r="E1413" s="13"/>
      <c r="F1413" s="5" t="str">
        <f t="shared" si="104"/>
        <v/>
      </c>
      <c r="G1413" s="1"/>
      <c r="H1413" s="77">
        <f>IF(G1413="",0,VLOOKUP(G1413,REFCE!A:D,2,FALSE))</f>
        <v>0</v>
      </c>
      <c r="I1413" s="77" t="str">
        <f t="shared" si="105"/>
        <v/>
      </c>
    </row>
    <row r="1414" spans="1:9" x14ac:dyDescent="0.25">
      <c r="A1414" s="203" t="str">
        <f>IF(DATA!M1344="","",DATA!M1344)</f>
        <v/>
      </c>
      <c r="B1414" s="203" t="str">
        <f>IF(DATA!N1344="","",DATA!N1344)</f>
        <v/>
      </c>
      <c r="C1414" s="203" t="str">
        <f>IF(DATA!O1344="","",DATA!O1344)</f>
        <v/>
      </c>
      <c r="D1414" s="203" t="str">
        <f>IF(DATA!P1344="","",DATA!P1344)</f>
        <v/>
      </c>
      <c r="E1414" s="13"/>
      <c r="F1414" s="5" t="str">
        <f t="shared" si="104"/>
        <v/>
      </c>
      <c r="G1414" s="1"/>
      <c r="H1414" s="77">
        <f>IF(G1414="",0,VLOOKUP(G1414,REFCE!A:D,2,FALSE))</f>
        <v>0</v>
      </c>
      <c r="I1414" s="77" t="str">
        <f t="shared" si="105"/>
        <v/>
      </c>
    </row>
    <row r="1415" spans="1:9" x14ac:dyDescent="0.25">
      <c r="A1415" s="203" t="str">
        <f>IF(DATA!M1345="","",DATA!M1345)</f>
        <v/>
      </c>
      <c r="B1415" s="203" t="str">
        <f>IF(DATA!N1345="","",DATA!N1345)</f>
        <v/>
      </c>
      <c r="C1415" s="203" t="str">
        <f>IF(DATA!O1345="","",DATA!O1345)</f>
        <v/>
      </c>
      <c r="D1415" s="203" t="str">
        <f>IF(DATA!P1345="","",DATA!P1345)</f>
        <v/>
      </c>
      <c r="E1415" s="13"/>
      <c r="F1415" s="5" t="str">
        <f t="shared" si="104"/>
        <v/>
      </c>
      <c r="G1415" s="1"/>
      <c r="H1415" s="77">
        <f>IF(G1415="",0,VLOOKUP(G1415,REFCE!A:D,2,FALSE))</f>
        <v>0</v>
      </c>
      <c r="I1415" s="77" t="str">
        <f t="shared" si="105"/>
        <v/>
      </c>
    </row>
    <row r="1416" spans="1:9" x14ac:dyDescent="0.25">
      <c r="A1416" s="203" t="str">
        <f>IF(DATA!M1346="","",DATA!M1346)</f>
        <v/>
      </c>
      <c r="B1416" s="203" t="str">
        <f>IF(DATA!N1346="","",DATA!N1346)</f>
        <v/>
      </c>
      <c r="C1416" s="203" t="str">
        <f>IF(DATA!O1346="","",DATA!O1346)</f>
        <v/>
      </c>
      <c r="D1416" s="203" t="str">
        <f>IF(DATA!P1346="","",DATA!P1346)</f>
        <v/>
      </c>
      <c r="E1416" s="13"/>
      <c r="F1416" s="5" t="str">
        <f t="shared" si="104"/>
        <v/>
      </c>
      <c r="G1416" s="1"/>
      <c r="H1416" s="77">
        <f>IF(G1416="",0,VLOOKUP(G1416,REFCE!A:D,2,FALSE))</f>
        <v>0</v>
      </c>
      <c r="I1416" s="77" t="str">
        <f t="shared" si="105"/>
        <v/>
      </c>
    </row>
    <row r="1417" spans="1:9" x14ac:dyDescent="0.25">
      <c r="A1417" s="203" t="str">
        <f>IF(DATA!M1347="","",DATA!M1347)</f>
        <v/>
      </c>
      <c r="B1417" s="203" t="str">
        <f>IF(DATA!N1347="","",DATA!N1347)</f>
        <v/>
      </c>
      <c r="C1417" s="203" t="str">
        <f>IF(DATA!O1347="","",DATA!O1347)</f>
        <v/>
      </c>
      <c r="D1417" s="203" t="str">
        <f>IF(DATA!P1347="","",DATA!P1347)</f>
        <v/>
      </c>
      <c r="E1417" s="13"/>
      <c r="F1417" s="5" t="str">
        <f t="shared" si="104"/>
        <v/>
      </c>
      <c r="G1417" s="1"/>
      <c r="H1417" s="77">
        <f>IF(G1417="",0,VLOOKUP(G1417,REFCE!A:D,2,FALSE))</f>
        <v>0</v>
      </c>
      <c r="I1417" s="77" t="str">
        <f t="shared" si="105"/>
        <v/>
      </c>
    </row>
    <row r="1418" spans="1:9" x14ac:dyDescent="0.25">
      <c r="A1418" s="203" t="str">
        <f>IF(DATA!M1348="","",DATA!M1348)</f>
        <v/>
      </c>
      <c r="B1418" s="203" t="str">
        <f>IF(DATA!N1348="","",DATA!N1348)</f>
        <v/>
      </c>
      <c r="C1418" s="203" t="str">
        <f>IF(DATA!O1348="","",DATA!O1348)</f>
        <v/>
      </c>
      <c r="D1418" s="203" t="str">
        <f>IF(DATA!P1348="","",DATA!P1348)</f>
        <v/>
      </c>
      <c r="E1418" s="13"/>
      <c r="F1418" s="5" t="str">
        <f t="shared" si="104"/>
        <v/>
      </c>
      <c r="G1418" s="1"/>
      <c r="H1418" s="77">
        <f>IF(G1418="",0,VLOOKUP(G1418,REFCE!A:D,2,FALSE))</f>
        <v>0</v>
      </c>
      <c r="I1418" s="77" t="str">
        <f t="shared" si="105"/>
        <v/>
      </c>
    </row>
    <row r="1419" spans="1:9" x14ac:dyDescent="0.25">
      <c r="A1419" s="203" t="str">
        <f>IF(DATA!M1349="","",DATA!M1349)</f>
        <v/>
      </c>
      <c r="B1419" s="203" t="str">
        <f>IF(DATA!N1349="","",DATA!N1349)</f>
        <v/>
      </c>
      <c r="C1419" s="203" t="str">
        <f>IF(DATA!O1349="","",DATA!O1349)</f>
        <v/>
      </c>
      <c r="D1419" s="203" t="str">
        <f>IF(DATA!P1349="","",DATA!P1349)</f>
        <v/>
      </c>
      <c r="E1419" s="13"/>
      <c r="F1419" s="5" t="str">
        <f t="shared" si="104"/>
        <v/>
      </c>
      <c r="G1419" s="1"/>
      <c r="H1419" s="77">
        <f>IF(G1419="",0,VLOOKUP(G1419,REFCE!A:D,2,FALSE))</f>
        <v>0</v>
      </c>
      <c r="I1419" s="77" t="str">
        <f t="shared" si="105"/>
        <v/>
      </c>
    </row>
    <row r="1420" spans="1:9" x14ac:dyDescent="0.25">
      <c r="A1420" s="203" t="str">
        <f>IF(DATA!M1350="","",DATA!M1350)</f>
        <v/>
      </c>
      <c r="B1420" s="203" t="str">
        <f>IF(DATA!N1350="","",DATA!N1350)</f>
        <v/>
      </c>
      <c r="C1420" s="203" t="str">
        <f>IF(DATA!O1350="","",DATA!O1350)</f>
        <v/>
      </c>
      <c r="D1420" s="203" t="str">
        <f>IF(DATA!P1350="","",DATA!P1350)</f>
        <v/>
      </c>
      <c r="E1420" s="13"/>
      <c r="F1420" s="5" t="str">
        <f t="shared" si="104"/>
        <v/>
      </c>
      <c r="G1420" s="1"/>
      <c r="H1420" s="77">
        <f>IF(G1420="",0,VLOOKUP(G1420,REFCE!A:D,2,FALSE))</f>
        <v>0</v>
      </c>
      <c r="I1420" s="77" t="str">
        <f t="shared" si="105"/>
        <v/>
      </c>
    </row>
    <row r="1421" spans="1:9" x14ac:dyDescent="0.25">
      <c r="A1421" s="203" t="str">
        <f>IF(DATA!M1351="","",DATA!M1351)</f>
        <v/>
      </c>
      <c r="B1421" s="203" t="str">
        <f>IF(DATA!N1351="","",DATA!N1351)</f>
        <v/>
      </c>
      <c r="C1421" s="203" t="str">
        <f>IF(DATA!O1351="","",DATA!O1351)</f>
        <v/>
      </c>
      <c r="D1421" s="203" t="str">
        <f>IF(DATA!P1351="","",DATA!P1351)</f>
        <v/>
      </c>
      <c r="E1421" s="13"/>
      <c r="F1421" s="5" t="str">
        <f t="shared" si="104"/>
        <v/>
      </c>
      <c r="G1421" s="1"/>
      <c r="H1421" s="77">
        <f>IF(G1421="",0,VLOOKUP(G1421,REFCE!A:D,2,FALSE))</f>
        <v>0</v>
      </c>
      <c r="I1421" s="77" t="str">
        <f t="shared" si="105"/>
        <v/>
      </c>
    </row>
    <row r="1422" spans="1:9" x14ac:dyDescent="0.25">
      <c r="A1422" s="203" t="str">
        <f>IF(DATA!M1352="","",DATA!M1352)</f>
        <v/>
      </c>
      <c r="B1422" s="203" t="str">
        <f>IF(DATA!N1352="","",DATA!N1352)</f>
        <v/>
      </c>
      <c r="C1422" s="203" t="str">
        <f>IF(DATA!O1352="","",DATA!O1352)</f>
        <v/>
      </c>
      <c r="D1422" s="203" t="str">
        <f>IF(DATA!P1352="","",DATA!P1352)</f>
        <v/>
      </c>
      <c r="E1422" s="13"/>
      <c r="F1422" s="5" t="str">
        <f t="shared" ref="F1422:F1485" si="106">IF(D1422="","",D1422*E1422)</f>
        <v/>
      </c>
      <c r="G1422" s="1"/>
      <c r="H1422" s="77">
        <f>IF(G1422="",0,VLOOKUP(G1422,REFCE!A:D,2,FALSE))</f>
        <v>0</v>
      </c>
      <c r="I1422" s="77" t="str">
        <f t="shared" ref="I1422:I1485" si="107">IF(F1422="","",F1422*H1422)</f>
        <v/>
      </c>
    </row>
    <row r="1423" spans="1:9" x14ac:dyDescent="0.25">
      <c r="A1423" s="203" t="str">
        <f>IF(DATA!M1353="","",DATA!M1353)</f>
        <v/>
      </c>
      <c r="B1423" s="203" t="str">
        <f>IF(DATA!N1353="","",DATA!N1353)</f>
        <v/>
      </c>
      <c r="C1423" s="203" t="str">
        <f>IF(DATA!O1353="","",DATA!O1353)</f>
        <v/>
      </c>
      <c r="D1423" s="203" t="str">
        <f>IF(DATA!P1353="","",DATA!P1353)</f>
        <v/>
      </c>
      <c r="E1423" s="13"/>
      <c r="F1423" s="5" t="str">
        <f t="shared" si="106"/>
        <v/>
      </c>
      <c r="G1423" s="1"/>
      <c r="H1423" s="77">
        <f>IF(G1423="",0,VLOOKUP(G1423,REFCE!A:D,2,FALSE))</f>
        <v>0</v>
      </c>
      <c r="I1423" s="77" t="str">
        <f t="shared" si="107"/>
        <v/>
      </c>
    </row>
    <row r="1424" spans="1:9" x14ac:dyDescent="0.25">
      <c r="A1424" s="203" t="str">
        <f>IF(DATA!M1354="","",DATA!M1354)</f>
        <v/>
      </c>
      <c r="B1424" s="203" t="str">
        <f>IF(DATA!N1354="","",DATA!N1354)</f>
        <v/>
      </c>
      <c r="C1424" s="203" t="str">
        <f>IF(DATA!O1354="","",DATA!O1354)</f>
        <v/>
      </c>
      <c r="D1424" s="203" t="str">
        <f>IF(DATA!P1354="","",DATA!P1354)</f>
        <v/>
      </c>
      <c r="E1424" s="13"/>
      <c r="F1424" s="5" t="str">
        <f t="shared" si="106"/>
        <v/>
      </c>
      <c r="G1424" s="1"/>
      <c r="H1424" s="77">
        <f>IF(G1424="",0,VLOOKUP(G1424,REFCE!A:D,2,FALSE))</f>
        <v>0</v>
      </c>
      <c r="I1424" s="77" t="str">
        <f t="shared" si="107"/>
        <v/>
      </c>
    </row>
    <row r="1425" spans="1:9" x14ac:dyDescent="0.25">
      <c r="A1425" s="203" t="str">
        <f>IF(DATA!M1355="","",DATA!M1355)</f>
        <v/>
      </c>
      <c r="B1425" s="203" t="str">
        <f>IF(DATA!N1355="","",DATA!N1355)</f>
        <v/>
      </c>
      <c r="C1425" s="203" t="str">
        <f>IF(DATA!O1355="","",DATA!O1355)</f>
        <v/>
      </c>
      <c r="D1425" s="203" t="str">
        <f>IF(DATA!P1355="","",DATA!P1355)</f>
        <v/>
      </c>
      <c r="E1425" s="13"/>
      <c r="F1425" s="5" t="str">
        <f t="shared" si="106"/>
        <v/>
      </c>
      <c r="G1425" s="1"/>
      <c r="H1425" s="77">
        <f>IF(G1425="",0,VLOOKUP(G1425,REFCE!A:D,2,FALSE))</f>
        <v>0</v>
      </c>
      <c r="I1425" s="77" t="str">
        <f t="shared" si="107"/>
        <v/>
      </c>
    </row>
    <row r="1426" spans="1:9" x14ac:dyDescent="0.25">
      <c r="A1426" s="203" t="str">
        <f>IF(DATA!M1356="","",DATA!M1356)</f>
        <v/>
      </c>
      <c r="B1426" s="203" t="str">
        <f>IF(DATA!N1356="","",DATA!N1356)</f>
        <v/>
      </c>
      <c r="C1426" s="203" t="str">
        <f>IF(DATA!O1356="","",DATA!O1356)</f>
        <v/>
      </c>
      <c r="D1426" s="203" t="str">
        <f>IF(DATA!P1356="","",DATA!P1356)</f>
        <v/>
      </c>
      <c r="E1426" s="13"/>
      <c r="F1426" s="5" t="str">
        <f t="shared" si="106"/>
        <v/>
      </c>
      <c r="G1426" s="1"/>
      <c r="H1426" s="77">
        <f>IF(G1426="",0,VLOOKUP(G1426,REFCE!A:D,2,FALSE))</f>
        <v>0</v>
      </c>
      <c r="I1426" s="77" t="str">
        <f t="shared" si="107"/>
        <v/>
      </c>
    </row>
    <row r="1427" spans="1:9" x14ac:dyDescent="0.25">
      <c r="A1427" s="203" t="str">
        <f>IF(DATA!M1357="","",DATA!M1357)</f>
        <v/>
      </c>
      <c r="B1427" s="203" t="str">
        <f>IF(DATA!N1357="","",DATA!N1357)</f>
        <v/>
      </c>
      <c r="C1427" s="203" t="str">
        <f>IF(DATA!O1357="","",DATA!O1357)</f>
        <v/>
      </c>
      <c r="D1427" s="203" t="str">
        <f>IF(DATA!P1357="","",DATA!P1357)</f>
        <v/>
      </c>
      <c r="E1427" s="13"/>
      <c r="F1427" s="5" t="str">
        <f t="shared" si="106"/>
        <v/>
      </c>
      <c r="G1427" s="1"/>
      <c r="H1427" s="77">
        <f>IF(G1427="",0,VLOOKUP(G1427,REFCE!A:D,2,FALSE))</f>
        <v>0</v>
      </c>
      <c r="I1427" s="77" t="str">
        <f t="shared" si="107"/>
        <v/>
      </c>
    </row>
    <row r="1428" spans="1:9" x14ac:dyDescent="0.25">
      <c r="A1428" s="203" t="str">
        <f>IF(DATA!M1358="","",DATA!M1358)</f>
        <v/>
      </c>
      <c r="B1428" s="203" t="str">
        <f>IF(DATA!N1358="","",DATA!N1358)</f>
        <v/>
      </c>
      <c r="C1428" s="203" t="str">
        <f>IF(DATA!O1358="","",DATA!O1358)</f>
        <v/>
      </c>
      <c r="D1428" s="203" t="str">
        <f>IF(DATA!P1358="","",DATA!P1358)</f>
        <v/>
      </c>
      <c r="E1428" s="13"/>
      <c r="F1428" s="5" t="str">
        <f t="shared" si="106"/>
        <v/>
      </c>
      <c r="G1428" s="1"/>
      <c r="H1428" s="77">
        <f>IF(G1428="",0,VLOOKUP(G1428,REFCE!A:D,2,FALSE))</f>
        <v>0</v>
      </c>
      <c r="I1428" s="77" t="str">
        <f t="shared" si="107"/>
        <v/>
      </c>
    </row>
    <row r="1429" spans="1:9" x14ac:dyDescent="0.25">
      <c r="A1429" s="203" t="str">
        <f>IF(DATA!M1359="","",DATA!M1359)</f>
        <v/>
      </c>
      <c r="B1429" s="203" t="str">
        <f>IF(DATA!N1359="","",DATA!N1359)</f>
        <v/>
      </c>
      <c r="C1429" s="203" t="str">
        <f>IF(DATA!O1359="","",DATA!O1359)</f>
        <v/>
      </c>
      <c r="D1429" s="203" t="str">
        <f>IF(DATA!P1359="","",DATA!P1359)</f>
        <v/>
      </c>
      <c r="E1429" s="13"/>
      <c r="F1429" s="5" t="str">
        <f t="shared" si="106"/>
        <v/>
      </c>
      <c r="G1429" s="1"/>
      <c r="H1429" s="77">
        <f>IF(G1429="",0,VLOOKUP(G1429,REFCE!A:D,2,FALSE))</f>
        <v>0</v>
      </c>
      <c r="I1429" s="77" t="str">
        <f t="shared" si="107"/>
        <v/>
      </c>
    </row>
    <row r="1430" spans="1:9" x14ac:dyDescent="0.25">
      <c r="A1430" s="203" t="str">
        <f>IF(DATA!M1360="","",DATA!M1360)</f>
        <v/>
      </c>
      <c r="B1430" s="203" t="str">
        <f>IF(DATA!N1360="","",DATA!N1360)</f>
        <v/>
      </c>
      <c r="C1430" s="203" t="str">
        <f>IF(DATA!O1360="","",DATA!O1360)</f>
        <v/>
      </c>
      <c r="D1430" s="203" t="str">
        <f>IF(DATA!P1360="","",DATA!P1360)</f>
        <v/>
      </c>
      <c r="E1430" s="13"/>
      <c r="F1430" s="5" t="str">
        <f t="shared" si="106"/>
        <v/>
      </c>
      <c r="G1430" s="1"/>
      <c r="H1430" s="77">
        <f>IF(G1430="",0,VLOOKUP(G1430,REFCE!A:D,2,FALSE))</f>
        <v>0</v>
      </c>
      <c r="I1430" s="77" t="str">
        <f t="shared" si="107"/>
        <v/>
      </c>
    </row>
    <row r="1431" spans="1:9" x14ac:dyDescent="0.25">
      <c r="A1431" s="203" t="str">
        <f>IF(DATA!M1361="","",DATA!M1361)</f>
        <v/>
      </c>
      <c r="B1431" s="203" t="str">
        <f>IF(DATA!N1361="","",DATA!N1361)</f>
        <v/>
      </c>
      <c r="C1431" s="203" t="str">
        <f>IF(DATA!O1361="","",DATA!O1361)</f>
        <v/>
      </c>
      <c r="D1431" s="203" t="str">
        <f>IF(DATA!P1361="","",DATA!P1361)</f>
        <v/>
      </c>
      <c r="E1431" s="13"/>
      <c r="F1431" s="5" t="str">
        <f t="shared" si="106"/>
        <v/>
      </c>
      <c r="G1431" s="1"/>
      <c r="H1431" s="77">
        <f>IF(G1431="",0,VLOOKUP(G1431,REFCE!A:D,2,FALSE))</f>
        <v>0</v>
      </c>
      <c r="I1431" s="77" t="str">
        <f t="shared" si="107"/>
        <v/>
      </c>
    </row>
    <row r="1432" spans="1:9" x14ac:dyDescent="0.25">
      <c r="A1432" s="203" t="str">
        <f>IF(DATA!M1362="","",DATA!M1362)</f>
        <v/>
      </c>
      <c r="B1432" s="203" t="str">
        <f>IF(DATA!N1362="","",DATA!N1362)</f>
        <v/>
      </c>
      <c r="C1432" s="203" t="str">
        <f>IF(DATA!O1362="","",DATA!O1362)</f>
        <v/>
      </c>
      <c r="D1432" s="203" t="str">
        <f>IF(DATA!P1362="","",DATA!P1362)</f>
        <v/>
      </c>
      <c r="E1432" s="13"/>
      <c r="F1432" s="5" t="str">
        <f t="shared" si="106"/>
        <v/>
      </c>
      <c r="G1432" s="1"/>
      <c r="H1432" s="77">
        <f>IF(G1432="",0,VLOOKUP(G1432,REFCE!A:D,2,FALSE))</f>
        <v>0</v>
      </c>
      <c r="I1432" s="77" t="str">
        <f t="shared" si="107"/>
        <v/>
      </c>
    </row>
    <row r="1433" spans="1:9" x14ac:dyDescent="0.25">
      <c r="A1433" s="203" t="str">
        <f>IF(DATA!M1363="","",DATA!M1363)</f>
        <v/>
      </c>
      <c r="B1433" s="203" t="str">
        <f>IF(DATA!N1363="","",DATA!N1363)</f>
        <v/>
      </c>
      <c r="C1433" s="203" t="str">
        <f>IF(DATA!O1363="","",DATA!O1363)</f>
        <v/>
      </c>
      <c r="D1433" s="203" t="str">
        <f>IF(DATA!P1363="","",DATA!P1363)</f>
        <v/>
      </c>
      <c r="E1433" s="13"/>
      <c r="F1433" s="5" t="str">
        <f t="shared" si="106"/>
        <v/>
      </c>
      <c r="G1433" s="1"/>
      <c r="H1433" s="77">
        <f>IF(G1433="",0,VLOOKUP(G1433,REFCE!A:D,2,FALSE))</f>
        <v>0</v>
      </c>
      <c r="I1433" s="77" t="str">
        <f t="shared" si="107"/>
        <v/>
      </c>
    </row>
    <row r="1434" spans="1:9" x14ac:dyDescent="0.25">
      <c r="A1434" s="203" t="str">
        <f>IF(DATA!M1364="","",DATA!M1364)</f>
        <v/>
      </c>
      <c r="B1434" s="203" t="str">
        <f>IF(DATA!N1364="","",DATA!N1364)</f>
        <v/>
      </c>
      <c r="C1434" s="203" t="str">
        <f>IF(DATA!O1364="","",DATA!O1364)</f>
        <v/>
      </c>
      <c r="D1434" s="203" t="str">
        <f>IF(DATA!P1364="","",DATA!P1364)</f>
        <v/>
      </c>
      <c r="E1434" s="13"/>
      <c r="F1434" s="5" t="str">
        <f t="shared" si="106"/>
        <v/>
      </c>
      <c r="G1434" s="1"/>
      <c r="H1434" s="77">
        <f>IF(G1434="",0,VLOOKUP(G1434,REFCE!A:D,2,FALSE))</f>
        <v>0</v>
      </c>
      <c r="I1434" s="77" t="str">
        <f t="shared" si="107"/>
        <v/>
      </c>
    </row>
    <row r="1435" spans="1:9" x14ac:dyDescent="0.25">
      <c r="A1435" s="203" t="str">
        <f>IF(DATA!M1365="","",DATA!M1365)</f>
        <v/>
      </c>
      <c r="B1435" s="203" t="str">
        <f>IF(DATA!N1365="","",DATA!N1365)</f>
        <v/>
      </c>
      <c r="C1435" s="203" t="str">
        <f>IF(DATA!O1365="","",DATA!O1365)</f>
        <v/>
      </c>
      <c r="D1435" s="203" t="str">
        <f>IF(DATA!P1365="","",DATA!P1365)</f>
        <v/>
      </c>
      <c r="E1435" s="13"/>
      <c r="F1435" s="5" t="str">
        <f t="shared" si="106"/>
        <v/>
      </c>
      <c r="G1435" s="1"/>
      <c r="H1435" s="77">
        <f>IF(G1435="",0,VLOOKUP(G1435,REFCE!A:D,2,FALSE))</f>
        <v>0</v>
      </c>
      <c r="I1435" s="77" t="str">
        <f t="shared" si="107"/>
        <v/>
      </c>
    </row>
    <row r="1436" spans="1:9" x14ac:dyDescent="0.25">
      <c r="A1436" s="203" t="str">
        <f>IF(DATA!M1366="","",DATA!M1366)</f>
        <v/>
      </c>
      <c r="B1436" s="203" t="str">
        <f>IF(DATA!N1366="","",DATA!N1366)</f>
        <v/>
      </c>
      <c r="C1436" s="203" t="str">
        <f>IF(DATA!O1366="","",DATA!O1366)</f>
        <v/>
      </c>
      <c r="D1436" s="203" t="str">
        <f>IF(DATA!P1366="","",DATA!P1366)</f>
        <v/>
      </c>
      <c r="E1436" s="13"/>
      <c r="F1436" s="5" t="str">
        <f t="shared" si="106"/>
        <v/>
      </c>
      <c r="G1436" s="1"/>
      <c r="H1436" s="77">
        <f>IF(G1436="",0,VLOOKUP(G1436,REFCE!A:D,2,FALSE))</f>
        <v>0</v>
      </c>
      <c r="I1436" s="77" t="str">
        <f t="shared" si="107"/>
        <v/>
      </c>
    </row>
    <row r="1437" spans="1:9" x14ac:dyDescent="0.25">
      <c r="A1437" s="203" t="str">
        <f>IF(DATA!M1367="","",DATA!M1367)</f>
        <v/>
      </c>
      <c r="B1437" s="203" t="str">
        <f>IF(DATA!N1367="","",DATA!N1367)</f>
        <v/>
      </c>
      <c r="C1437" s="203" t="str">
        <f>IF(DATA!O1367="","",DATA!O1367)</f>
        <v/>
      </c>
      <c r="D1437" s="203" t="str">
        <f>IF(DATA!P1367="","",DATA!P1367)</f>
        <v/>
      </c>
      <c r="E1437" s="13"/>
      <c r="F1437" s="5" t="str">
        <f t="shared" si="106"/>
        <v/>
      </c>
      <c r="G1437" s="1"/>
      <c r="H1437" s="77">
        <f>IF(G1437="",0,VLOOKUP(G1437,REFCE!A:D,2,FALSE))</f>
        <v>0</v>
      </c>
      <c r="I1437" s="77" t="str">
        <f t="shared" si="107"/>
        <v/>
      </c>
    </row>
    <row r="1438" spans="1:9" x14ac:dyDescent="0.25">
      <c r="A1438" s="203" t="str">
        <f>IF(DATA!M1368="","",DATA!M1368)</f>
        <v/>
      </c>
      <c r="B1438" s="203" t="str">
        <f>IF(DATA!N1368="","",DATA!N1368)</f>
        <v/>
      </c>
      <c r="C1438" s="203" t="str">
        <f>IF(DATA!O1368="","",DATA!O1368)</f>
        <v/>
      </c>
      <c r="D1438" s="203" t="str">
        <f>IF(DATA!P1368="","",DATA!P1368)</f>
        <v/>
      </c>
      <c r="E1438" s="13"/>
      <c r="F1438" s="5" t="str">
        <f t="shared" si="106"/>
        <v/>
      </c>
      <c r="G1438" s="1"/>
      <c r="H1438" s="77">
        <f>IF(G1438="",0,VLOOKUP(G1438,REFCE!A:D,2,FALSE))</f>
        <v>0</v>
      </c>
      <c r="I1438" s="77" t="str">
        <f t="shared" si="107"/>
        <v/>
      </c>
    </row>
    <row r="1439" spans="1:9" x14ac:dyDescent="0.25">
      <c r="A1439" s="203" t="str">
        <f>IF(DATA!M1369="","",DATA!M1369)</f>
        <v/>
      </c>
      <c r="B1439" s="203" t="str">
        <f>IF(DATA!N1369="","",DATA!N1369)</f>
        <v/>
      </c>
      <c r="C1439" s="203" t="str">
        <f>IF(DATA!O1369="","",DATA!O1369)</f>
        <v/>
      </c>
      <c r="D1439" s="203" t="str">
        <f>IF(DATA!P1369="","",DATA!P1369)</f>
        <v/>
      </c>
      <c r="E1439" s="13"/>
      <c r="F1439" s="5" t="str">
        <f t="shared" si="106"/>
        <v/>
      </c>
      <c r="G1439" s="1"/>
      <c r="H1439" s="77">
        <f>IF(G1439="",0,VLOOKUP(G1439,REFCE!A:D,2,FALSE))</f>
        <v>0</v>
      </c>
      <c r="I1439" s="77" t="str">
        <f t="shared" si="107"/>
        <v/>
      </c>
    </row>
    <row r="1440" spans="1:9" x14ac:dyDescent="0.25">
      <c r="A1440" s="203" t="str">
        <f>IF(DATA!M1370="","",DATA!M1370)</f>
        <v/>
      </c>
      <c r="B1440" s="203" t="str">
        <f>IF(DATA!N1370="","",DATA!N1370)</f>
        <v/>
      </c>
      <c r="C1440" s="203" t="str">
        <f>IF(DATA!O1370="","",DATA!O1370)</f>
        <v/>
      </c>
      <c r="D1440" s="203" t="str">
        <f>IF(DATA!P1370="","",DATA!P1370)</f>
        <v/>
      </c>
      <c r="E1440" s="13"/>
      <c r="F1440" s="5" t="str">
        <f t="shared" si="106"/>
        <v/>
      </c>
      <c r="G1440" s="1"/>
      <c r="H1440" s="77">
        <f>IF(G1440="",0,VLOOKUP(G1440,REFCE!A:D,2,FALSE))</f>
        <v>0</v>
      </c>
      <c r="I1440" s="77" t="str">
        <f t="shared" si="107"/>
        <v/>
      </c>
    </row>
    <row r="1441" spans="1:9" x14ac:dyDescent="0.25">
      <c r="A1441" s="203" t="str">
        <f>IF(DATA!M1371="","",DATA!M1371)</f>
        <v/>
      </c>
      <c r="B1441" s="203" t="str">
        <f>IF(DATA!N1371="","",DATA!N1371)</f>
        <v/>
      </c>
      <c r="C1441" s="203" t="str">
        <f>IF(DATA!O1371="","",DATA!O1371)</f>
        <v/>
      </c>
      <c r="D1441" s="203" t="str">
        <f>IF(DATA!P1371="","",DATA!P1371)</f>
        <v/>
      </c>
      <c r="E1441" s="13"/>
      <c r="F1441" s="5" t="str">
        <f t="shared" si="106"/>
        <v/>
      </c>
      <c r="G1441" s="1"/>
      <c r="H1441" s="77">
        <f>IF(G1441="",0,VLOOKUP(G1441,REFCE!A:D,2,FALSE))</f>
        <v>0</v>
      </c>
      <c r="I1441" s="77" t="str">
        <f t="shared" si="107"/>
        <v/>
      </c>
    </row>
    <row r="1442" spans="1:9" x14ac:dyDescent="0.25">
      <c r="A1442" s="203" t="str">
        <f>IF(DATA!M1372="","",DATA!M1372)</f>
        <v/>
      </c>
      <c r="B1442" s="203" t="str">
        <f>IF(DATA!N1372="","",DATA!N1372)</f>
        <v/>
      </c>
      <c r="C1442" s="203" t="str">
        <f>IF(DATA!O1372="","",DATA!O1372)</f>
        <v/>
      </c>
      <c r="D1442" s="203" t="str">
        <f>IF(DATA!P1372="","",DATA!P1372)</f>
        <v/>
      </c>
      <c r="E1442" s="13"/>
      <c r="F1442" s="5" t="str">
        <f t="shared" si="106"/>
        <v/>
      </c>
      <c r="G1442" s="1"/>
      <c r="H1442" s="77">
        <f>IF(G1442="",0,VLOOKUP(G1442,REFCE!A:D,2,FALSE))</f>
        <v>0</v>
      </c>
      <c r="I1442" s="77" t="str">
        <f t="shared" si="107"/>
        <v/>
      </c>
    </row>
    <row r="1443" spans="1:9" x14ac:dyDescent="0.25">
      <c r="A1443" s="203" t="str">
        <f>IF(DATA!M1373="","",DATA!M1373)</f>
        <v/>
      </c>
      <c r="B1443" s="203" t="str">
        <f>IF(DATA!N1373="","",DATA!N1373)</f>
        <v/>
      </c>
      <c r="C1443" s="203" t="str">
        <f>IF(DATA!O1373="","",DATA!O1373)</f>
        <v/>
      </c>
      <c r="D1443" s="203" t="str">
        <f>IF(DATA!P1373="","",DATA!P1373)</f>
        <v/>
      </c>
      <c r="E1443" s="13"/>
      <c r="F1443" s="5" t="str">
        <f t="shared" si="106"/>
        <v/>
      </c>
      <c r="G1443" s="1"/>
      <c r="H1443" s="77">
        <f>IF(G1443="",0,VLOOKUP(G1443,REFCE!A:D,2,FALSE))</f>
        <v>0</v>
      </c>
      <c r="I1443" s="77" t="str">
        <f t="shared" si="107"/>
        <v/>
      </c>
    </row>
    <row r="1444" spans="1:9" x14ac:dyDescent="0.25">
      <c r="A1444" s="203" t="str">
        <f>IF(DATA!M1374="","",DATA!M1374)</f>
        <v/>
      </c>
      <c r="B1444" s="203" t="str">
        <f>IF(DATA!N1374="","",DATA!N1374)</f>
        <v/>
      </c>
      <c r="C1444" s="203" t="str">
        <f>IF(DATA!O1374="","",DATA!O1374)</f>
        <v/>
      </c>
      <c r="D1444" s="203" t="str">
        <f>IF(DATA!P1374="","",DATA!P1374)</f>
        <v/>
      </c>
      <c r="E1444" s="13"/>
      <c r="F1444" s="5" t="str">
        <f t="shared" si="106"/>
        <v/>
      </c>
      <c r="G1444" s="1"/>
      <c r="H1444" s="77">
        <f>IF(G1444="",0,VLOOKUP(G1444,REFCE!A:D,2,FALSE))</f>
        <v>0</v>
      </c>
      <c r="I1444" s="77" t="str">
        <f t="shared" si="107"/>
        <v/>
      </c>
    </row>
    <row r="1445" spans="1:9" x14ac:dyDescent="0.25">
      <c r="A1445" s="203" t="str">
        <f>IF(DATA!M1375="","",DATA!M1375)</f>
        <v/>
      </c>
      <c r="B1445" s="203" t="str">
        <f>IF(DATA!N1375="","",DATA!N1375)</f>
        <v/>
      </c>
      <c r="C1445" s="203" t="str">
        <f>IF(DATA!O1375="","",DATA!O1375)</f>
        <v/>
      </c>
      <c r="D1445" s="203" t="str">
        <f>IF(DATA!P1375="","",DATA!P1375)</f>
        <v/>
      </c>
      <c r="E1445" s="13"/>
      <c r="F1445" s="5" t="str">
        <f t="shared" si="106"/>
        <v/>
      </c>
      <c r="G1445" s="1"/>
      <c r="H1445" s="77">
        <f>IF(G1445="",0,VLOOKUP(G1445,REFCE!A:D,2,FALSE))</f>
        <v>0</v>
      </c>
      <c r="I1445" s="77" t="str">
        <f t="shared" si="107"/>
        <v/>
      </c>
    </row>
    <row r="1446" spans="1:9" x14ac:dyDescent="0.25">
      <c r="A1446" s="203" t="str">
        <f>IF(DATA!M1376="","",DATA!M1376)</f>
        <v/>
      </c>
      <c r="B1446" s="203" t="str">
        <f>IF(DATA!N1376="","",DATA!N1376)</f>
        <v/>
      </c>
      <c r="C1446" s="203" t="str">
        <f>IF(DATA!O1376="","",DATA!O1376)</f>
        <v/>
      </c>
      <c r="D1446" s="203" t="str">
        <f>IF(DATA!P1376="","",DATA!P1376)</f>
        <v/>
      </c>
      <c r="E1446" s="13"/>
      <c r="F1446" s="5" t="str">
        <f t="shared" si="106"/>
        <v/>
      </c>
      <c r="G1446" s="1"/>
      <c r="H1446" s="77">
        <f>IF(G1446="",0,VLOOKUP(G1446,REFCE!A:D,2,FALSE))</f>
        <v>0</v>
      </c>
      <c r="I1446" s="77" t="str">
        <f t="shared" si="107"/>
        <v/>
      </c>
    </row>
    <row r="1447" spans="1:9" x14ac:dyDescent="0.25">
      <c r="A1447" s="203" t="str">
        <f>IF(DATA!M1377="","",DATA!M1377)</f>
        <v/>
      </c>
      <c r="B1447" s="203" t="str">
        <f>IF(DATA!N1377="","",DATA!N1377)</f>
        <v/>
      </c>
      <c r="C1447" s="203" t="str">
        <f>IF(DATA!O1377="","",DATA!O1377)</f>
        <v/>
      </c>
      <c r="D1447" s="203" t="str">
        <f>IF(DATA!P1377="","",DATA!P1377)</f>
        <v/>
      </c>
      <c r="E1447" s="13"/>
      <c r="F1447" s="5" t="str">
        <f t="shared" si="106"/>
        <v/>
      </c>
      <c r="G1447" s="1"/>
      <c r="H1447" s="77">
        <f>IF(G1447="",0,VLOOKUP(G1447,REFCE!A:D,2,FALSE))</f>
        <v>0</v>
      </c>
      <c r="I1447" s="77" t="str">
        <f t="shared" si="107"/>
        <v/>
      </c>
    </row>
    <row r="1448" spans="1:9" x14ac:dyDescent="0.25">
      <c r="A1448" s="203" t="str">
        <f>IF(DATA!M1378="","",DATA!M1378)</f>
        <v/>
      </c>
      <c r="B1448" s="203" t="str">
        <f>IF(DATA!N1378="","",DATA!N1378)</f>
        <v/>
      </c>
      <c r="C1448" s="203" t="str">
        <f>IF(DATA!O1378="","",DATA!O1378)</f>
        <v/>
      </c>
      <c r="D1448" s="203" t="str">
        <f>IF(DATA!P1378="","",DATA!P1378)</f>
        <v/>
      </c>
      <c r="E1448" s="13"/>
      <c r="F1448" s="5" t="str">
        <f t="shared" si="106"/>
        <v/>
      </c>
      <c r="G1448" s="1"/>
      <c r="H1448" s="77">
        <f>IF(G1448="",0,VLOOKUP(G1448,REFCE!A:D,2,FALSE))</f>
        <v>0</v>
      </c>
      <c r="I1448" s="77" t="str">
        <f t="shared" si="107"/>
        <v/>
      </c>
    </row>
    <row r="1449" spans="1:9" x14ac:dyDescent="0.25">
      <c r="A1449" s="203" t="str">
        <f>IF(DATA!M1379="","",DATA!M1379)</f>
        <v/>
      </c>
      <c r="B1449" s="203" t="str">
        <f>IF(DATA!N1379="","",DATA!N1379)</f>
        <v/>
      </c>
      <c r="C1449" s="203" t="str">
        <f>IF(DATA!O1379="","",DATA!O1379)</f>
        <v/>
      </c>
      <c r="D1449" s="203" t="str">
        <f>IF(DATA!P1379="","",DATA!P1379)</f>
        <v/>
      </c>
      <c r="E1449" s="13"/>
      <c r="F1449" s="5" t="str">
        <f t="shared" si="106"/>
        <v/>
      </c>
      <c r="G1449" s="1"/>
      <c r="H1449" s="77">
        <f>IF(G1449="",0,VLOOKUP(G1449,REFCE!A:D,2,FALSE))</f>
        <v>0</v>
      </c>
      <c r="I1449" s="77" t="str">
        <f t="shared" si="107"/>
        <v/>
      </c>
    </row>
    <row r="1450" spans="1:9" x14ac:dyDescent="0.25">
      <c r="A1450" s="203" t="str">
        <f>IF(DATA!M1380="","",DATA!M1380)</f>
        <v/>
      </c>
      <c r="B1450" s="203" t="str">
        <f>IF(DATA!N1380="","",DATA!N1380)</f>
        <v/>
      </c>
      <c r="C1450" s="203" t="str">
        <f>IF(DATA!O1380="","",DATA!O1380)</f>
        <v/>
      </c>
      <c r="D1450" s="203" t="str">
        <f>IF(DATA!P1380="","",DATA!P1380)</f>
        <v/>
      </c>
      <c r="E1450" s="13"/>
      <c r="F1450" s="5" t="str">
        <f t="shared" si="106"/>
        <v/>
      </c>
      <c r="G1450" s="1"/>
      <c r="H1450" s="77">
        <f>IF(G1450="",0,VLOOKUP(G1450,REFCE!A:D,2,FALSE))</f>
        <v>0</v>
      </c>
      <c r="I1450" s="77" t="str">
        <f t="shared" si="107"/>
        <v/>
      </c>
    </row>
    <row r="1451" spans="1:9" x14ac:dyDescent="0.25">
      <c r="A1451" s="203" t="str">
        <f>IF(DATA!M1381="","",DATA!M1381)</f>
        <v/>
      </c>
      <c r="B1451" s="203" t="str">
        <f>IF(DATA!N1381="","",DATA!N1381)</f>
        <v/>
      </c>
      <c r="C1451" s="203" t="str">
        <f>IF(DATA!O1381="","",DATA!O1381)</f>
        <v/>
      </c>
      <c r="D1451" s="203" t="str">
        <f>IF(DATA!P1381="","",DATA!P1381)</f>
        <v/>
      </c>
      <c r="E1451" s="13"/>
      <c r="F1451" s="5" t="str">
        <f t="shared" si="106"/>
        <v/>
      </c>
      <c r="G1451" s="1"/>
      <c r="H1451" s="77">
        <f>IF(G1451="",0,VLOOKUP(G1451,REFCE!A:D,2,FALSE))</f>
        <v>0</v>
      </c>
      <c r="I1451" s="77" t="str">
        <f t="shared" si="107"/>
        <v/>
      </c>
    </row>
    <row r="1452" spans="1:9" x14ac:dyDescent="0.25">
      <c r="A1452" s="203" t="str">
        <f>IF(DATA!M1382="","",DATA!M1382)</f>
        <v/>
      </c>
      <c r="B1452" s="203" t="str">
        <f>IF(DATA!N1382="","",DATA!N1382)</f>
        <v/>
      </c>
      <c r="C1452" s="203" t="str">
        <f>IF(DATA!O1382="","",DATA!O1382)</f>
        <v/>
      </c>
      <c r="D1452" s="203" t="str">
        <f>IF(DATA!P1382="","",DATA!P1382)</f>
        <v/>
      </c>
      <c r="E1452" s="13"/>
      <c r="F1452" s="5" t="str">
        <f t="shared" si="106"/>
        <v/>
      </c>
      <c r="G1452" s="1"/>
      <c r="H1452" s="77">
        <f>IF(G1452="",0,VLOOKUP(G1452,REFCE!A:D,2,FALSE))</f>
        <v>0</v>
      </c>
      <c r="I1452" s="77" t="str">
        <f t="shared" si="107"/>
        <v/>
      </c>
    </row>
    <row r="1453" spans="1:9" x14ac:dyDescent="0.25">
      <c r="A1453" s="203" t="str">
        <f>IF(DATA!M1383="","",DATA!M1383)</f>
        <v/>
      </c>
      <c r="B1453" s="203" t="str">
        <f>IF(DATA!N1383="","",DATA!N1383)</f>
        <v/>
      </c>
      <c r="C1453" s="203" t="str">
        <f>IF(DATA!O1383="","",DATA!O1383)</f>
        <v/>
      </c>
      <c r="D1453" s="203" t="str">
        <f>IF(DATA!P1383="","",DATA!P1383)</f>
        <v/>
      </c>
      <c r="E1453" s="13"/>
      <c r="F1453" s="5" t="str">
        <f t="shared" si="106"/>
        <v/>
      </c>
      <c r="G1453" s="1"/>
      <c r="H1453" s="77">
        <f>IF(G1453="",0,VLOOKUP(G1453,REFCE!A:D,2,FALSE))</f>
        <v>0</v>
      </c>
      <c r="I1453" s="77" t="str">
        <f t="shared" si="107"/>
        <v/>
      </c>
    </row>
    <row r="1454" spans="1:9" x14ac:dyDescent="0.25">
      <c r="A1454" s="203" t="str">
        <f>IF(DATA!M1384="","",DATA!M1384)</f>
        <v/>
      </c>
      <c r="B1454" s="203" t="str">
        <f>IF(DATA!N1384="","",DATA!N1384)</f>
        <v/>
      </c>
      <c r="C1454" s="203" t="str">
        <f>IF(DATA!O1384="","",DATA!O1384)</f>
        <v/>
      </c>
      <c r="D1454" s="203" t="str">
        <f>IF(DATA!P1384="","",DATA!P1384)</f>
        <v/>
      </c>
      <c r="E1454" s="13"/>
      <c r="F1454" s="5" t="str">
        <f t="shared" si="106"/>
        <v/>
      </c>
      <c r="G1454" s="1"/>
      <c r="H1454" s="77">
        <f>IF(G1454="",0,VLOOKUP(G1454,REFCE!A:D,2,FALSE))</f>
        <v>0</v>
      </c>
      <c r="I1454" s="77" t="str">
        <f t="shared" si="107"/>
        <v/>
      </c>
    </row>
    <row r="1455" spans="1:9" x14ac:dyDescent="0.25">
      <c r="A1455" s="203" t="str">
        <f>IF(DATA!M1385="","",DATA!M1385)</f>
        <v/>
      </c>
      <c r="B1455" s="203" t="str">
        <f>IF(DATA!N1385="","",DATA!N1385)</f>
        <v/>
      </c>
      <c r="C1455" s="203" t="str">
        <f>IF(DATA!O1385="","",DATA!O1385)</f>
        <v/>
      </c>
      <c r="D1455" s="203" t="str">
        <f>IF(DATA!P1385="","",DATA!P1385)</f>
        <v/>
      </c>
      <c r="E1455" s="13"/>
      <c r="F1455" s="5" t="str">
        <f t="shared" si="106"/>
        <v/>
      </c>
      <c r="G1455" s="1"/>
      <c r="H1455" s="77">
        <f>IF(G1455="",0,VLOOKUP(G1455,REFCE!A:D,2,FALSE))</f>
        <v>0</v>
      </c>
      <c r="I1455" s="77" t="str">
        <f t="shared" si="107"/>
        <v/>
      </c>
    </row>
    <row r="1456" spans="1:9" x14ac:dyDescent="0.25">
      <c r="A1456" s="203" t="str">
        <f>IF(DATA!M1386="","",DATA!M1386)</f>
        <v/>
      </c>
      <c r="B1456" s="203" t="str">
        <f>IF(DATA!N1386="","",DATA!N1386)</f>
        <v/>
      </c>
      <c r="C1456" s="203" t="str">
        <f>IF(DATA!O1386="","",DATA!O1386)</f>
        <v/>
      </c>
      <c r="D1456" s="203" t="str">
        <f>IF(DATA!P1386="","",DATA!P1386)</f>
        <v/>
      </c>
      <c r="E1456" s="13"/>
      <c r="F1456" s="5" t="str">
        <f t="shared" si="106"/>
        <v/>
      </c>
      <c r="G1456" s="1"/>
      <c r="H1456" s="77">
        <f>IF(G1456="",0,VLOOKUP(G1456,REFCE!A:D,2,FALSE))</f>
        <v>0</v>
      </c>
      <c r="I1456" s="77" t="str">
        <f t="shared" si="107"/>
        <v/>
      </c>
    </row>
    <row r="1457" spans="1:9" x14ac:dyDescent="0.25">
      <c r="A1457" s="203" t="str">
        <f>IF(DATA!M1387="","",DATA!M1387)</f>
        <v/>
      </c>
      <c r="B1457" s="203" t="str">
        <f>IF(DATA!N1387="","",DATA!N1387)</f>
        <v/>
      </c>
      <c r="C1457" s="203" t="str">
        <f>IF(DATA!O1387="","",DATA!O1387)</f>
        <v/>
      </c>
      <c r="D1457" s="203" t="str">
        <f>IF(DATA!P1387="","",DATA!P1387)</f>
        <v/>
      </c>
      <c r="E1457" s="13"/>
      <c r="F1457" s="5" t="str">
        <f t="shared" si="106"/>
        <v/>
      </c>
      <c r="G1457" s="1"/>
      <c r="H1457" s="77">
        <f>IF(G1457="",0,VLOOKUP(G1457,REFCE!A:D,2,FALSE))</f>
        <v>0</v>
      </c>
      <c r="I1457" s="77" t="str">
        <f t="shared" si="107"/>
        <v/>
      </c>
    </row>
    <row r="1458" spans="1:9" x14ac:dyDescent="0.25">
      <c r="A1458" s="203" t="str">
        <f>IF(DATA!M1388="","",DATA!M1388)</f>
        <v/>
      </c>
      <c r="B1458" s="203" t="str">
        <f>IF(DATA!N1388="","",DATA!N1388)</f>
        <v/>
      </c>
      <c r="C1458" s="203" t="str">
        <f>IF(DATA!O1388="","",DATA!O1388)</f>
        <v/>
      </c>
      <c r="D1458" s="203" t="str">
        <f>IF(DATA!P1388="","",DATA!P1388)</f>
        <v/>
      </c>
      <c r="E1458" s="13"/>
      <c r="F1458" s="5" t="str">
        <f t="shared" si="106"/>
        <v/>
      </c>
      <c r="G1458" s="1"/>
      <c r="H1458" s="77">
        <f>IF(G1458="",0,VLOOKUP(G1458,REFCE!A:D,2,FALSE))</f>
        <v>0</v>
      </c>
      <c r="I1458" s="77" t="str">
        <f t="shared" si="107"/>
        <v/>
      </c>
    </row>
    <row r="1459" spans="1:9" x14ac:dyDescent="0.25">
      <c r="A1459" s="203" t="str">
        <f>IF(DATA!M1389="","",DATA!M1389)</f>
        <v/>
      </c>
      <c r="B1459" s="203" t="str">
        <f>IF(DATA!N1389="","",DATA!N1389)</f>
        <v/>
      </c>
      <c r="C1459" s="203" t="str">
        <f>IF(DATA!O1389="","",DATA!O1389)</f>
        <v/>
      </c>
      <c r="D1459" s="203" t="str">
        <f>IF(DATA!P1389="","",DATA!P1389)</f>
        <v/>
      </c>
      <c r="E1459" s="13"/>
      <c r="F1459" s="5" t="str">
        <f t="shared" si="106"/>
        <v/>
      </c>
      <c r="G1459" s="1"/>
      <c r="H1459" s="77">
        <f>IF(G1459="",0,VLOOKUP(G1459,REFCE!A:D,2,FALSE))</f>
        <v>0</v>
      </c>
      <c r="I1459" s="77" t="str">
        <f t="shared" si="107"/>
        <v/>
      </c>
    </row>
    <row r="1460" spans="1:9" x14ac:dyDescent="0.25">
      <c r="A1460" s="203" t="str">
        <f>IF(DATA!M1390="","",DATA!M1390)</f>
        <v/>
      </c>
      <c r="B1460" s="203" t="str">
        <f>IF(DATA!N1390="","",DATA!N1390)</f>
        <v/>
      </c>
      <c r="C1460" s="203" t="str">
        <f>IF(DATA!O1390="","",DATA!O1390)</f>
        <v/>
      </c>
      <c r="D1460" s="203" t="str">
        <f>IF(DATA!P1390="","",DATA!P1390)</f>
        <v/>
      </c>
      <c r="E1460" s="13"/>
      <c r="F1460" s="5" t="str">
        <f t="shared" si="106"/>
        <v/>
      </c>
      <c r="G1460" s="1"/>
      <c r="H1460" s="77">
        <f>IF(G1460="",0,VLOOKUP(G1460,REFCE!A:D,2,FALSE))</f>
        <v>0</v>
      </c>
      <c r="I1460" s="77" t="str">
        <f t="shared" si="107"/>
        <v/>
      </c>
    </row>
    <row r="1461" spans="1:9" x14ac:dyDescent="0.25">
      <c r="A1461" s="203" t="str">
        <f>IF(DATA!M1391="","",DATA!M1391)</f>
        <v/>
      </c>
      <c r="B1461" s="203" t="str">
        <f>IF(DATA!N1391="","",DATA!N1391)</f>
        <v/>
      </c>
      <c r="C1461" s="203" t="str">
        <f>IF(DATA!O1391="","",DATA!O1391)</f>
        <v/>
      </c>
      <c r="D1461" s="203" t="str">
        <f>IF(DATA!P1391="","",DATA!P1391)</f>
        <v/>
      </c>
      <c r="E1461" s="13"/>
      <c r="F1461" s="5" t="str">
        <f t="shared" si="106"/>
        <v/>
      </c>
      <c r="G1461" s="1"/>
      <c r="H1461" s="77">
        <f>IF(G1461="",0,VLOOKUP(G1461,REFCE!A:D,2,FALSE))</f>
        <v>0</v>
      </c>
      <c r="I1461" s="77" t="str">
        <f t="shared" si="107"/>
        <v/>
      </c>
    </row>
    <row r="1462" spans="1:9" x14ac:dyDescent="0.25">
      <c r="A1462" s="203" t="str">
        <f>IF(DATA!M1392="","",DATA!M1392)</f>
        <v/>
      </c>
      <c r="B1462" s="203" t="str">
        <f>IF(DATA!N1392="","",DATA!N1392)</f>
        <v/>
      </c>
      <c r="C1462" s="203" t="str">
        <f>IF(DATA!O1392="","",DATA!O1392)</f>
        <v/>
      </c>
      <c r="D1462" s="203" t="str">
        <f>IF(DATA!P1392="","",DATA!P1392)</f>
        <v/>
      </c>
      <c r="E1462" s="13"/>
      <c r="F1462" s="5" t="str">
        <f t="shared" si="106"/>
        <v/>
      </c>
      <c r="G1462" s="1"/>
      <c r="H1462" s="77">
        <f>IF(G1462="",0,VLOOKUP(G1462,REFCE!A:D,2,FALSE))</f>
        <v>0</v>
      </c>
      <c r="I1462" s="77" t="str">
        <f t="shared" si="107"/>
        <v/>
      </c>
    </row>
    <row r="1463" spans="1:9" x14ac:dyDescent="0.25">
      <c r="A1463" s="203" t="str">
        <f>IF(DATA!M1393="","",DATA!M1393)</f>
        <v/>
      </c>
      <c r="B1463" s="203" t="str">
        <f>IF(DATA!N1393="","",DATA!N1393)</f>
        <v/>
      </c>
      <c r="C1463" s="203" t="str">
        <f>IF(DATA!O1393="","",DATA!O1393)</f>
        <v/>
      </c>
      <c r="D1463" s="203" t="str">
        <f>IF(DATA!P1393="","",DATA!P1393)</f>
        <v/>
      </c>
      <c r="E1463" s="13"/>
      <c r="F1463" s="5" t="str">
        <f t="shared" si="106"/>
        <v/>
      </c>
      <c r="G1463" s="1"/>
      <c r="H1463" s="77">
        <f>IF(G1463="",0,VLOOKUP(G1463,REFCE!A:D,2,FALSE))</f>
        <v>0</v>
      </c>
      <c r="I1463" s="77" t="str">
        <f t="shared" si="107"/>
        <v/>
      </c>
    </row>
    <row r="1464" spans="1:9" x14ac:dyDescent="0.25">
      <c r="A1464" s="203" t="str">
        <f>IF(DATA!M1394="","",DATA!M1394)</f>
        <v/>
      </c>
      <c r="B1464" s="203" t="str">
        <f>IF(DATA!N1394="","",DATA!N1394)</f>
        <v/>
      </c>
      <c r="C1464" s="203" t="str">
        <f>IF(DATA!O1394="","",DATA!O1394)</f>
        <v/>
      </c>
      <c r="D1464" s="203" t="str">
        <f>IF(DATA!P1394="","",DATA!P1394)</f>
        <v/>
      </c>
      <c r="E1464" s="13"/>
      <c r="F1464" s="5" t="str">
        <f t="shared" si="106"/>
        <v/>
      </c>
      <c r="G1464" s="1"/>
      <c r="H1464" s="77">
        <f>IF(G1464="",0,VLOOKUP(G1464,REFCE!A:D,2,FALSE))</f>
        <v>0</v>
      </c>
      <c r="I1464" s="77" t="str">
        <f t="shared" si="107"/>
        <v/>
      </c>
    </row>
    <row r="1465" spans="1:9" x14ac:dyDescent="0.25">
      <c r="A1465" s="203" t="str">
        <f>IF(DATA!M1395="","",DATA!M1395)</f>
        <v/>
      </c>
      <c r="B1465" s="203" t="str">
        <f>IF(DATA!N1395="","",DATA!N1395)</f>
        <v/>
      </c>
      <c r="C1465" s="203" t="str">
        <f>IF(DATA!O1395="","",DATA!O1395)</f>
        <v/>
      </c>
      <c r="D1465" s="203" t="str">
        <f>IF(DATA!P1395="","",DATA!P1395)</f>
        <v/>
      </c>
      <c r="E1465" s="13"/>
      <c r="F1465" s="5" t="str">
        <f t="shared" si="106"/>
        <v/>
      </c>
      <c r="G1465" s="1"/>
      <c r="H1465" s="77">
        <f>IF(G1465="",0,VLOOKUP(G1465,REFCE!A:D,2,FALSE))</f>
        <v>0</v>
      </c>
      <c r="I1465" s="77" t="str">
        <f t="shared" si="107"/>
        <v/>
      </c>
    </row>
    <row r="1466" spans="1:9" x14ac:dyDescent="0.25">
      <c r="A1466" s="203" t="str">
        <f>IF(DATA!M1396="","",DATA!M1396)</f>
        <v/>
      </c>
      <c r="B1466" s="203" t="str">
        <f>IF(DATA!N1396="","",DATA!N1396)</f>
        <v/>
      </c>
      <c r="C1466" s="203" t="str">
        <f>IF(DATA!O1396="","",DATA!O1396)</f>
        <v/>
      </c>
      <c r="D1466" s="203" t="str">
        <f>IF(DATA!P1396="","",DATA!P1396)</f>
        <v/>
      </c>
      <c r="E1466" s="13"/>
      <c r="F1466" s="5" t="str">
        <f t="shared" si="106"/>
        <v/>
      </c>
      <c r="G1466" s="1"/>
      <c r="H1466" s="77">
        <f>IF(G1466="",0,VLOOKUP(G1466,REFCE!A:D,2,FALSE))</f>
        <v>0</v>
      </c>
      <c r="I1466" s="77" t="str">
        <f t="shared" si="107"/>
        <v/>
      </c>
    </row>
    <row r="1467" spans="1:9" x14ac:dyDescent="0.25">
      <c r="A1467" s="203" t="str">
        <f>IF(DATA!M1397="","",DATA!M1397)</f>
        <v/>
      </c>
      <c r="B1467" s="203" t="str">
        <f>IF(DATA!N1397="","",DATA!N1397)</f>
        <v/>
      </c>
      <c r="C1467" s="203" t="str">
        <f>IF(DATA!O1397="","",DATA!O1397)</f>
        <v/>
      </c>
      <c r="D1467" s="203" t="str">
        <f>IF(DATA!P1397="","",DATA!P1397)</f>
        <v/>
      </c>
      <c r="E1467" s="13"/>
      <c r="F1467" s="5" t="str">
        <f t="shared" si="106"/>
        <v/>
      </c>
      <c r="G1467" s="1"/>
      <c r="H1467" s="77">
        <f>IF(G1467="",0,VLOOKUP(G1467,REFCE!A:D,2,FALSE))</f>
        <v>0</v>
      </c>
      <c r="I1467" s="77" t="str">
        <f t="shared" si="107"/>
        <v/>
      </c>
    </row>
    <row r="1468" spans="1:9" x14ac:dyDescent="0.25">
      <c r="A1468" s="203" t="str">
        <f>IF(DATA!M1398="","",DATA!M1398)</f>
        <v/>
      </c>
      <c r="B1468" s="203" t="str">
        <f>IF(DATA!N1398="","",DATA!N1398)</f>
        <v/>
      </c>
      <c r="C1468" s="203" t="str">
        <f>IF(DATA!O1398="","",DATA!O1398)</f>
        <v/>
      </c>
      <c r="D1468" s="203" t="str">
        <f>IF(DATA!P1398="","",DATA!P1398)</f>
        <v/>
      </c>
      <c r="E1468" s="13"/>
      <c r="F1468" s="5" t="str">
        <f t="shared" si="106"/>
        <v/>
      </c>
      <c r="G1468" s="1"/>
      <c r="H1468" s="77">
        <f>IF(G1468="",0,VLOOKUP(G1468,REFCE!A:D,2,FALSE))</f>
        <v>0</v>
      </c>
      <c r="I1468" s="77" t="str">
        <f t="shared" si="107"/>
        <v/>
      </c>
    </row>
    <row r="1469" spans="1:9" x14ac:dyDescent="0.25">
      <c r="A1469" s="203" t="str">
        <f>IF(DATA!M1399="","",DATA!M1399)</f>
        <v/>
      </c>
      <c r="B1469" s="203" t="str">
        <f>IF(DATA!N1399="","",DATA!N1399)</f>
        <v/>
      </c>
      <c r="C1469" s="203" t="str">
        <f>IF(DATA!O1399="","",DATA!O1399)</f>
        <v/>
      </c>
      <c r="D1469" s="203" t="str">
        <f>IF(DATA!P1399="","",DATA!P1399)</f>
        <v/>
      </c>
      <c r="E1469" s="13"/>
      <c r="F1469" s="5" t="str">
        <f t="shared" si="106"/>
        <v/>
      </c>
      <c r="G1469" s="1"/>
      <c r="H1469" s="77">
        <f>IF(G1469="",0,VLOOKUP(G1469,REFCE!A:D,2,FALSE))</f>
        <v>0</v>
      </c>
      <c r="I1469" s="77" t="str">
        <f t="shared" si="107"/>
        <v/>
      </c>
    </row>
    <row r="1470" spans="1:9" x14ac:dyDescent="0.25">
      <c r="A1470" s="203" t="str">
        <f>IF(DATA!M1400="","",DATA!M1400)</f>
        <v/>
      </c>
      <c r="B1470" s="203" t="str">
        <f>IF(DATA!N1400="","",DATA!N1400)</f>
        <v/>
      </c>
      <c r="C1470" s="203" t="str">
        <f>IF(DATA!O1400="","",DATA!O1400)</f>
        <v/>
      </c>
      <c r="D1470" s="203" t="str">
        <f>IF(DATA!P1400="","",DATA!P1400)</f>
        <v/>
      </c>
      <c r="E1470" s="13"/>
      <c r="F1470" s="5" t="str">
        <f t="shared" si="106"/>
        <v/>
      </c>
      <c r="G1470" s="1"/>
      <c r="H1470" s="77">
        <f>IF(G1470="",0,VLOOKUP(G1470,REFCE!A:D,2,FALSE))</f>
        <v>0</v>
      </c>
      <c r="I1470" s="77" t="str">
        <f t="shared" si="107"/>
        <v/>
      </c>
    </row>
    <row r="1471" spans="1:9" x14ac:dyDescent="0.25">
      <c r="A1471" s="203" t="str">
        <f>IF(DATA!M1401="","",DATA!M1401)</f>
        <v/>
      </c>
      <c r="B1471" s="203" t="str">
        <f>IF(DATA!N1401="","",DATA!N1401)</f>
        <v/>
      </c>
      <c r="C1471" s="203" t="str">
        <f>IF(DATA!O1401="","",DATA!O1401)</f>
        <v/>
      </c>
      <c r="D1471" s="203" t="str">
        <f>IF(DATA!P1401="","",DATA!P1401)</f>
        <v/>
      </c>
      <c r="E1471" s="13"/>
      <c r="F1471" s="5" t="str">
        <f t="shared" si="106"/>
        <v/>
      </c>
      <c r="G1471" s="1"/>
      <c r="H1471" s="77">
        <f>IF(G1471="",0,VLOOKUP(G1471,REFCE!A:D,2,FALSE))</f>
        <v>0</v>
      </c>
      <c r="I1471" s="77" t="str">
        <f t="shared" si="107"/>
        <v/>
      </c>
    </row>
    <row r="1472" spans="1:9" x14ac:dyDescent="0.25">
      <c r="A1472" s="203" t="str">
        <f>IF(DATA!M1402="","",DATA!M1402)</f>
        <v/>
      </c>
      <c r="B1472" s="203" t="str">
        <f>IF(DATA!N1402="","",DATA!N1402)</f>
        <v/>
      </c>
      <c r="C1472" s="203" t="str">
        <f>IF(DATA!O1402="","",DATA!O1402)</f>
        <v/>
      </c>
      <c r="D1472" s="203" t="str">
        <f>IF(DATA!P1402="","",DATA!P1402)</f>
        <v/>
      </c>
      <c r="E1472" s="13"/>
      <c r="F1472" s="5" t="str">
        <f t="shared" si="106"/>
        <v/>
      </c>
      <c r="G1472" s="1"/>
      <c r="H1472" s="77">
        <f>IF(G1472="",0,VLOOKUP(G1472,REFCE!A:D,2,FALSE))</f>
        <v>0</v>
      </c>
      <c r="I1472" s="77" t="str">
        <f t="shared" si="107"/>
        <v/>
      </c>
    </row>
    <row r="1473" spans="1:9" x14ac:dyDescent="0.25">
      <c r="A1473" s="203" t="str">
        <f>IF(DATA!M1403="","",DATA!M1403)</f>
        <v/>
      </c>
      <c r="B1473" s="203" t="str">
        <f>IF(DATA!N1403="","",DATA!N1403)</f>
        <v/>
      </c>
      <c r="C1473" s="203" t="str">
        <f>IF(DATA!O1403="","",DATA!O1403)</f>
        <v/>
      </c>
      <c r="D1473" s="203" t="str">
        <f>IF(DATA!P1403="","",DATA!P1403)</f>
        <v/>
      </c>
      <c r="E1473" s="13"/>
      <c r="F1473" s="5" t="str">
        <f t="shared" si="106"/>
        <v/>
      </c>
      <c r="G1473" s="1"/>
      <c r="H1473" s="77">
        <f>IF(G1473="",0,VLOOKUP(G1473,REFCE!A:D,2,FALSE))</f>
        <v>0</v>
      </c>
      <c r="I1473" s="77" t="str">
        <f t="shared" si="107"/>
        <v/>
      </c>
    </row>
    <row r="1474" spans="1:9" x14ac:dyDescent="0.25">
      <c r="A1474" s="203" t="str">
        <f>IF(DATA!M1404="","",DATA!M1404)</f>
        <v/>
      </c>
      <c r="B1474" s="203" t="str">
        <f>IF(DATA!N1404="","",DATA!N1404)</f>
        <v/>
      </c>
      <c r="C1474" s="203" t="str">
        <f>IF(DATA!O1404="","",DATA!O1404)</f>
        <v/>
      </c>
      <c r="D1474" s="203" t="str">
        <f>IF(DATA!P1404="","",DATA!P1404)</f>
        <v/>
      </c>
      <c r="E1474" s="13"/>
      <c r="F1474" s="5" t="str">
        <f t="shared" si="106"/>
        <v/>
      </c>
      <c r="G1474" s="1"/>
      <c r="H1474" s="77">
        <f>IF(G1474="",0,VLOOKUP(G1474,REFCE!A:D,2,FALSE))</f>
        <v>0</v>
      </c>
      <c r="I1474" s="77" t="str">
        <f t="shared" si="107"/>
        <v/>
      </c>
    </row>
    <row r="1475" spans="1:9" x14ac:dyDescent="0.25">
      <c r="A1475" s="203" t="str">
        <f>IF(DATA!M1405="","",DATA!M1405)</f>
        <v/>
      </c>
      <c r="B1475" s="203" t="str">
        <f>IF(DATA!N1405="","",DATA!N1405)</f>
        <v/>
      </c>
      <c r="C1475" s="203" t="str">
        <f>IF(DATA!O1405="","",DATA!O1405)</f>
        <v/>
      </c>
      <c r="D1475" s="203" t="str">
        <f>IF(DATA!P1405="","",DATA!P1405)</f>
        <v/>
      </c>
      <c r="E1475" s="13"/>
      <c r="F1475" s="5" t="str">
        <f t="shared" si="106"/>
        <v/>
      </c>
      <c r="G1475" s="1"/>
      <c r="H1475" s="77">
        <f>IF(G1475="",0,VLOOKUP(G1475,REFCE!A:D,2,FALSE))</f>
        <v>0</v>
      </c>
      <c r="I1475" s="77" t="str">
        <f t="shared" si="107"/>
        <v/>
      </c>
    </row>
    <row r="1476" spans="1:9" x14ac:dyDescent="0.25">
      <c r="A1476" s="203" t="str">
        <f>IF(DATA!M1406="","",DATA!M1406)</f>
        <v/>
      </c>
      <c r="B1476" s="203" t="str">
        <f>IF(DATA!N1406="","",DATA!N1406)</f>
        <v/>
      </c>
      <c r="C1476" s="203" t="str">
        <f>IF(DATA!O1406="","",DATA!O1406)</f>
        <v/>
      </c>
      <c r="D1476" s="203" t="str">
        <f>IF(DATA!P1406="","",DATA!P1406)</f>
        <v/>
      </c>
      <c r="E1476" s="13"/>
      <c r="F1476" s="5" t="str">
        <f t="shared" si="106"/>
        <v/>
      </c>
      <c r="G1476" s="1"/>
      <c r="H1476" s="77">
        <f>IF(G1476="",0,VLOOKUP(G1476,REFCE!A:D,2,FALSE))</f>
        <v>0</v>
      </c>
      <c r="I1476" s="77" t="str">
        <f t="shared" si="107"/>
        <v/>
      </c>
    </row>
    <row r="1477" spans="1:9" x14ac:dyDescent="0.25">
      <c r="A1477" s="203" t="str">
        <f>IF(DATA!M1407="","",DATA!M1407)</f>
        <v/>
      </c>
      <c r="B1477" s="203" t="str">
        <f>IF(DATA!N1407="","",DATA!N1407)</f>
        <v/>
      </c>
      <c r="C1477" s="203" t="str">
        <f>IF(DATA!O1407="","",DATA!O1407)</f>
        <v/>
      </c>
      <c r="D1477" s="203" t="str">
        <f>IF(DATA!P1407="","",DATA!P1407)</f>
        <v/>
      </c>
      <c r="E1477" s="13"/>
      <c r="F1477" s="5" t="str">
        <f t="shared" si="106"/>
        <v/>
      </c>
      <c r="G1477" s="1"/>
      <c r="H1477" s="77">
        <f>IF(G1477="",0,VLOOKUP(G1477,REFCE!A:D,2,FALSE))</f>
        <v>0</v>
      </c>
      <c r="I1477" s="77" t="str">
        <f t="shared" si="107"/>
        <v/>
      </c>
    </row>
    <row r="1478" spans="1:9" x14ac:dyDescent="0.25">
      <c r="A1478" s="203" t="str">
        <f>IF(DATA!M1408="","",DATA!M1408)</f>
        <v/>
      </c>
      <c r="B1478" s="203" t="str">
        <f>IF(DATA!N1408="","",DATA!N1408)</f>
        <v/>
      </c>
      <c r="C1478" s="203" t="str">
        <f>IF(DATA!O1408="","",DATA!O1408)</f>
        <v/>
      </c>
      <c r="D1478" s="203" t="str">
        <f>IF(DATA!P1408="","",DATA!P1408)</f>
        <v/>
      </c>
      <c r="E1478" s="13"/>
      <c r="F1478" s="5" t="str">
        <f t="shared" si="106"/>
        <v/>
      </c>
      <c r="G1478" s="1"/>
      <c r="H1478" s="77">
        <f>IF(G1478="",0,VLOOKUP(G1478,REFCE!A:D,2,FALSE))</f>
        <v>0</v>
      </c>
      <c r="I1478" s="77" t="str">
        <f t="shared" si="107"/>
        <v/>
      </c>
    </row>
    <row r="1479" spans="1:9" x14ac:dyDescent="0.25">
      <c r="A1479" s="203" t="str">
        <f>IF(DATA!M1409="","",DATA!M1409)</f>
        <v/>
      </c>
      <c r="B1479" s="203" t="str">
        <f>IF(DATA!N1409="","",DATA!N1409)</f>
        <v/>
      </c>
      <c r="C1479" s="203" t="str">
        <f>IF(DATA!O1409="","",DATA!O1409)</f>
        <v/>
      </c>
      <c r="D1479" s="203" t="str">
        <f>IF(DATA!P1409="","",DATA!P1409)</f>
        <v/>
      </c>
      <c r="E1479" s="13"/>
      <c r="F1479" s="5" t="str">
        <f t="shared" si="106"/>
        <v/>
      </c>
      <c r="G1479" s="1"/>
      <c r="H1479" s="77">
        <f>IF(G1479="",0,VLOOKUP(G1479,REFCE!A:D,2,FALSE))</f>
        <v>0</v>
      </c>
      <c r="I1479" s="77" t="str">
        <f t="shared" si="107"/>
        <v/>
      </c>
    </row>
    <row r="1480" spans="1:9" x14ac:dyDescent="0.25">
      <c r="A1480" s="203" t="str">
        <f>IF(DATA!M1410="","",DATA!M1410)</f>
        <v/>
      </c>
      <c r="B1480" s="203" t="str">
        <f>IF(DATA!N1410="","",DATA!N1410)</f>
        <v/>
      </c>
      <c r="C1480" s="203" t="str">
        <f>IF(DATA!O1410="","",DATA!O1410)</f>
        <v/>
      </c>
      <c r="D1480" s="203" t="str">
        <f>IF(DATA!P1410="","",DATA!P1410)</f>
        <v/>
      </c>
      <c r="E1480" s="13"/>
      <c r="F1480" s="5" t="str">
        <f t="shared" si="106"/>
        <v/>
      </c>
      <c r="G1480" s="1"/>
      <c r="H1480" s="77">
        <f>IF(G1480="",0,VLOOKUP(G1480,REFCE!A:D,2,FALSE))</f>
        <v>0</v>
      </c>
      <c r="I1480" s="77" t="str">
        <f t="shared" si="107"/>
        <v/>
      </c>
    </row>
    <row r="1481" spans="1:9" x14ac:dyDescent="0.25">
      <c r="A1481" s="203" t="str">
        <f>IF(DATA!M1411="","",DATA!M1411)</f>
        <v/>
      </c>
      <c r="B1481" s="203" t="str">
        <f>IF(DATA!N1411="","",DATA!N1411)</f>
        <v/>
      </c>
      <c r="C1481" s="203" t="str">
        <f>IF(DATA!O1411="","",DATA!O1411)</f>
        <v/>
      </c>
      <c r="D1481" s="203" t="str">
        <f>IF(DATA!P1411="","",DATA!P1411)</f>
        <v/>
      </c>
      <c r="E1481" s="13"/>
      <c r="F1481" s="5" t="str">
        <f t="shared" si="106"/>
        <v/>
      </c>
      <c r="G1481" s="1"/>
      <c r="H1481" s="77">
        <f>IF(G1481="",0,VLOOKUP(G1481,REFCE!A:D,2,FALSE))</f>
        <v>0</v>
      </c>
      <c r="I1481" s="77" t="str">
        <f t="shared" si="107"/>
        <v/>
      </c>
    </row>
    <row r="1482" spans="1:9" x14ac:dyDescent="0.25">
      <c r="A1482" s="203" t="str">
        <f>IF(DATA!M1412="","",DATA!M1412)</f>
        <v/>
      </c>
      <c r="B1482" s="203" t="str">
        <f>IF(DATA!N1412="","",DATA!N1412)</f>
        <v/>
      </c>
      <c r="C1482" s="203" t="str">
        <f>IF(DATA!O1412="","",DATA!O1412)</f>
        <v/>
      </c>
      <c r="D1482" s="203" t="str">
        <f>IF(DATA!P1412="","",DATA!P1412)</f>
        <v/>
      </c>
      <c r="E1482" s="13"/>
      <c r="F1482" s="5" t="str">
        <f t="shared" si="106"/>
        <v/>
      </c>
      <c r="G1482" s="1"/>
      <c r="H1482" s="77">
        <f>IF(G1482="",0,VLOOKUP(G1482,REFCE!A:D,2,FALSE))</f>
        <v>0</v>
      </c>
      <c r="I1482" s="77" t="str">
        <f t="shared" si="107"/>
        <v/>
      </c>
    </row>
    <row r="1483" spans="1:9" x14ac:dyDescent="0.25">
      <c r="A1483" s="203" t="str">
        <f>IF(DATA!M1413="","",DATA!M1413)</f>
        <v/>
      </c>
      <c r="B1483" s="203" t="str">
        <f>IF(DATA!N1413="","",DATA!N1413)</f>
        <v/>
      </c>
      <c r="C1483" s="203" t="str">
        <f>IF(DATA!O1413="","",DATA!O1413)</f>
        <v/>
      </c>
      <c r="D1483" s="203" t="str">
        <f>IF(DATA!P1413="","",DATA!P1413)</f>
        <v/>
      </c>
      <c r="E1483" s="13"/>
      <c r="F1483" s="5" t="str">
        <f t="shared" si="106"/>
        <v/>
      </c>
      <c r="G1483" s="1"/>
      <c r="H1483" s="77">
        <f>IF(G1483="",0,VLOOKUP(G1483,REFCE!A:D,2,FALSE))</f>
        <v>0</v>
      </c>
      <c r="I1483" s="77" t="str">
        <f t="shared" si="107"/>
        <v/>
      </c>
    </row>
    <row r="1484" spans="1:9" x14ac:dyDescent="0.25">
      <c r="A1484" s="203" t="str">
        <f>IF(DATA!M1414="","",DATA!M1414)</f>
        <v/>
      </c>
      <c r="B1484" s="203" t="str">
        <f>IF(DATA!N1414="","",DATA!N1414)</f>
        <v/>
      </c>
      <c r="C1484" s="203" t="str">
        <f>IF(DATA!O1414="","",DATA!O1414)</f>
        <v/>
      </c>
      <c r="D1484" s="203" t="str">
        <f>IF(DATA!P1414="","",DATA!P1414)</f>
        <v/>
      </c>
      <c r="E1484" s="13"/>
      <c r="F1484" s="5" t="str">
        <f t="shared" si="106"/>
        <v/>
      </c>
      <c r="G1484" s="1"/>
      <c r="H1484" s="77">
        <f>IF(G1484="",0,VLOOKUP(G1484,REFCE!A:D,2,FALSE))</f>
        <v>0</v>
      </c>
      <c r="I1484" s="77" t="str">
        <f t="shared" si="107"/>
        <v/>
      </c>
    </row>
    <row r="1485" spans="1:9" x14ac:dyDescent="0.25">
      <c r="A1485" s="203" t="str">
        <f>IF(DATA!M1415="","",DATA!M1415)</f>
        <v/>
      </c>
      <c r="B1485" s="203" t="str">
        <f>IF(DATA!N1415="","",DATA!N1415)</f>
        <v/>
      </c>
      <c r="C1485" s="203" t="str">
        <f>IF(DATA!O1415="","",DATA!O1415)</f>
        <v/>
      </c>
      <c r="D1485" s="203" t="str">
        <f>IF(DATA!P1415="","",DATA!P1415)</f>
        <v/>
      </c>
      <c r="E1485" s="13"/>
      <c r="F1485" s="5" t="str">
        <f t="shared" si="106"/>
        <v/>
      </c>
      <c r="G1485" s="1"/>
      <c r="H1485" s="77">
        <f>IF(G1485="",0,VLOOKUP(G1485,REFCE!A:D,2,FALSE))</f>
        <v>0</v>
      </c>
      <c r="I1485" s="77" t="str">
        <f t="shared" si="107"/>
        <v/>
      </c>
    </row>
    <row r="1486" spans="1:9" x14ac:dyDescent="0.25">
      <c r="A1486" s="203" t="str">
        <f>IF(DATA!M1416="","",DATA!M1416)</f>
        <v/>
      </c>
      <c r="B1486" s="203" t="str">
        <f>IF(DATA!N1416="","",DATA!N1416)</f>
        <v/>
      </c>
      <c r="C1486" s="203" t="str">
        <f>IF(DATA!O1416="","",DATA!O1416)</f>
        <v/>
      </c>
      <c r="D1486" s="203" t="str">
        <f>IF(DATA!P1416="","",DATA!P1416)</f>
        <v/>
      </c>
      <c r="E1486" s="13"/>
      <c r="F1486" s="5" t="str">
        <f t="shared" ref="F1486:F1549" si="108">IF(D1486="","",D1486*E1486)</f>
        <v/>
      </c>
      <c r="G1486" s="1"/>
      <c r="H1486" s="77">
        <f>IF(G1486="",0,VLOOKUP(G1486,REFCE!A:D,2,FALSE))</f>
        <v>0</v>
      </c>
      <c r="I1486" s="77" t="str">
        <f t="shared" ref="I1486:I1549" si="109">IF(F1486="","",F1486*H1486)</f>
        <v/>
      </c>
    </row>
    <row r="1487" spans="1:9" x14ac:dyDescent="0.25">
      <c r="A1487" s="203" t="str">
        <f>IF(DATA!M1417="","",DATA!M1417)</f>
        <v/>
      </c>
      <c r="B1487" s="203" t="str">
        <f>IF(DATA!N1417="","",DATA!N1417)</f>
        <v/>
      </c>
      <c r="C1487" s="203" t="str">
        <f>IF(DATA!O1417="","",DATA!O1417)</f>
        <v/>
      </c>
      <c r="D1487" s="203" t="str">
        <f>IF(DATA!P1417="","",DATA!P1417)</f>
        <v/>
      </c>
      <c r="E1487" s="13"/>
      <c r="F1487" s="5" t="str">
        <f t="shared" si="108"/>
        <v/>
      </c>
      <c r="G1487" s="1"/>
      <c r="H1487" s="77">
        <f>IF(G1487="",0,VLOOKUP(G1487,REFCE!A:D,2,FALSE))</f>
        <v>0</v>
      </c>
      <c r="I1487" s="77" t="str">
        <f t="shared" si="109"/>
        <v/>
      </c>
    </row>
    <row r="1488" spans="1:9" x14ac:dyDescent="0.25">
      <c r="A1488" s="203" t="str">
        <f>IF(DATA!M1418="","",DATA!M1418)</f>
        <v/>
      </c>
      <c r="B1488" s="203" t="str">
        <f>IF(DATA!N1418="","",DATA!N1418)</f>
        <v/>
      </c>
      <c r="C1488" s="203" t="str">
        <f>IF(DATA!O1418="","",DATA!O1418)</f>
        <v/>
      </c>
      <c r="D1488" s="203" t="str">
        <f>IF(DATA!P1418="","",DATA!P1418)</f>
        <v/>
      </c>
      <c r="E1488" s="13"/>
      <c r="F1488" s="5" t="str">
        <f t="shared" si="108"/>
        <v/>
      </c>
      <c r="G1488" s="1"/>
      <c r="H1488" s="77">
        <f>IF(G1488="",0,VLOOKUP(G1488,REFCE!A:D,2,FALSE))</f>
        <v>0</v>
      </c>
      <c r="I1488" s="77" t="str">
        <f t="shared" si="109"/>
        <v/>
      </c>
    </row>
    <row r="1489" spans="1:9" x14ac:dyDescent="0.25">
      <c r="A1489" s="203" t="str">
        <f>IF(DATA!M1419="","",DATA!M1419)</f>
        <v/>
      </c>
      <c r="B1489" s="203" t="str">
        <f>IF(DATA!N1419="","",DATA!N1419)</f>
        <v/>
      </c>
      <c r="C1489" s="203" t="str">
        <f>IF(DATA!O1419="","",DATA!O1419)</f>
        <v/>
      </c>
      <c r="D1489" s="203" t="str">
        <f>IF(DATA!P1419="","",DATA!P1419)</f>
        <v/>
      </c>
      <c r="E1489" s="13"/>
      <c r="F1489" s="5" t="str">
        <f t="shared" si="108"/>
        <v/>
      </c>
      <c r="G1489" s="1"/>
      <c r="H1489" s="77">
        <f>IF(G1489="",0,VLOOKUP(G1489,REFCE!A:D,2,FALSE))</f>
        <v>0</v>
      </c>
      <c r="I1489" s="77" t="str">
        <f t="shared" si="109"/>
        <v/>
      </c>
    </row>
    <row r="1490" spans="1:9" x14ac:dyDescent="0.25">
      <c r="A1490" s="203" t="str">
        <f>IF(DATA!M1420="","",DATA!M1420)</f>
        <v/>
      </c>
      <c r="B1490" s="203" t="str">
        <f>IF(DATA!N1420="","",DATA!N1420)</f>
        <v/>
      </c>
      <c r="C1490" s="203" t="str">
        <f>IF(DATA!O1420="","",DATA!O1420)</f>
        <v/>
      </c>
      <c r="D1490" s="203" t="str">
        <f>IF(DATA!P1420="","",DATA!P1420)</f>
        <v/>
      </c>
      <c r="E1490" s="13"/>
      <c r="F1490" s="5" t="str">
        <f t="shared" si="108"/>
        <v/>
      </c>
      <c r="G1490" s="1"/>
      <c r="H1490" s="77">
        <f>IF(G1490="",0,VLOOKUP(G1490,REFCE!A:D,2,FALSE))</f>
        <v>0</v>
      </c>
      <c r="I1490" s="77" t="str">
        <f t="shared" si="109"/>
        <v/>
      </c>
    </row>
    <row r="1491" spans="1:9" x14ac:dyDescent="0.25">
      <c r="A1491" s="203" t="str">
        <f>IF(DATA!M1421="","",DATA!M1421)</f>
        <v/>
      </c>
      <c r="B1491" s="203" t="str">
        <f>IF(DATA!N1421="","",DATA!N1421)</f>
        <v/>
      </c>
      <c r="C1491" s="203" t="str">
        <f>IF(DATA!O1421="","",DATA!O1421)</f>
        <v/>
      </c>
      <c r="D1491" s="203" t="str">
        <f>IF(DATA!P1421="","",DATA!P1421)</f>
        <v/>
      </c>
      <c r="E1491" s="13"/>
      <c r="F1491" s="5" t="str">
        <f t="shared" si="108"/>
        <v/>
      </c>
      <c r="G1491" s="1"/>
      <c r="H1491" s="77">
        <f>IF(G1491="",0,VLOOKUP(G1491,REFCE!A:D,2,FALSE))</f>
        <v>0</v>
      </c>
      <c r="I1491" s="77" t="str">
        <f t="shared" si="109"/>
        <v/>
      </c>
    </row>
    <row r="1492" spans="1:9" x14ac:dyDescent="0.25">
      <c r="A1492" s="203" t="str">
        <f>IF(DATA!M1422="","",DATA!M1422)</f>
        <v/>
      </c>
      <c r="B1492" s="203" t="str">
        <f>IF(DATA!N1422="","",DATA!N1422)</f>
        <v/>
      </c>
      <c r="C1492" s="203" t="str">
        <f>IF(DATA!O1422="","",DATA!O1422)</f>
        <v/>
      </c>
      <c r="D1492" s="203" t="str">
        <f>IF(DATA!P1422="","",DATA!P1422)</f>
        <v/>
      </c>
      <c r="E1492" s="13"/>
      <c r="F1492" s="5" t="str">
        <f t="shared" si="108"/>
        <v/>
      </c>
      <c r="G1492" s="1"/>
      <c r="H1492" s="77">
        <f>IF(G1492="",0,VLOOKUP(G1492,REFCE!A:D,2,FALSE))</f>
        <v>0</v>
      </c>
      <c r="I1492" s="77" t="str">
        <f t="shared" si="109"/>
        <v/>
      </c>
    </row>
    <row r="1493" spans="1:9" x14ac:dyDescent="0.25">
      <c r="A1493" s="203" t="str">
        <f>IF(DATA!M1423="","",DATA!M1423)</f>
        <v/>
      </c>
      <c r="B1493" s="203" t="str">
        <f>IF(DATA!N1423="","",DATA!N1423)</f>
        <v/>
      </c>
      <c r="C1493" s="203" t="str">
        <f>IF(DATA!O1423="","",DATA!O1423)</f>
        <v/>
      </c>
      <c r="D1493" s="203" t="str">
        <f>IF(DATA!P1423="","",DATA!P1423)</f>
        <v/>
      </c>
      <c r="E1493" s="13"/>
      <c r="F1493" s="5" t="str">
        <f t="shared" si="108"/>
        <v/>
      </c>
      <c r="G1493" s="1"/>
      <c r="H1493" s="77">
        <f>IF(G1493="",0,VLOOKUP(G1493,REFCE!A:D,2,FALSE))</f>
        <v>0</v>
      </c>
      <c r="I1493" s="77" t="str">
        <f t="shared" si="109"/>
        <v/>
      </c>
    </row>
    <row r="1494" spans="1:9" x14ac:dyDescent="0.25">
      <c r="A1494" s="203" t="str">
        <f>IF(DATA!M1424="","",DATA!M1424)</f>
        <v/>
      </c>
      <c r="B1494" s="203" t="str">
        <f>IF(DATA!N1424="","",DATA!N1424)</f>
        <v/>
      </c>
      <c r="C1494" s="203" t="str">
        <f>IF(DATA!O1424="","",DATA!O1424)</f>
        <v/>
      </c>
      <c r="D1494" s="203" t="str">
        <f>IF(DATA!P1424="","",DATA!P1424)</f>
        <v/>
      </c>
      <c r="E1494" s="13"/>
      <c r="F1494" s="5" t="str">
        <f t="shared" si="108"/>
        <v/>
      </c>
      <c r="G1494" s="1"/>
      <c r="H1494" s="77">
        <f>IF(G1494="",0,VLOOKUP(G1494,REFCE!A:D,2,FALSE))</f>
        <v>0</v>
      </c>
      <c r="I1494" s="77" t="str">
        <f t="shared" si="109"/>
        <v/>
      </c>
    </row>
    <row r="1495" spans="1:9" x14ac:dyDescent="0.25">
      <c r="A1495" s="203" t="str">
        <f>IF(DATA!M1425="","",DATA!M1425)</f>
        <v/>
      </c>
      <c r="B1495" s="203" t="str">
        <f>IF(DATA!N1425="","",DATA!N1425)</f>
        <v/>
      </c>
      <c r="C1495" s="203" t="str">
        <f>IF(DATA!O1425="","",DATA!O1425)</f>
        <v/>
      </c>
      <c r="D1495" s="203" t="str">
        <f>IF(DATA!P1425="","",DATA!P1425)</f>
        <v/>
      </c>
      <c r="E1495" s="13"/>
      <c r="F1495" s="5" t="str">
        <f t="shared" si="108"/>
        <v/>
      </c>
      <c r="G1495" s="1"/>
      <c r="H1495" s="77">
        <f>IF(G1495="",0,VLOOKUP(G1495,REFCE!A:D,2,FALSE))</f>
        <v>0</v>
      </c>
      <c r="I1495" s="77" t="str">
        <f t="shared" si="109"/>
        <v/>
      </c>
    </row>
    <row r="1496" spans="1:9" x14ac:dyDescent="0.25">
      <c r="A1496" s="203" t="str">
        <f>IF(DATA!M1426="","",DATA!M1426)</f>
        <v/>
      </c>
      <c r="B1496" s="203" t="str">
        <f>IF(DATA!N1426="","",DATA!N1426)</f>
        <v/>
      </c>
      <c r="C1496" s="203" t="str">
        <f>IF(DATA!O1426="","",DATA!O1426)</f>
        <v/>
      </c>
      <c r="D1496" s="203" t="str">
        <f>IF(DATA!P1426="","",DATA!P1426)</f>
        <v/>
      </c>
      <c r="E1496" s="13"/>
      <c r="F1496" s="5" t="str">
        <f t="shared" si="108"/>
        <v/>
      </c>
      <c r="G1496" s="1"/>
      <c r="H1496" s="77">
        <f>IF(G1496="",0,VLOOKUP(G1496,REFCE!A:D,2,FALSE))</f>
        <v>0</v>
      </c>
      <c r="I1496" s="77" t="str">
        <f t="shared" si="109"/>
        <v/>
      </c>
    </row>
    <row r="1497" spans="1:9" x14ac:dyDescent="0.25">
      <c r="A1497" s="203" t="str">
        <f>IF(DATA!M1427="","",DATA!M1427)</f>
        <v/>
      </c>
      <c r="B1497" s="203" t="str">
        <f>IF(DATA!N1427="","",DATA!N1427)</f>
        <v/>
      </c>
      <c r="C1497" s="203" t="str">
        <f>IF(DATA!O1427="","",DATA!O1427)</f>
        <v/>
      </c>
      <c r="D1497" s="203" t="str">
        <f>IF(DATA!P1427="","",DATA!P1427)</f>
        <v/>
      </c>
      <c r="E1497" s="13"/>
      <c r="F1497" s="5" t="str">
        <f t="shared" si="108"/>
        <v/>
      </c>
      <c r="G1497" s="1"/>
      <c r="H1497" s="77">
        <f>IF(G1497="",0,VLOOKUP(G1497,REFCE!A:D,2,FALSE))</f>
        <v>0</v>
      </c>
      <c r="I1497" s="77" t="str">
        <f t="shared" si="109"/>
        <v/>
      </c>
    </row>
    <row r="1498" spans="1:9" x14ac:dyDescent="0.25">
      <c r="A1498" s="203" t="str">
        <f>IF(DATA!M1428="","",DATA!M1428)</f>
        <v/>
      </c>
      <c r="B1498" s="203" t="str">
        <f>IF(DATA!N1428="","",DATA!N1428)</f>
        <v/>
      </c>
      <c r="C1498" s="203" t="str">
        <f>IF(DATA!O1428="","",DATA!O1428)</f>
        <v/>
      </c>
      <c r="D1498" s="203" t="str">
        <f>IF(DATA!P1428="","",DATA!P1428)</f>
        <v/>
      </c>
      <c r="E1498" s="13"/>
      <c r="F1498" s="5" t="str">
        <f t="shared" si="108"/>
        <v/>
      </c>
      <c r="G1498" s="1"/>
      <c r="H1498" s="77">
        <f>IF(G1498="",0,VLOOKUP(G1498,REFCE!A:D,2,FALSE))</f>
        <v>0</v>
      </c>
      <c r="I1498" s="77" t="str">
        <f t="shared" si="109"/>
        <v/>
      </c>
    </row>
    <row r="1499" spans="1:9" x14ac:dyDescent="0.25">
      <c r="A1499" s="203" t="str">
        <f>IF(DATA!M1429="","",DATA!M1429)</f>
        <v/>
      </c>
      <c r="B1499" s="203" t="str">
        <f>IF(DATA!N1429="","",DATA!N1429)</f>
        <v/>
      </c>
      <c r="C1499" s="203" t="str">
        <f>IF(DATA!O1429="","",DATA!O1429)</f>
        <v/>
      </c>
      <c r="D1499" s="203" t="str">
        <f>IF(DATA!P1429="","",DATA!P1429)</f>
        <v/>
      </c>
      <c r="E1499" s="13"/>
      <c r="F1499" s="5" t="str">
        <f t="shared" si="108"/>
        <v/>
      </c>
      <c r="G1499" s="1"/>
      <c r="H1499" s="77">
        <f>IF(G1499="",0,VLOOKUP(G1499,REFCE!A:D,2,FALSE))</f>
        <v>0</v>
      </c>
      <c r="I1499" s="77" t="str">
        <f t="shared" si="109"/>
        <v/>
      </c>
    </row>
    <row r="1500" spans="1:9" x14ac:dyDescent="0.25">
      <c r="A1500" s="203" t="str">
        <f>IF(DATA!M1430="","",DATA!M1430)</f>
        <v/>
      </c>
      <c r="B1500" s="203" t="str">
        <f>IF(DATA!N1430="","",DATA!N1430)</f>
        <v/>
      </c>
      <c r="C1500" s="203" t="str">
        <f>IF(DATA!O1430="","",DATA!O1430)</f>
        <v/>
      </c>
      <c r="D1500" s="203" t="str">
        <f>IF(DATA!P1430="","",DATA!P1430)</f>
        <v/>
      </c>
      <c r="E1500" s="13"/>
      <c r="F1500" s="5" t="str">
        <f t="shared" si="108"/>
        <v/>
      </c>
      <c r="G1500" s="1"/>
      <c r="H1500" s="77">
        <f>IF(G1500="",0,VLOOKUP(G1500,REFCE!A:D,2,FALSE))</f>
        <v>0</v>
      </c>
      <c r="I1500" s="77" t="str">
        <f t="shared" si="109"/>
        <v/>
      </c>
    </row>
    <row r="1501" spans="1:9" x14ac:dyDescent="0.25">
      <c r="A1501" s="203" t="str">
        <f>IF(DATA!M1431="","",DATA!M1431)</f>
        <v/>
      </c>
      <c r="B1501" s="203" t="str">
        <f>IF(DATA!N1431="","",DATA!N1431)</f>
        <v/>
      </c>
      <c r="C1501" s="203" t="str">
        <f>IF(DATA!O1431="","",DATA!O1431)</f>
        <v/>
      </c>
      <c r="D1501" s="203" t="str">
        <f>IF(DATA!P1431="","",DATA!P1431)</f>
        <v/>
      </c>
      <c r="E1501" s="13"/>
      <c r="F1501" s="5" t="str">
        <f t="shared" si="108"/>
        <v/>
      </c>
      <c r="G1501" s="1"/>
      <c r="H1501" s="77">
        <f>IF(G1501="",0,VLOOKUP(G1501,REFCE!A:D,2,FALSE))</f>
        <v>0</v>
      </c>
      <c r="I1501" s="77" t="str">
        <f t="shared" si="109"/>
        <v/>
      </c>
    </row>
    <row r="1502" spans="1:9" x14ac:dyDescent="0.25">
      <c r="A1502" s="203" t="str">
        <f>IF(DATA!M1432="","",DATA!M1432)</f>
        <v/>
      </c>
      <c r="B1502" s="203" t="str">
        <f>IF(DATA!N1432="","",DATA!N1432)</f>
        <v/>
      </c>
      <c r="C1502" s="203" t="str">
        <f>IF(DATA!O1432="","",DATA!O1432)</f>
        <v/>
      </c>
      <c r="D1502" s="203" t="str">
        <f>IF(DATA!P1432="","",DATA!P1432)</f>
        <v/>
      </c>
      <c r="E1502" s="13"/>
      <c r="F1502" s="5" t="str">
        <f t="shared" si="108"/>
        <v/>
      </c>
      <c r="G1502" s="1"/>
      <c r="H1502" s="77">
        <f>IF(G1502="",0,VLOOKUP(G1502,REFCE!A:D,2,FALSE))</f>
        <v>0</v>
      </c>
      <c r="I1502" s="77" t="str">
        <f t="shared" si="109"/>
        <v/>
      </c>
    </row>
    <row r="1503" spans="1:9" x14ac:dyDescent="0.25">
      <c r="A1503" s="203" t="str">
        <f>IF(DATA!M1433="","",DATA!M1433)</f>
        <v/>
      </c>
      <c r="B1503" s="203" t="str">
        <f>IF(DATA!N1433="","",DATA!N1433)</f>
        <v/>
      </c>
      <c r="C1503" s="203" t="str">
        <f>IF(DATA!O1433="","",DATA!O1433)</f>
        <v/>
      </c>
      <c r="D1503" s="203" t="str">
        <f>IF(DATA!P1433="","",DATA!P1433)</f>
        <v/>
      </c>
      <c r="E1503" s="13"/>
      <c r="F1503" s="5" t="str">
        <f t="shared" si="108"/>
        <v/>
      </c>
      <c r="G1503" s="1"/>
      <c r="H1503" s="77">
        <f>IF(G1503="",0,VLOOKUP(G1503,REFCE!A:D,2,FALSE))</f>
        <v>0</v>
      </c>
      <c r="I1503" s="77" t="str">
        <f t="shared" si="109"/>
        <v/>
      </c>
    </row>
    <row r="1504" spans="1:9" x14ac:dyDescent="0.25">
      <c r="A1504" s="203" t="str">
        <f>IF(DATA!M1434="","",DATA!M1434)</f>
        <v/>
      </c>
      <c r="B1504" s="203" t="str">
        <f>IF(DATA!N1434="","",DATA!N1434)</f>
        <v/>
      </c>
      <c r="C1504" s="203" t="str">
        <f>IF(DATA!O1434="","",DATA!O1434)</f>
        <v/>
      </c>
      <c r="D1504" s="203" t="str">
        <f>IF(DATA!P1434="","",DATA!P1434)</f>
        <v/>
      </c>
      <c r="E1504" s="13"/>
      <c r="F1504" s="5" t="str">
        <f t="shared" si="108"/>
        <v/>
      </c>
      <c r="G1504" s="1"/>
      <c r="H1504" s="77">
        <f>IF(G1504="",0,VLOOKUP(G1504,REFCE!A:D,2,FALSE))</f>
        <v>0</v>
      </c>
      <c r="I1504" s="77" t="str">
        <f t="shared" si="109"/>
        <v/>
      </c>
    </row>
    <row r="1505" spans="1:9" x14ac:dyDescent="0.25">
      <c r="A1505" s="203" t="str">
        <f>IF(DATA!M1435="","",DATA!M1435)</f>
        <v/>
      </c>
      <c r="B1505" s="203" t="str">
        <f>IF(DATA!N1435="","",DATA!N1435)</f>
        <v/>
      </c>
      <c r="C1505" s="203" t="str">
        <f>IF(DATA!O1435="","",DATA!O1435)</f>
        <v/>
      </c>
      <c r="D1505" s="203" t="str">
        <f>IF(DATA!P1435="","",DATA!P1435)</f>
        <v/>
      </c>
      <c r="E1505" s="13"/>
      <c r="F1505" s="5" t="str">
        <f t="shared" si="108"/>
        <v/>
      </c>
      <c r="G1505" s="1"/>
      <c r="H1505" s="77">
        <f>IF(G1505="",0,VLOOKUP(G1505,REFCE!A:D,2,FALSE))</f>
        <v>0</v>
      </c>
      <c r="I1505" s="77" t="str">
        <f t="shared" si="109"/>
        <v/>
      </c>
    </row>
    <row r="1506" spans="1:9" x14ac:dyDescent="0.25">
      <c r="A1506" s="203" t="str">
        <f>IF(DATA!M1436="","",DATA!M1436)</f>
        <v/>
      </c>
      <c r="B1506" s="203" t="str">
        <f>IF(DATA!N1436="","",DATA!N1436)</f>
        <v/>
      </c>
      <c r="C1506" s="203" t="str">
        <f>IF(DATA!O1436="","",DATA!O1436)</f>
        <v/>
      </c>
      <c r="D1506" s="203" t="str">
        <f>IF(DATA!P1436="","",DATA!P1436)</f>
        <v/>
      </c>
      <c r="E1506" s="13"/>
      <c r="F1506" s="5" t="str">
        <f t="shared" si="108"/>
        <v/>
      </c>
      <c r="G1506" s="1"/>
      <c r="H1506" s="77">
        <f>IF(G1506="",0,VLOOKUP(G1506,REFCE!A:D,2,FALSE))</f>
        <v>0</v>
      </c>
      <c r="I1506" s="77" t="str">
        <f t="shared" si="109"/>
        <v/>
      </c>
    </row>
    <row r="1507" spans="1:9" x14ac:dyDescent="0.25">
      <c r="A1507" s="203" t="str">
        <f>IF(DATA!M1437="","",DATA!M1437)</f>
        <v/>
      </c>
      <c r="B1507" s="203" t="str">
        <f>IF(DATA!N1437="","",DATA!N1437)</f>
        <v/>
      </c>
      <c r="C1507" s="203" t="str">
        <f>IF(DATA!O1437="","",DATA!O1437)</f>
        <v/>
      </c>
      <c r="D1507" s="203" t="str">
        <f>IF(DATA!P1437="","",DATA!P1437)</f>
        <v/>
      </c>
      <c r="E1507" s="13"/>
      <c r="F1507" s="5" t="str">
        <f t="shared" si="108"/>
        <v/>
      </c>
      <c r="G1507" s="1"/>
      <c r="H1507" s="77">
        <f>IF(G1507="",0,VLOOKUP(G1507,REFCE!A:D,2,FALSE))</f>
        <v>0</v>
      </c>
      <c r="I1507" s="77" t="str">
        <f t="shared" si="109"/>
        <v/>
      </c>
    </row>
    <row r="1508" spans="1:9" x14ac:dyDescent="0.25">
      <c r="A1508" s="203" t="str">
        <f>IF(DATA!M1438="","",DATA!M1438)</f>
        <v/>
      </c>
      <c r="B1508" s="203" t="str">
        <f>IF(DATA!N1438="","",DATA!N1438)</f>
        <v/>
      </c>
      <c r="C1508" s="203" t="str">
        <f>IF(DATA!O1438="","",DATA!O1438)</f>
        <v/>
      </c>
      <c r="D1508" s="203" t="str">
        <f>IF(DATA!P1438="","",DATA!P1438)</f>
        <v/>
      </c>
      <c r="E1508" s="13"/>
      <c r="F1508" s="5" t="str">
        <f t="shared" si="108"/>
        <v/>
      </c>
      <c r="G1508" s="1"/>
      <c r="H1508" s="77">
        <f>IF(G1508="",0,VLOOKUP(G1508,REFCE!A:D,2,FALSE))</f>
        <v>0</v>
      </c>
      <c r="I1508" s="77" t="str">
        <f t="shared" si="109"/>
        <v/>
      </c>
    </row>
    <row r="1509" spans="1:9" x14ac:dyDescent="0.25">
      <c r="A1509" s="203" t="str">
        <f>IF(DATA!M1439="","",DATA!M1439)</f>
        <v/>
      </c>
      <c r="B1509" s="203" t="str">
        <f>IF(DATA!N1439="","",DATA!N1439)</f>
        <v/>
      </c>
      <c r="C1509" s="203" t="str">
        <f>IF(DATA!O1439="","",DATA!O1439)</f>
        <v/>
      </c>
      <c r="D1509" s="203" t="str">
        <f>IF(DATA!P1439="","",DATA!P1439)</f>
        <v/>
      </c>
      <c r="E1509" s="13"/>
      <c r="F1509" s="5" t="str">
        <f t="shared" si="108"/>
        <v/>
      </c>
      <c r="G1509" s="1"/>
      <c r="H1509" s="77">
        <f>IF(G1509="",0,VLOOKUP(G1509,REFCE!A:D,2,FALSE))</f>
        <v>0</v>
      </c>
      <c r="I1509" s="77" t="str">
        <f t="shared" si="109"/>
        <v/>
      </c>
    </row>
    <row r="1510" spans="1:9" x14ac:dyDescent="0.25">
      <c r="A1510" s="203" t="str">
        <f>IF(DATA!M1440="","",DATA!M1440)</f>
        <v/>
      </c>
      <c r="B1510" s="203" t="str">
        <f>IF(DATA!N1440="","",DATA!N1440)</f>
        <v/>
      </c>
      <c r="C1510" s="203" t="str">
        <f>IF(DATA!O1440="","",DATA!O1440)</f>
        <v/>
      </c>
      <c r="D1510" s="203" t="str">
        <f>IF(DATA!P1440="","",DATA!P1440)</f>
        <v/>
      </c>
      <c r="E1510" s="13"/>
      <c r="F1510" s="5" t="str">
        <f t="shared" si="108"/>
        <v/>
      </c>
      <c r="G1510" s="1"/>
      <c r="H1510" s="77">
        <f>IF(G1510="",0,VLOOKUP(G1510,REFCE!A:D,2,FALSE))</f>
        <v>0</v>
      </c>
      <c r="I1510" s="77" t="str">
        <f t="shared" si="109"/>
        <v/>
      </c>
    </row>
    <row r="1511" spans="1:9" x14ac:dyDescent="0.25">
      <c r="A1511" s="203" t="str">
        <f>IF(DATA!M1441="","",DATA!M1441)</f>
        <v/>
      </c>
      <c r="B1511" s="203" t="str">
        <f>IF(DATA!N1441="","",DATA!N1441)</f>
        <v/>
      </c>
      <c r="C1511" s="203" t="str">
        <f>IF(DATA!O1441="","",DATA!O1441)</f>
        <v/>
      </c>
      <c r="D1511" s="203" t="str">
        <f>IF(DATA!P1441="","",DATA!P1441)</f>
        <v/>
      </c>
      <c r="E1511" s="13"/>
      <c r="F1511" s="5" t="str">
        <f t="shared" si="108"/>
        <v/>
      </c>
      <c r="G1511" s="1"/>
      <c r="H1511" s="77">
        <f>IF(G1511="",0,VLOOKUP(G1511,REFCE!A:D,2,FALSE))</f>
        <v>0</v>
      </c>
      <c r="I1511" s="77" t="str">
        <f t="shared" si="109"/>
        <v/>
      </c>
    </row>
    <row r="1512" spans="1:9" x14ac:dyDescent="0.25">
      <c r="A1512" s="203" t="str">
        <f>IF(DATA!M1442="","",DATA!M1442)</f>
        <v/>
      </c>
      <c r="B1512" s="203" t="str">
        <f>IF(DATA!N1442="","",DATA!N1442)</f>
        <v/>
      </c>
      <c r="C1512" s="203" t="str">
        <f>IF(DATA!O1442="","",DATA!O1442)</f>
        <v/>
      </c>
      <c r="D1512" s="203" t="str">
        <f>IF(DATA!P1442="","",DATA!P1442)</f>
        <v/>
      </c>
      <c r="E1512" s="13"/>
      <c r="F1512" s="5" t="str">
        <f t="shared" si="108"/>
        <v/>
      </c>
      <c r="G1512" s="1"/>
      <c r="H1512" s="77">
        <f>IF(G1512="",0,VLOOKUP(G1512,REFCE!A:D,2,FALSE))</f>
        <v>0</v>
      </c>
      <c r="I1512" s="77" t="str">
        <f t="shared" si="109"/>
        <v/>
      </c>
    </row>
    <row r="1513" spans="1:9" x14ac:dyDescent="0.25">
      <c r="A1513" s="203" t="str">
        <f>IF(DATA!M1443="","",DATA!M1443)</f>
        <v/>
      </c>
      <c r="B1513" s="203" t="str">
        <f>IF(DATA!N1443="","",DATA!N1443)</f>
        <v/>
      </c>
      <c r="C1513" s="203" t="str">
        <f>IF(DATA!O1443="","",DATA!O1443)</f>
        <v/>
      </c>
      <c r="D1513" s="203" t="str">
        <f>IF(DATA!P1443="","",DATA!P1443)</f>
        <v/>
      </c>
      <c r="E1513" s="13"/>
      <c r="F1513" s="5" t="str">
        <f t="shared" si="108"/>
        <v/>
      </c>
      <c r="G1513" s="1"/>
      <c r="H1513" s="77">
        <f>IF(G1513="",0,VLOOKUP(G1513,REFCE!A:D,2,FALSE))</f>
        <v>0</v>
      </c>
      <c r="I1513" s="77" t="str">
        <f t="shared" si="109"/>
        <v/>
      </c>
    </row>
    <row r="1514" spans="1:9" x14ac:dyDescent="0.25">
      <c r="A1514" s="203" t="str">
        <f>IF(DATA!M1444="","",DATA!M1444)</f>
        <v/>
      </c>
      <c r="B1514" s="203" t="str">
        <f>IF(DATA!N1444="","",DATA!N1444)</f>
        <v/>
      </c>
      <c r="C1514" s="203" t="str">
        <f>IF(DATA!O1444="","",DATA!O1444)</f>
        <v/>
      </c>
      <c r="D1514" s="203" t="str">
        <f>IF(DATA!P1444="","",DATA!P1444)</f>
        <v/>
      </c>
      <c r="E1514" s="13"/>
      <c r="F1514" s="5" t="str">
        <f t="shared" si="108"/>
        <v/>
      </c>
      <c r="G1514" s="1"/>
      <c r="H1514" s="77">
        <f>IF(G1514="",0,VLOOKUP(G1514,REFCE!A:D,2,FALSE))</f>
        <v>0</v>
      </c>
      <c r="I1514" s="77" t="str">
        <f t="shared" si="109"/>
        <v/>
      </c>
    </row>
    <row r="1515" spans="1:9" x14ac:dyDescent="0.25">
      <c r="A1515" s="203" t="str">
        <f>IF(DATA!M1445="","",DATA!M1445)</f>
        <v/>
      </c>
      <c r="B1515" s="203" t="str">
        <f>IF(DATA!N1445="","",DATA!N1445)</f>
        <v/>
      </c>
      <c r="C1515" s="203" t="str">
        <f>IF(DATA!O1445="","",DATA!O1445)</f>
        <v/>
      </c>
      <c r="D1515" s="203" t="str">
        <f>IF(DATA!P1445="","",DATA!P1445)</f>
        <v/>
      </c>
      <c r="E1515" s="13"/>
      <c r="F1515" s="5" t="str">
        <f t="shared" si="108"/>
        <v/>
      </c>
      <c r="G1515" s="1"/>
      <c r="H1515" s="77">
        <f>IF(G1515="",0,VLOOKUP(G1515,REFCE!A:D,2,FALSE))</f>
        <v>0</v>
      </c>
      <c r="I1515" s="77" t="str">
        <f t="shared" si="109"/>
        <v/>
      </c>
    </row>
    <row r="1516" spans="1:9" x14ac:dyDescent="0.25">
      <c r="A1516" s="203" t="str">
        <f>IF(DATA!M1446="","",DATA!M1446)</f>
        <v/>
      </c>
      <c r="B1516" s="203" t="str">
        <f>IF(DATA!N1446="","",DATA!N1446)</f>
        <v/>
      </c>
      <c r="C1516" s="203" t="str">
        <f>IF(DATA!O1446="","",DATA!O1446)</f>
        <v/>
      </c>
      <c r="D1516" s="203" t="str">
        <f>IF(DATA!P1446="","",DATA!P1446)</f>
        <v/>
      </c>
      <c r="E1516" s="13"/>
      <c r="F1516" s="5" t="str">
        <f t="shared" si="108"/>
        <v/>
      </c>
      <c r="G1516" s="1"/>
      <c r="H1516" s="77">
        <f>IF(G1516="",0,VLOOKUP(G1516,REFCE!A:D,2,FALSE))</f>
        <v>0</v>
      </c>
      <c r="I1516" s="77" t="str">
        <f t="shared" si="109"/>
        <v/>
      </c>
    </row>
    <row r="1517" spans="1:9" x14ac:dyDescent="0.25">
      <c r="A1517" s="203" t="str">
        <f>IF(DATA!M1447="","",DATA!M1447)</f>
        <v/>
      </c>
      <c r="B1517" s="203" t="str">
        <f>IF(DATA!N1447="","",DATA!N1447)</f>
        <v/>
      </c>
      <c r="C1517" s="203" t="str">
        <f>IF(DATA!O1447="","",DATA!O1447)</f>
        <v/>
      </c>
      <c r="D1517" s="203" t="str">
        <f>IF(DATA!P1447="","",DATA!P1447)</f>
        <v/>
      </c>
      <c r="E1517" s="13"/>
      <c r="F1517" s="5" t="str">
        <f t="shared" si="108"/>
        <v/>
      </c>
      <c r="G1517" s="1"/>
      <c r="H1517" s="77">
        <f>IF(G1517="",0,VLOOKUP(G1517,REFCE!A:D,2,FALSE))</f>
        <v>0</v>
      </c>
      <c r="I1517" s="77" t="str">
        <f t="shared" si="109"/>
        <v/>
      </c>
    </row>
    <row r="1518" spans="1:9" x14ac:dyDescent="0.25">
      <c r="A1518" s="203" t="str">
        <f>IF(DATA!M1448="","",DATA!M1448)</f>
        <v/>
      </c>
      <c r="B1518" s="203" t="str">
        <f>IF(DATA!N1448="","",DATA!N1448)</f>
        <v/>
      </c>
      <c r="C1518" s="203" t="str">
        <f>IF(DATA!O1448="","",DATA!O1448)</f>
        <v/>
      </c>
      <c r="D1518" s="203" t="str">
        <f>IF(DATA!P1448="","",DATA!P1448)</f>
        <v/>
      </c>
      <c r="E1518" s="13"/>
      <c r="F1518" s="5" t="str">
        <f t="shared" si="108"/>
        <v/>
      </c>
      <c r="G1518" s="1"/>
      <c r="H1518" s="77">
        <f>IF(G1518="",0,VLOOKUP(G1518,REFCE!A:D,2,FALSE))</f>
        <v>0</v>
      </c>
      <c r="I1518" s="77" t="str">
        <f t="shared" si="109"/>
        <v/>
      </c>
    </row>
    <row r="1519" spans="1:9" x14ac:dyDescent="0.25">
      <c r="A1519" s="203" t="str">
        <f>IF(DATA!M1449="","",DATA!M1449)</f>
        <v/>
      </c>
      <c r="B1519" s="203" t="str">
        <f>IF(DATA!N1449="","",DATA!N1449)</f>
        <v/>
      </c>
      <c r="C1519" s="203" t="str">
        <f>IF(DATA!O1449="","",DATA!O1449)</f>
        <v/>
      </c>
      <c r="D1519" s="203" t="str">
        <f>IF(DATA!P1449="","",DATA!P1449)</f>
        <v/>
      </c>
      <c r="E1519" s="13"/>
      <c r="F1519" s="5" t="str">
        <f t="shared" si="108"/>
        <v/>
      </c>
      <c r="G1519" s="1"/>
      <c r="H1519" s="77">
        <f>IF(G1519="",0,VLOOKUP(G1519,REFCE!A:D,2,FALSE))</f>
        <v>0</v>
      </c>
      <c r="I1519" s="77" t="str">
        <f t="shared" si="109"/>
        <v/>
      </c>
    </row>
    <row r="1520" spans="1:9" x14ac:dyDescent="0.25">
      <c r="A1520" s="203" t="str">
        <f>IF(DATA!M1450="","",DATA!M1450)</f>
        <v/>
      </c>
      <c r="B1520" s="203" t="str">
        <f>IF(DATA!N1450="","",DATA!N1450)</f>
        <v/>
      </c>
      <c r="C1520" s="203" t="str">
        <f>IF(DATA!O1450="","",DATA!O1450)</f>
        <v/>
      </c>
      <c r="D1520" s="203" t="str">
        <f>IF(DATA!P1450="","",DATA!P1450)</f>
        <v/>
      </c>
      <c r="E1520" s="13"/>
      <c r="F1520" s="5" t="str">
        <f t="shared" si="108"/>
        <v/>
      </c>
      <c r="G1520" s="1"/>
      <c r="H1520" s="77">
        <f>IF(G1520="",0,VLOOKUP(G1520,REFCE!A:D,2,FALSE))</f>
        <v>0</v>
      </c>
      <c r="I1520" s="77" t="str">
        <f t="shared" si="109"/>
        <v/>
      </c>
    </row>
    <row r="1521" spans="1:9" x14ac:dyDescent="0.25">
      <c r="A1521" s="203" t="str">
        <f>IF(DATA!M1451="","",DATA!M1451)</f>
        <v/>
      </c>
      <c r="B1521" s="203" t="str">
        <f>IF(DATA!N1451="","",DATA!N1451)</f>
        <v/>
      </c>
      <c r="C1521" s="203" t="str">
        <f>IF(DATA!O1451="","",DATA!O1451)</f>
        <v/>
      </c>
      <c r="D1521" s="203" t="str">
        <f>IF(DATA!P1451="","",DATA!P1451)</f>
        <v/>
      </c>
      <c r="E1521" s="13"/>
      <c r="F1521" s="5" t="str">
        <f t="shared" si="108"/>
        <v/>
      </c>
      <c r="G1521" s="1"/>
      <c r="H1521" s="77">
        <f>IF(G1521="",0,VLOOKUP(G1521,REFCE!A:D,2,FALSE))</f>
        <v>0</v>
      </c>
      <c r="I1521" s="77" t="str">
        <f t="shared" si="109"/>
        <v/>
      </c>
    </row>
    <row r="1522" spans="1:9" x14ac:dyDescent="0.25">
      <c r="A1522" s="203" t="str">
        <f>IF(DATA!M1452="","",DATA!M1452)</f>
        <v/>
      </c>
      <c r="B1522" s="203" t="str">
        <f>IF(DATA!N1452="","",DATA!N1452)</f>
        <v/>
      </c>
      <c r="C1522" s="203" t="str">
        <f>IF(DATA!O1452="","",DATA!O1452)</f>
        <v/>
      </c>
      <c r="D1522" s="203" t="str">
        <f>IF(DATA!P1452="","",DATA!P1452)</f>
        <v/>
      </c>
      <c r="E1522" s="13"/>
      <c r="F1522" s="5" t="str">
        <f t="shared" si="108"/>
        <v/>
      </c>
      <c r="G1522" s="1"/>
      <c r="H1522" s="77">
        <f>IF(G1522="",0,VLOOKUP(G1522,REFCE!A:D,2,FALSE))</f>
        <v>0</v>
      </c>
      <c r="I1522" s="77" t="str">
        <f t="shared" si="109"/>
        <v/>
      </c>
    </row>
    <row r="1523" spans="1:9" x14ac:dyDescent="0.25">
      <c r="A1523" s="203" t="str">
        <f>IF(DATA!M1453="","",DATA!M1453)</f>
        <v/>
      </c>
      <c r="B1523" s="203" t="str">
        <f>IF(DATA!N1453="","",DATA!N1453)</f>
        <v/>
      </c>
      <c r="C1523" s="203" t="str">
        <f>IF(DATA!O1453="","",DATA!O1453)</f>
        <v/>
      </c>
      <c r="D1523" s="203" t="str">
        <f>IF(DATA!P1453="","",DATA!P1453)</f>
        <v/>
      </c>
      <c r="E1523" s="13"/>
      <c r="F1523" s="5" t="str">
        <f t="shared" si="108"/>
        <v/>
      </c>
      <c r="G1523" s="1"/>
      <c r="H1523" s="77">
        <f>IF(G1523="",0,VLOOKUP(G1523,REFCE!A:D,2,FALSE))</f>
        <v>0</v>
      </c>
      <c r="I1523" s="77" t="str">
        <f t="shared" si="109"/>
        <v/>
      </c>
    </row>
    <row r="1524" spans="1:9" x14ac:dyDescent="0.25">
      <c r="A1524" s="203" t="str">
        <f>IF(DATA!M1454="","",DATA!M1454)</f>
        <v/>
      </c>
      <c r="B1524" s="203" t="str">
        <f>IF(DATA!N1454="","",DATA!N1454)</f>
        <v/>
      </c>
      <c r="C1524" s="203" t="str">
        <f>IF(DATA!O1454="","",DATA!O1454)</f>
        <v/>
      </c>
      <c r="D1524" s="203" t="str">
        <f>IF(DATA!P1454="","",DATA!P1454)</f>
        <v/>
      </c>
      <c r="E1524" s="13"/>
      <c r="F1524" s="5" t="str">
        <f t="shared" si="108"/>
        <v/>
      </c>
      <c r="G1524" s="1"/>
      <c r="H1524" s="77">
        <f>IF(G1524="",0,VLOOKUP(G1524,REFCE!A:D,2,FALSE))</f>
        <v>0</v>
      </c>
      <c r="I1524" s="77" t="str">
        <f t="shared" si="109"/>
        <v/>
      </c>
    </row>
    <row r="1525" spans="1:9" x14ac:dyDescent="0.25">
      <c r="A1525" s="203" t="str">
        <f>IF(DATA!M1455="","",DATA!M1455)</f>
        <v/>
      </c>
      <c r="B1525" s="203" t="str">
        <f>IF(DATA!N1455="","",DATA!N1455)</f>
        <v/>
      </c>
      <c r="C1525" s="203" t="str">
        <f>IF(DATA!O1455="","",DATA!O1455)</f>
        <v/>
      </c>
      <c r="D1525" s="203" t="str">
        <f>IF(DATA!P1455="","",DATA!P1455)</f>
        <v/>
      </c>
      <c r="E1525" s="13"/>
      <c r="F1525" s="5" t="str">
        <f t="shared" si="108"/>
        <v/>
      </c>
      <c r="G1525" s="1"/>
      <c r="H1525" s="77">
        <f>IF(G1525="",0,VLOOKUP(G1525,REFCE!A:D,2,FALSE))</f>
        <v>0</v>
      </c>
      <c r="I1525" s="77" t="str">
        <f t="shared" si="109"/>
        <v/>
      </c>
    </row>
    <row r="1526" spans="1:9" x14ac:dyDescent="0.25">
      <c r="A1526" s="203" t="str">
        <f>IF(DATA!M1456="","",DATA!M1456)</f>
        <v/>
      </c>
      <c r="B1526" s="203" t="str">
        <f>IF(DATA!N1456="","",DATA!N1456)</f>
        <v/>
      </c>
      <c r="C1526" s="203" t="str">
        <f>IF(DATA!O1456="","",DATA!O1456)</f>
        <v/>
      </c>
      <c r="D1526" s="203" t="str">
        <f>IF(DATA!P1456="","",DATA!P1456)</f>
        <v/>
      </c>
      <c r="E1526" s="13"/>
      <c r="F1526" s="5" t="str">
        <f t="shared" si="108"/>
        <v/>
      </c>
      <c r="G1526" s="1"/>
      <c r="H1526" s="77">
        <f>IF(G1526="",0,VLOOKUP(G1526,REFCE!A:D,2,FALSE))</f>
        <v>0</v>
      </c>
      <c r="I1526" s="77" t="str">
        <f t="shared" si="109"/>
        <v/>
      </c>
    </row>
    <row r="1527" spans="1:9" x14ac:dyDescent="0.25">
      <c r="A1527" s="203" t="str">
        <f>IF(DATA!M1457="","",DATA!M1457)</f>
        <v/>
      </c>
      <c r="B1527" s="203" t="str">
        <f>IF(DATA!N1457="","",DATA!N1457)</f>
        <v/>
      </c>
      <c r="C1527" s="203" t="str">
        <f>IF(DATA!O1457="","",DATA!O1457)</f>
        <v/>
      </c>
      <c r="D1527" s="203" t="str">
        <f>IF(DATA!P1457="","",DATA!P1457)</f>
        <v/>
      </c>
      <c r="E1527" s="13"/>
      <c r="F1527" s="5" t="str">
        <f t="shared" si="108"/>
        <v/>
      </c>
      <c r="G1527" s="1"/>
      <c r="H1527" s="77">
        <f>IF(G1527="",0,VLOOKUP(G1527,REFCE!A:D,2,FALSE))</f>
        <v>0</v>
      </c>
      <c r="I1527" s="77" t="str">
        <f t="shared" si="109"/>
        <v/>
      </c>
    </row>
    <row r="1528" spans="1:9" x14ac:dyDescent="0.25">
      <c r="A1528" s="203" t="str">
        <f>IF(DATA!M1458="","",DATA!M1458)</f>
        <v/>
      </c>
      <c r="B1528" s="203" t="str">
        <f>IF(DATA!N1458="","",DATA!N1458)</f>
        <v/>
      </c>
      <c r="C1528" s="203" t="str">
        <f>IF(DATA!O1458="","",DATA!O1458)</f>
        <v/>
      </c>
      <c r="D1528" s="203" t="str">
        <f>IF(DATA!P1458="","",DATA!P1458)</f>
        <v/>
      </c>
      <c r="E1528" s="13"/>
      <c r="F1528" s="5" t="str">
        <f t="shared" si="108"/>
        <v/>
      </c>
      <c r="G1528" s="1"/>
      <c r="H1528" s="77">
        <f>IF(G1528="",0,VLOOKUP(G1528,REFCE!A:D,2,FALSE))</f>
        <v>0</v>
      </c>
      <c r="I1528" s="77" t="str">
        <f t="shared" si="109"/>
        <v/>
      </c>
    </row>
    <row r="1529" spans="1:9" x14ac:dyDescent="0.25">
      <c r="A1529" s="203" t="str">
        <f>IF(DATA!M1459="","",DATA!M1459)</f>
        <v/>
      </c>
      <c r="B1529" s="203" t="str">
        <f>IF(DATA!N1459="","",DATA!N1459)</f>
        <v/>
      </c>
      <c r="C1529" s="203" t="str">
        <f>IF(DATA!O1459="","",DATA!O1459)</f>
        <v/>
      </c>
      <c r="D1529" s="203" t="str">
        <f>IF(DATA!P1459="","",DATA!P1459)</f>
        <v/>
      </c>
      <c r="E1529" s="13"/>
      <c r="F1529" s="5" t="str">
        <f t="shared" si="108"/>
        <v/>
      </c>
      <c r="G1529" s="1"/>
      <c r="H1529" s="77">
        <f>IF(G1529="",0,VLOOKUP(G1529,REFCE!A:D,2,FALSE))</f>
        <v>0</v>
      </c>
      <c r="I1529" s="77" t="str">
        <f t="shared" si="109"/>
        <v/>
      </c>
    </row>
    <row r="1530" spans="1:9" x14ac:dyDescent="0.25">
      <c r="A1530" s="203" t="str">
        <f>IF(DATA!M1460="","",DATA!M1460)</f>
        <v/>
      </c>
      <c r="B1530" s="203" t="str">
        <f>IF(DATA!N1460="","",DATA!N1460)</f>
        <v/>
      </c>
      <c r="C1530" s="203" t="str">
        <f>IF(DATA!O1460="","",DATA!O1460)</f>
        <v/>
      </c>
      <c r="D1530" s="203" t="str">
        <f>IF(DATA!P1460="","",DATA!P1460)</f>
        <v/>
      </c>
      <c r="E1530" s="13"/>
      <c r="F1530" s="5" t="str">
        <f t="shared" si="108"/>
        <v/>
      </c>
      <c r="G1530" s="1"/>
      <c r="H1530" s="77">
        <f>IF(G1530="",0,VLOOKUP(G1530,REFCE!A:D,2,FALSE))</f>
        <v>0</v>
      </c>
      <c r="I1530" s="77" t="str">
        <f t="shared" si="109"/>
        <v/>
      </c>
    </row>
    <row r="1531" spans="1:9" x14ac:dyDescent="0.25">
      <c r="A1531" s="203" t="str">
        <f>IF(DATA!M1461="","",DATA!M1461)</f>
        <v/>
      </c>
      <c r="B1531" s="203" t="str">
        <f>IF(DATA!N1461="","",DATA!N1461)</f>
        <v/>
      </c>
      <c r="C1531" s="203" t="str">
        <f>IF(DATA!O1461="","",DATA!O1461)</f>
        <v/>
      </c>
      <c r="D1531" s="203" t="str">
        <f>IF(DATA!P1461="","",DATA!P1461)</f>
        <v/>
      </c>
      <c r="E1531" s="13"/>
      <c r="F1531" s="5" t="str">
        <f t="shared" si="108"/>
        <v/>
      </c>
      <c r="G1531" s="1"/>
      <c r="H1531" s="77">
        <f>IF(G1531="",0,VLOOKUP(G1531,REFCE!A:D,2,FALSE))</f>
        <v>0</v>
      </c>
      <c r="I1531" s="77" t="str">
        <f t="shared" si="109"/>
        <v/>
      </c>
    </row>
    <row r="1532" spans="1:9" x14ac:dyDescent="0.25">
      <c r="A1532" s="203" t="str">
        <f>IF(DATA!M1462="","",DATA!M1462)</f>
        <v/>
      </c>
      <c r="B1532" s="203" t="str">
        <f>IF(DATA!N1462="","",DATA!N1462)</f>
        <v/>
      </c>
      <c r="C1532" s="203" t="str">
        <f>IF(DATA!O1462="","",DATA!O1462)</f>
        <v/>
      </c>
      <c r="D1532" s="203" t="str">
        <f>IF(DATA!P1462="","",DATA!P1462)</f>
        <v/>
      </c>
      <c r="E1532" s="13"/>
      <c r="F1532" s="5" t="str">
        <f t="shared" si="108"/>
        <v/>
      </c>
      <c r="G1532" s="1"/>
      <c r="H1532" s="77">
        <f>IF(G1532="",0,VLOOKUP(G1532,REFCE!A:D,2,FALSE))</f>
        <v>0</v>
      </c>
      <c r="I1532" s="77" t="str">
        <f t="shared" si="109"/>
        <v/>
      </c>
    </row>
    <row r="1533" spans="1:9" x14ac:dyDescent="0.25">
      <c r="A1533" s="203" t="str">
        <f>IF(DATA!M1463="","",DATA!M1463)</f>
        <v/>
      </c>
      <c r="B1533" s="203" t="str">
        <f>IF(DATA!N1463="","",DATA!N1463)</f>
        <v/>
      </c>
      <c r="C1533" s="203" t="str">
        <f>IF(DATA!O1463="","",DATA!O1463)</f>
        <v/>
      </c>
      <c r="D1533" s="203" t="str">
        <f>IF(DATA!P1463="","",DATA!P1463)</f>
        <v/>
      </c>
      <c r="E1533" s="13"/>
      <c r="F1533" s="5" t="str">
        <f t="shared" si="108"/>
        <v/>
      </c>
      <c r="G1533" s="1"/>
      <c r="H1533" s="77">
        <f>IF(G1533="",0,VLOOKUP(G1533,REFCE!A:D,2,FALSE))</f>
        <v>0</v>
      </c>
      <c r="I1533" s="77" t="str">
        <f t="shared" si="109"/>
        <v/>
      </c>
    </row>
    <row r="1534" spans="1:9" x14ac:dyDescent="0.25">
      <c r="A1534" s="203" t="str">
        <f>IF(DATA!M1464="","",DATA!M1464)</f>
        <v/>
      </c>
      <c r="B1534" s="203" t="str">
        <f>IF(DATA!N1464="","",DATA!N1464)</f>
        <v/>
      </c>
      <c r="C1534" s="203" t="str">
        <f>IF(DATA!O1464="","",DATA!O1464)</f>
        <v/>
      </c>
      <c r="D1534" s="203" t="str">
        <f>IF(DATA!P1464="","",DATA!P1464)</f>
        <v/>
      </c>
      <c r="E1534" s="13"/>
      <c r="F1534" s="5" t="str">
        <f t="shared" si="108"/>
        <v/>
      </c>
      <c r="G1534" s="1"/>
      <c r="H1534" s="77">
        <f>IF(G1534="",0,VLOOKUP(G1534,REFCE!A:D,2,FALSE))</f>
        <v>0</v>
      </c>
      <c r="I1534" s="77" t="str">
        <f t="shared" si="109"/>
        <v/>
      </c>
    </row>
    <row r="1535" spans="1:9" x14ac:dyDescent="0.25">
      <c r="A1535" s="203" t="str">
        <f>IF(DATA!M1465="","",DATA!M1465)</f>
        <v/>
      </c>
      <c r="B1535" s="203" t="str">
        <f>IF(DATA!N1465="","",DATA!N1465)</f>
        <v/>
      </c>
      <c r="C1535" s="203" t="str">
        <f>IF(DATA!O1465="","",DATA!O1465)</f>
        <v/>
      </c>
      <c r="D1535" s="203" t="str">
        <f>IF(DATA!P1465="","",DATA!P1465)</f>
        <v/>
      </c>
      <c r="E1535" s="13"/>
      <c r="F1535" s="5" t="str">
        <f t="shared" si="108"/>
        <v/>
      </c>
      <c r="G1535" s="1"/>
      <c r="H1535" s="77">
        <f>IF(G1535="",0,VLOOKUP(G1535,REFCE!A:D,2,FALSE))</f>
        <v>0</v>
      </c>
      <c r="I1535" s="77" t="str">
        <f t="shared" si="109"/>
        <v/>
      </c>
    </row>
    <row r="1536" spans="1:9" x14ac:dyDescent="0.25">
      <c r="A1536" s="203" t="str">
        <f>IF(DATA!M1466="","",DATA!M1466)</f>
        <v/>
      </c>
      <c r="B1536" s="203" t="str">
        <f>IF(DATA!N1466="","",DATA!N1466)</f>
        <v/>
      </c>
      <c r="C1536" s="203" t="str">
        <f>IF(DATA!O1466="","",DATA!O1466)</f>
        <v/>
      </c>
      <c r="D1536" s="203" t="str">
        <f>IF(DATA!P1466="","",DATA!P1466)</f>
        <v/>
      </c>
      <c r="E1536" s="13"/>
      <c r="F1536" s="5" t="str">
        <f t="shared" si="108"/>
        <v/>
      </c>
      <c r="G1536" s="1"/>
      <c r="H1536" s="77">
        <f>IF(G1536="",0,VLOOKUP(G1536,REFCE!A:D,2,FALSE))</f>
        <v>0</v>
      </c>
      <c r="I1536" s="77" t="str">
        <f t="shared" si="109"/>
        <v/>
      </c>
    </row>
    <row r="1537" spans="1:9" x14ac:dyDescent="0.25">
      <c r="A1537" s="203" t="str">
        <f>IF(DATA!M1467="","",DATA!M1467)</f>
        <v/>
      </c>
      <c r="B1537" s="203" t="str">
        <f>IF(DATA!N1467="","",DATA!N1467)</f>
        <v/>
      </c>
      <c r="C1537" s="203" t="str">
        <f>IF(DATA!O1467="","",DATA!O1467)</f>
        <v/>
      </c>
      <c r="D1537" s="203" t="str">
        <f>IF(DATA!P1467="","",DATA!P1467)</f>
        <v/>
      </c>
      <c r="E1537" s="13"/>
      <c r="F1537" s="5" t="str">
        <f t="shared" si="108"/>
        <v/>
      </c>
      <c r="G1537" s="1"/>
      <c r="H1537" s="77">
        <f>IF(G1537="",0,VLOOKUP(G1537,REFCE!A:D,2,FALSE))</f>
        <v>0</v>
      </c>
      <c r="I1537" s="77" t="str">
        <f t="shared" si="109"/>
        <v/>
      </c>
    </row>
    <row r="1538" spans="1:9" x14ac:dyDescent="0.25">
      <c r="A1538" s="203" t="str">
        <f>IF(DATA!M1468="","",DATA!M1468)</f>
        <v/>
      </c>
      <c r="B1538" s="203" t="str">
        <f>IF(DATA!N1468="","",DATA!N1468)</f>
        <v/>
      </c>
      <c r="C1538" s="203" t="str">
        <f>IF(DATA!O1468="","",DATA!O1468)</f>
        <v/>
      </c>
      <c r="D1538" s="203" t="str">
        <f>IF(DATA!P1468="","",DATA!P1468)</f>
        <v/>
      </c>
      <c r="E1538" s="13"/>
      <c r="F1538" s="5" t="str">
        <f t="shared" si="108"/>
        <v/>
      </c>
      <c r="G1538" s="1"/>
      <c r="H1538" s="77">
        <f>IF(G1538="",0,VLOOKUP(G1538,REFCE!A:D,2,FALSE))</f>
        <v>0</v>
      </c>
      <c r="I1538" s="77" t="str">
        <f t="shared" si="109"/>
        <v/>
      </c>
    </row>
    <row r="1539" spans="1:9" x14ac:dyDescent="0.25">
      <c r="A1539" s="203" t="str">
        <f>IF(DATA!M1469="","",DATA!M1469)</f>
        <v/>
      </c>
      <c r="B1539" s="203" t="str">
        <f>IF(DATA!N1469="","",DATA!N1469)</f>
        <v/>
      </c>
      <c r="C1539" s="203" t="str">
        <f>IF(DATA!O1469="","",DATA!O1469)</f>
        <v/>
      </c>
      <c r="D1539" s="203" t="str">
        <f>IF(DATA!P1469="","",DATA!P1469)</f>
        <v/>
      </c>
      <c r="E1539" s="13"/>
      <c r="F1539" s="5" t="str">
        <f t="shared" si="108"/>
        <v/>
      </c>
      <c r="G1539" s="1"/>
      <c r="H1539" s="77">
        <f>IF(G1539="",0,VLOOKUP(G1539,REFCE!A:D,2,FALSE))</f>
        <v>0</v>
      </c>
      <c r="I1539" s="77" t="str">
        <f t="shared" si="109"/>
        <v/>
      </c>
    </row>
    <row r="1540" spans="1:9" x14ac:dyDescent="0.25">
      <c r="A1540" s="203" t="str">
        <f>IF(DATA!M1470="","",DATA!M1470)</f>
        <v/>
      </c>
      <c r="B1540" s="203" t="str">
        <f>IF(DATA!N1470="","",DATA!N1470)</f>
        <v/>
      </c>
      <c r="C1540" s="203" t="str">
        <f>IF(DATA!O1470="","",DATA!O1470)</f>
        <v/>
      </c>
      <c r="D1540" s="203" t="str">
        <f>IF(DATA!P1470="","",DATA!P1470)</f>
        <v/>
      </c>
      <c r="E1540" s="13"/>
      <c r="F1540" s="5" t="str">
        <f t="shared" si="108"/>
        <v/>
      </c>
      <c r="G1540" s="1"/>
      <c r="H1540" s="77">
        <f>IF(G1540="",0,VLOOKUP(G1540,REFCE!A:D,2,FALSE))</f>
        <v>0</v>
      </c>
      <c r="I1540" s="77" t="str">
        <f t="shared" si="109"/>
        <v/>
      </c>
    </row>
    <row r="1541" spans="1:9" x14ac:dyDescent="0.25">
      <c r="A1541" s="203" t="str">
        <f>IF(DATA!M1471="","",DATA!M1471)</f>
        <v/>
      </c>
      <c r="B1541" s="203" t="str">
        <f>IF(DATA!N1471="","",DATA!N1471)</f>
        <v/>
      </c>
      <c r="C1541" s="203" t="str">
        <f>IF(DATA!O1471="","",DATA!O1471)</f>
        <v/>
      </c>
      <c r="D1541" s="203" t="str">
        <f>IF(DATA!P1471="","",DATA!P1471)</f>
        <v/>
      </c>
      <c r="E1541" s="13"/>
      <c r="F1541" s="5" t="str">
        <f t="shared" si="108"/>
        <v/>
      </c>
      <c r="G1541" s="1"/>
      <c r="H1541" s="77">
        <f>IF(G1541="",0,VLOOKUP(G1541,REFCE!A:D,2,FALSE))</f>
        <v>0</v>
      </c>
      <c r="I1541" s="77" t="str">
        <f t="shared" si="109"/>
        <v/>
      </c>
    </row>
    <row r="1542" spans="1:9" x14ac:dyDescent="0.25">
      <c r="A1542" s="203" t="str">
        <f>IF(DATA!M1472="","",DATA!M1472)</f>
        <v/>
      </c>
      <c r="B1542" s="203" t="str">
        <f>IF(DATA!N1472="","",DATA!N1472)</f>
        <v/>
      </c>
      <c r="C1542" s="203" t="str">
        <f>IF(DATA!O1472="","",DATA!O1472)</f>
        <v/>
      </c>
      <c r="D1542" s="203" t="str">
        <f>IF(DATA!P1472="","",DATA!P1472)</f>
        <v/>
      </c>
      <c r="E1542" s="13"/>
      <c r="F1542" s="5" t="str">
        <f t="shared" si="108"/>
        <v/>
      </c>
      <c r="G1542" s="1"/>
      <c r="H1542" s="77">
        <f>IF(G1542="",0,VLOOKUP(G1542,REFCE!A:D,2,FALSE))</f>
        <v>0</v>
      </c>
      <c r="I1542" s="77" t="str">
        <f t="shared" si="109"/>
        <v/>
      </c>
    </row>
    <row r="1543" spans="1:9" x14ac:dyDescent="0.25">
      <c r="A1543" s="203" t="str">
        <f>IF(DATA!M1473="","",DATA!M1473)</f>
        <v/>
      </c>
      <c r="B1543" s="203" t="str">
        <f>IF(DATA!N1473="","",DATA!N1473)</f>
        <v/>
      </c>
      <c r="C1543" s="203" t="str">
        <f>IF(DATA!O1473="","",DATA!O1473)</f>
        <v/>
      </c>
      <c r="D1543" s="203" t="str">
        <f>IF(DATA!P1473="","",DATA!P1473)</f>
        <v/>
      </c>
      <c r="E1543" s="13"/>
      <c r="F1543" s="5" t="str">
        <f t="shared" si="108"/>
        <v/>
      </c>
      <c r="G1543" s="1"/>
      <c r="H1543" s="77">
        <f>IF(G1543="",0,VLOOKUP(G1543,REFCE!A:D,2,FALSE))</f>
        <v>0</v>
      </c>
      <c r="I1543" s="77" t="str">
        <f t="shared" si="109"/>
        <v/>
      </c>
    </row>
    <row r="1544" spans="1:9" x14ac:dyDescent="0.25">
      <c r="A1544" s="203" t="str">
        <f>IF(DATA!M1474="","",DATA!M1474)</f>
        <v/>
      </c>
      <c r="B1544" s="203" t="str">
        <f>IF(DATA!N1474="","",DATA!N1474)</f>
        <v/>
      </c>
      <c r="C1544" s="203" t="str">
        <f>IF(DATA!O1474="","",DATA!O1474)</f>
        <v/>
      </c>
      <c r="D1544" s="203" t="str">
        <f>IF(DATA!P1474="","",DATA!P1474)</f>
        <v/>
      </c>
      <c r="E1544" s="13"/>
      <c r="F1544" s="5" t="str">
        <f t="shared" si="108"/>
        <v/>
      </c>
      <c r="G1544" s="1"/>
      <c r="H1544" s="77">
        <f>IF(G1544="",0,VLOOKUP(G1544,REFCE!A:D,2,FALSE))</f>
        <v>0</v>
      </c>
      <c r="I1544" s="77" t="str">
        <f t="shared" si="109"/>
        <v/>
      </c>
    </row>
    <row r="1545" spans="1:9" x14ac:dyDescent="0.25">
      <c r="A1545" s="203" t="str">
        <f>IF(DATA!M1475="","",DATA!M1475)</f>
        <v/>
      </c>
      <c r="B1545" s="203" t="str">
        <f>IF(DATA!N1475="","",DATA!N1475)</f>
        <v/>
      </c>
      <c r="C1545" s="203" t="str">
        <f>IF(DATA!O1475="","",DATA!O1475)</f>
        <v/>
      </c>
      <c r="D1545" s="203" t="str">
        <f>IF(DATA!P1475="","",DATA!P1475)</f>
        <v/>
      </c>
      <c r="E1545" s="13"/>
      <c r="F1545" s="5" t="str">
        <f t="shared" si="108"/>
        <v/>
      </c>
      <c r="G1545" s="1"/>
      <c r="H1545" s="77">
        <f>IF(G1545="",0,VLOOKUP(G1545,REFCE!A:D,2,FALSE))</f>
        <v>0</v>
      </c>
      <c r="I1545" s="77" t="str">
        <f t="shared" si="109"/>
        <v/>
      </c>
    </row>
    <row r="1546" spans="1:9" x14ac:dyDescent="0.25">
      <c r="A1546" s="203" t="str">
        <f>IF(DATA!M1476="","",DATA!M1476)</f>
        <v/>
      </c>
      <c r="B1546" s="203" t="str">
        <f>IF(DATA!N1476="","",DATA!N1476)</f>
        <v/>
      </c>
      <c r="C1546" s="203" t="str">
        <f>IF(DATA!O1476="","",DATA!O1476)</f>
        <v/>
      </c>
      <c r="D1546" s="203" t="str">
        <f>IF(DATA!P1476="","",DATA!P1476)</f>
        <v/>
      </c>
      <c r="E1546" s="13"/>
      <c r="F1546" s="5" t="str">
        <f t="shared" si="108"/>
        <v/>
      </c>
      <c r="G1546" s="1"/>
      <c r="H1546" s="77">
        <f>IF(G1546="",0,VLOOKUP(G1546,REFCE!A:D,2,FALSE))</f>
        <v>0</v>
      </c>
      <c r="I1546" s="77" t="str">
        <f t="shared" si="109"/>
        <v/>
      </c>
    </row>
    <row r="1547" spans="1:9" x14ac:dyDescent="0.25">
      <c r="A1547" s="203" t="str">
        <f>IF(DATA!M1477="","",DATA!M1477)</f>
        <v/>
      </c>
      <c r="B1547" s="203" t="str">
        <f>IF(DATA!N1477="","",DATA!N1477)</f>
        <v/>
      </c>
      <c r="C1547" s="203" t="str">
        <f>IF(DATA!O1477="","",DATA!O1477)</f>
        <v/>
      </c>
      <c r="D1547" s="203" t="str">
        <f>IF(DATA!P1477="","",DATA!P1477)</f>
        <v/>
      </c>
      <c r="E1547" s="13"/>
      <c r="F1547" s="5" t="str">
        <f t="shared" si="108"/>
        <v/>
      </c>
      <c r="G1547" s="1"/>
      <c r="H1547" s="77">
        <f>IF(G1547="",0,VLOOKUP(G1547,REFCE!A:D,2,FALSE))</f>
        <v>0</v>
      </c>
      <c r="I1547" s="77" t="str">
        <f t="shared" si="109"/>
        <v/>
      </c>
    </row>
    <row r="1548" spans="1:9" x14ac:dyDescent="0.25">
      <c r="A1548" s="203" t="str">
        <f>IF(DATA!M1478="","",DATA!M1478)</f>
        <v/>
      </c>
      <c r="B1548" s="203" t="str">
        <f>IF(DATA!N1478="","",DATA!N1478)</f>
        <v/>
      </c>
      <c r="C1548" s="203" t="str">
        <f>IF(DATA!O1478="","",DATA!O1478)</f>
        <v/>
      </c>
      <c r="D1548" s="203" t="str">
        <f>IF(DATA!P1478="","",DATA!P1478)</f>
        <v/>
      </c>
      <c r="E1548" s="13"/>
      <c r="F1548" s="5" t="str">
        <f t="shared" si="108"/>
        <v/>
      </c>
      <c r="G1548" s="1"/>
      <c r="H1548" s="77">
        <f>IF(G1548="",0,VLOOKUP(G1548,REFCE!A:D,2,FALSE))</f>
        <v>0</v>
      </c>
      <c r="I1548" s="77" t="str">
        <f t="shared" si="109"/>
        <v/>
      </c>
    </row>
    <row r="1549" spans="1:9" x14ac:dyDescent="0.25">
      <c r="A1549" s="203" t="str">
        <f>IF(DATA!M1479="","",DATA!M1479)</f>
        <v/>
      </c>
      <c r="B1549" s="203" t="str">
        <f>IF(DATA!N1479="","",DATA!N1479)</f>
        <v/>
      </c>
      <c r="C1549" s="203" t="str">
        <f>IF(DATA!O1479="","",DATA!O1479)</f>
        <v/>
      </c>
      <c r="D1549" s="203" t="str">
        <f>IF(DATA!P1479="","",DATA!P1479)</f>
        <v/>
      </c>
      <c r="E1549" s="13"/>
      <c r="F1549" s="5" t="str">
        <f t="shared" si="108"/>
        <v/>
      </c>
      <c r="G1549" s="1"/>
      <c r="H1549" s="77">
        <f>IF(G1549="",0,VLOOKUP(G1549,REFCE!A:D,2,FALSE))</f>
        <v>0</v>
      </c>
      <c r="I1549" s="77" t="str">
        <f t="shared" si="109"/>
        <v/>
      </c>
    </row>
    <row r="1550" spans="1:9" x14ac:dyDescent="0.25">
      <c r="A1550" s="203" t="str">
        <f>IF(DATA!M1480="","",DATA!M1480)</f>
        <v/>
      </c>
      <c r="B1550" s="203" t="str">
        <f>IF(DATA!N1480="","",DATA!N1480)</f>
        <v/>
      </c>
      <c r="C1550" s="203" t="str">
        <f>IF(DATA!O1480="","",DATA!O1480)</f>
        <v/>
      </c>
      <c r="D1550" s="203" t="str">
        <f>IF(DATA!P1480="","",DATA!P1480)</f>
        <v/>
      </c>
      <c r="E1550" s="13"/>
      <c r="F1550" s="5" t="str">
        <f t="shared" ref="F1550:F1613" si="110">IF(D1550="","",D1550*E1550)</f>
        <v/>
      </c>
      <c r="G1550" s="1"/>
      <c r="H1550" s="77">
        <f>IF(G1550="",0,VLOOKUP(G1550,REFCE!A:D,2,FALSE))</f>
        <v>0</v>
      </c>
      <c r="I1550" s="77" t="str">
        <f t="shared" ref="I1550:I1613" si="111">IF(F1550="","",F1550*H1550)</f>
        <v/>
      </c>
    </row>
    <row r="1551" spans="1:9" x14ac:dyDescent="0.25">
      <c r="A1551" s="203" t="str">
        <f>IF(DATA!M1481="","",DATA!M1481)</f>
        <v/>
      </c>
      <c r="B1551" s="203" t="str">
        <f>IF(DATA!N1481="","",DATA!N1481)</f>
        <v/>
      </c>
      <c r="C1551" s="203" t="str">
        <f>IF(DATA!O1481="","",DATA!O1481)</f>
        <v/>
      </c>
      <c r="D1551" s="203" t="str">
        <f>IF(DATA!P1481="","",DATA!P1481)</f>
        <v/>
      </c>
      <c r="E1551" s="13"/>
      <c r="F1551" s="5" t="str">
        <f t="shared" si="110"/>
        <v/>
      </c>
      <c r="G1551" s="1"/>
      <c r="H1551" s="77">
        <f>IF(G1551="",0,VLOOKUP(G1551,REFCE!A:D,2,FALSE))</f>
        <v>0</v>
      </c>
      <c r="I1551" s="77" t="str">
        <f t="shared" si="111"/>
        <v/>
      </c>
    </row>
    <row r="1552" spans="1:9" x14ac:dyDescent="0.25">
      <c r="A1552" s="203" t="str">
        <f>IF(DATA!M1482="","",DATA!M1482)</f>
        <v/>
      </c>
      <c r="B1552" s="203" t="str">
        <f>IF(DATA!N1482="","",DATA!N1482)</f>
        <v/>
      </c>
      <c r="C1552" s="203" t="str">
        <f>IF(DATA!O1482="","",DATA!O1482)</f>
        <v/>
      </c>
      <c r="D1552" s="203" t="str">
        <f>IF(DATA!P1482="","",DATA!P1482)</f>
        <v/>
      </c>
      <c r="E1552" s="13"/>
      <c r="F1552" s="5" t="str">
        <f t="shared" si="110"/>
        <v/>
      </c>
      <c r="G1552" s="1"/>
      <c r="H1552" s="77">
        <f>IF(G1552="",0,VLOOKUP(G1552,REFCE!A:D,2,FALSE))</f>
        <v>0</v>
      </c>
      <c r="I1552" s="77" t="str">
        <f t="shared" si="111"/>
        <v/>
      </c>
    </row>
    <row r="1553" spans="1:9" x14ac:dyDescent="0.25">
      <c r="A1553" s="203" t="str">
        <f>IF(DATA!M1483="","",DATA!M1483)</f>
        <v/>
      </c>
      <c r="B1553" s="203" t="str">
        <f>IF(DATA!N1483="","",DATA!N1483)</f>
        <v/>
      </c>
      <c r="C1553" s="203" t="str">
        <f>IF(DATA!O1483="","",DATA!O1483)</f>
        <v/>
      </c>
      <c r="D1553" s="203" t="str">
        <f>IF(DATA!P1483="","",DATA!P1483)</f>
        <v/>
      </c>
      <c r="E1553" s="13"/>
      <c r="F1553" s="5" t="str">
        <f t="shared" si="110"/>
        <v/>
      </c>
      <c r="G1553" s="1"/>
      <c r="H1553" s="77">
        <f>IF(G1553="",0,VLOOKUP(G1553,REFCE!A:D,2,FALSE))</f>
        <v>0</v>
      </c>
      <c r="I1553" s="77" t="str">
        <f t="shared" si="111"/>
        <v/>
      </c>
    </row>
    <row r="1554" spans="1:9" x14ac:dyDescent="0.25">
      <c r="A1554" s="203" t="str">
        <f>IF(DATA!M1484="","",DATA!M1484)</f>
        <v/>
      </c>
      <c r="B1554" s="203" t="str">
        <f>IF(DATA!N1484="","",DATA!N1484)</f>
        <v/>
      </c>
      <c r="C1554" s="203" t="str">
        <f>IF(DATA!O1484="","",DATA!O1484)</f>
        <v/>
      </c>
      <c r="D1554" s="203" t="str">
        <f>IF(DATA!P1484="","",DATA!P1484)</f>
        <v/>
      </c>
      <c r="E1554" s="13"/>
      <c r="F1554" s="5" t="str">
        <f t="shared" si="110"/>
        <v/>
      </c>
      <c r="G1554" s="1"/>
      <c r="H1554" s="77">
        <f>IF(G1554="",0,VLOOKUP(G1554,REFCE!A:D,2,FALSE))</f>
        <v>0</v>
      </c>
      <c r="I1554" s="77" t="str">
        <f t="shared" si="111"/>
        <v/>
      </c>
    </row>
    <row r="1555" spans="1:9" x14ac:dyDescent="0.25">
      <c r="A1555" s="203" t="str">
        <f>IF(DATA!M1485="","",DATA!M1485)</f>
        <v/>
      </c>
      <c r="B1555" s="203" t="str">
        <f>IF(DATA!N1485="","",DATA!N1485)</f>
        <v/>
      </c>
      <c r="C1555" s="203" t="str">
        <f>IF(DATA!O1485="","",DATA!O1485)</f>
        <v/>
      </c>
      <c r="D1555" s="203" t="str">
        <f>IF(DATA!P1485="","",DATA!P1485)</f>
        <v/>
      </c>
      <c r="E1555" s="13"/>
      <c r="F1555" s="5" t="str">
        <f t="shared" si="110"/>
        <v/>
      </c>
      <c r="G1555" s="1"/>
      <c r="H1555" s="77">
        <f>IF(G1555="",0,VLOOKUP(G1555,REFCE!A:D,2,FALSE))</f>
        <v>0</v>
      </c>
      <c r="I1555" s="77" t="str">
        <f t="shared" si="111"/>
        <v/>
      </c>
    </row>
    <row r="1556" spans="1:9" x14ac:dyDescent="0.25">
      <c r="A1556" s="203" t="str">
        <f>IF(DATA!M1486="","",DATA!M1486)</f>
        <v/>
      </c>
      <c r="B1556" s="203" t="str">
        <f>IF(DATA!N1486="","",DATA!N1486)</f>
        <v/>
      </c>
      <c r="C1556" s="203" t="str">
        <f>IF(DATA!O1486="","",DATA!O1486)</f>
        <v/>
      </c>
      <c r="D1556" s="203" t="str">
        <f>IF(DATA!P1486="","",DATA!P1486)</f>
        <v/>
      </c>
      <c r="E1556" s="13"/>
      <c r="F1556" s="5" t="str">
        <f t="shared" si="110"/>
        <v/>
      </c>
      <c r="G1556" s="1"/>
      <c r="H1556" s="77">
        <f>IF(G1556="",0,VLOOKUP(G1556,REFCE!A:D,2,FALSE))</f>
        <v>0</v>
      </c>
      <c r="I1556" s="77" t="str">
        <f t="shared" si="111"/>
        <v/>
      </c>
    </row>
    <row r="1557" spans="1:9" x14ac:dyDescent="0.25">
      <c r="A1557" s="203" t="str">
        <f>IF(DATA!M1487="","",DATA!M1487)</f>
        <v/>
      </c>
      <c r="B1557" s="203" t="str">
        <f>IF(DATA!N1487="","",DATA!N1487)</f>
        <v/>
      </c>
      <c r="C1557" s="203" t="str">
        <f>IF(DATA!O1487="","",DATA!O1487)</f>
        <v/>
      </c>
      <c r="D1557" s="203" t="str">
        <f>IF(DATA!P1487="","",DATA!P1487)</f>
        <v/>
      </c>
      <c r="E1557" s="13"/>
      <c r="F1557" s="5" t="str">
        <f t="shared" si="110"/>
        <v/>
      </c>
      <c r="G1557" s="1"/>
      <c r="H1557" s="77">
        <f>IF(G1557="",0,VLOOKUP(G1557,REFCE!A:D,2,FALSE))</f>
        <v>0</v>
      </c>
      <c r="I1557" s="77" t="str">
        <f t="shared" si="111"/>
        <v/>
      </c>
    </row>
    <row r="1558" spans="1:9" x14ac:dyDescent="0.25">
      <c r="A1558" s="203" t="str">
        <f>IF(DATA!M1488="","",DATA!M1488)</f>
        <v/>
      </c>
      <c r="B1558" s="203" t="str">
        <f>IF(DATA!N1488="","",DATA!N1488)</f>
        <v/>
      </c>
      <c r="C1558" s="203" t="str">
        <f>IF(DATA!O1488="","",DATA!O1488)</f>
        <v/>
      </c>
      <c r="D1558" s="203" t="str">
        <f>IF(DATA!P1488="","",DATA!P1488)</f>
        <v/>
      </c>
      <c r="E1558" s="13"/>
      <c r="F1558" s="5" t="str">
        <f t="shared" si="110"/>
        <v/>
      </c>
      <c r="G1558" s="1"/>
      <c r="H1558" s="77">
        <f>IF(G1558="",0,VLOOKUP(G1558,REFCE!A:D,2,FALSE))</f>
        <v>0</v>
      </c>
      <c r="I1558" s="77" t="str">
        <f t="shared" si="111"/>
        <v/>
      </c>
    </row>
    <row r="1559" spans="1:9" x14ac:dyDescent="0.25">
      <c r="A1559" s="203" t="str">
        <f>IF(DATA!M1489="","",DATA!M1489)</f>
        <v/>
      </c>
      <c r="B1559" s="203" t="str">
        <f>IF(DATA!N1489="","",DATA!N1489)</f>
        <v/>
      </c>
      <c r="C1559" s="203" t="str">
        <f>IF(DATA!O1489="","",DATA!O1489)</f>
        <v/>
      </c>
      <c r="D1559" s="203" t="str">
        <f>IF(DATA!P1489="","",DATA!P1489)</f>
        <v/>
      </c>
      <c r="E1559" s="13"/>
      <c r="F1559" s="5" t="str">
        <f t="shared" si="110"/>
        <v/>
      </c>
      <c r="G1559" s="1"/>
      <c r="H1559" s="77">
        <f>IF(G1559="",0,VLOOKUP(G1559,REFCE!A:D,2,FALSE))</f>
        <v>0</v>
      </c>
      <c r="I1559" s="77" t="str">
        <f t="shared" si="111"/>
        <v/>
      </c>
    </row>
    <row r="1560" spans="1:9" x14ac:dyDescent="0.25">
      <c r="A1560" s="203" t="str">
        <f>IF(DATA!M1490="","",DATA!M1490)</f>
        <v/>
      </c>
      <c r="B1560" s="203" t="str">
        <f>IF(DATA!N1490="","",DATA!N1490)</f>
        <v/>
      </c>
      <c r="C1560" s="203" t="str">
        <f>IF(DATA!O1490="","",DATA!O1490)</f>
        <v/>
      </c>
      <c r="D1560" s="203" t="str">
        <f>IF(DATA!P1490="","",DATA!P1490)</f>
        <v/>
      </c>
      <c r="E1560" s="13"/>
      <c r="F1560" s="5" t="str">
        <f t="shared" si="110"/>
        <v/>
      </c>
      <c r="G1560" s="1"/>
      <c r="H1560" s="77">
        <f>IF(G1560="",0,VLOOKUP(G1560,REFCE!A:D,2,FALSE))</f>
        <v>0</v>
      </c>
      <c r="I1560" s="77" t="str">
        <f t="shared" si="111"/>
        <v/>
      </c>
    </row>
    <row r="1561" spans="1:9" x14ac:dyDescent="0.25">
      <c r="A1561" s="203" t="str">
        <f>IF(DATA!M1491="","",DATA!M1491)</f>
        <v/>
      </c>
      <c r="B1561" s="203" t="str">
        <f>IF(DATA!N1491="","",DATA!N1491)</f>
        <v/>
      </c>
      <c r="C1561" s="203" t="str">
        <f>IF(DATA!O1491="","",DATA!O1491)</f>
        <v/>
      </c>
      <c r="D1561" s="203" t="str">
        <f>IF(DATA!P1491="","",DATA!P1491)</f>
        <v/>
      </c>
      <c r="E1561" s="13"/>
      <c r="F1561" s="5" t="str">
        <f t="shared" si="110"/>
        <v/>
      </c>
      <c r="G1561" s="1"/>
      <c r="H1561" s="77">
        <f>IF(G1561="",0,VLOOKUP(G1561,REFCE!A:D,2,FALSE))</f>
        <v>0</v>
      </c>
      <c r="I1561" s="77" t="str">
        <f t="shared" si="111"/>
        <v/>
      </c>
    </row>
    <row r="1562" spans="1:9" x14ac:dyDescent="0.25">
      <c r="A1562" s="203" t="str">
        <f>IF(DATA!M1492="","",DATA!M1492)</f>
        <v/>
      </c>
      <c r="B1562" s="203" t="str">
        <f>IF(DATA!N1492="","",DATA!N1492)</f>
        <v/>
      </c>
      <c r="C1562" s="203" t="str">
        <f>IF(DATA!O1492="","",DATA!O1492)</f>
        <v/>
      </c>
      <c r="D1562" s="203" t="str">
        <f>IF(DATA!P1492="","",DATA!P1492)</f>
        <v/>
      </c>
      <c r="E1562" s="13"/>
      <c r="F1562" s="5" t="str">
        <f t="shared" si="110"/>
        <v/>
      </c>
      <c r="G1562" s="1"/>
      <c r="H1562" s="77">
        <f>IF(G1562="",0,VLOOKUP(G1562,REFCE!A:D,2,FALSE))</f>
        <v>0</v>
      </c>
      <c r="I1562" s="77" t="str">
        <f t="shared" si="111"/>
        <v/>
      </c>
    </row>
    <row r="1563" spans="1:9" x14ac:dyDescent="0.25">
      <c r="A1563" s="203" t="str">
        <f>IF(DATA!M1493="","",DATA!M1493)</f>
        <v/>
      </c>
      <c r="B1563" s="203" t="str">
        <f>IF(DATA!N1493="","",DATA!N1493)</f>
        <v/>
      </c>
      <c r="C1563" s="203" t="str">
        <f>IF(DATA!O1493="","",DATA!O1493)</f>
        <v/>
      </c>
      <c r="D1563" s="203" t="str">
        <f>IF(DATA!P1493="","",DATA!P1493)</f>
        <v/>
      </c>
      <c r="E1563" s="13"/>
      <c r="F1563" s="5" t="str">
        <f t="shared" si="110"/>
        <v/>
      </c>
      <c r="G1563" s="1"/>
      <c r="H1563" s="77">
        <f>IF(G1563="",0,VLOOKUP(G1563,REFCE!A:D,2,FALSE))</f>
        <v>0</v>
      </c>
      <c r="I1563" s="77" t="str">
        <f t="shared" si="111"/>
        <v/>
      </c>
    </row>
    <row r="1564" spans="1:9" x14ac:dyDescent="0.25">
      <c r="A1564" s="203" t="str">
        <f>IF(DATA!M1494="","",DATA!M1494)</f>
        <v/>
      </c>
      <c r="B1564" s="203" t="str">
        <f>IF(DATA!N1494="","",DATA!N1494)</f>
        <v/>
      </c>
      <c r="C1564" s="203" t="str">
        <f>IF(DATA!O1494="","",DATA!O1494)</f>
        <v/>
      </c>
      <c r="D1564" s="203" t="str">
        <f>IF(DATA!P1494="","",DATA!P1494)</f>
        <v/>
      </c>
      <c r="E1564" s="13"/>
      <c r="F1564" s="5" t="str">
        <f t="shared" si="110"/>
        <v/>
      </c>
      <c r="G1564" s="1"/>
      <c r="H1564" s="77">
        <f>IF(G1564="",0,VLOOKUP(G1564,REFCE!A:D,2,FALSE))</f>
        <v>0</v>
      </c>
      <c r="I1564" s="77" t="str">
        <f t="shared" si="111"/>
        <v/>
      </c>
    </row>
    <row r="1565" spans="1:9" x14ac:dyDescent="0.25">
      <c r="A1565" s="203" t="str">
        <f>IF(DATA!M1495="","",DATA!M1495)</f>
        <v/>
      </c>
      <c r="B1565" s="203" t="str">
        <f>IF(DATA!N1495="","",DATA!N1495)</f>
        <v/>
      </c>
      <c r="C1565" s="203" t="str">
        <f>IF(DATA!O1495="","",DATA!O1495)</f>
        <v/>
      </c>
      <c r="D1565" s="203" t="str">
        <f>IF(DATA!P1495="","",DATA!P1495)</f>
        <v/>
      </c>
      <c r="E1565" s="13"/>
      <c r="F1565" s="5" t="str">
        <f t="shared" si="110"/>
        <v/>
      </c>
      <c r="G1565" s="1"/>
      <c r="H1565" s="77">
        <f>IF(G1565="",0,VLOOKUP(G1565,REFCE!A:D,2,FALSE))</f>
        <v>0</v>
      </c>
      <c r="I1565" s="77" t="str">
        <f t="shared" si="111"/>
        <v/>
      </c>
    </row>
    <row r="1566" spans="1:9" x14ac:dyDescent="0.25">
      <c r="A1566" s="203" t="str">
        <f>IF(DATA!M1496="","",DATA!M1496)</f>
        <v/>
      </c>
      <c r="B1566" s="203" t="str">
        <f>IF(DATA!N1496="","",DATA!N1496)</f>
        <v/>
      </c>
      <c r="C1566" s="203" t="str">
        <f>IF(DATA!O1496="","",DATA!O1496)</f>
        <v/>
      </c>
      <c r="D1566" s="203" t="str">
        <f>IF(DATA!P1496="","",DATA!P1496)</f>
        <v/>
      </c>
      <c r="E1566" s="13"/>
      <c r="F1566" s="5" t="str">
        <f t="shared" si="110"/>
        <v/>
      </c>
      <c r="G1566" s="1"/>
      <c r="H1566" s="77">
        <f>IF(G1566="",0,VLOOKUP(G1566,REFCE!A:D,2,FALSE))</f>
        <v>0</v>
      </c>
      <c r="I1566" s="77" t="str">
        <f t="shared" si="111"/>
        <v/>
      </c>
    </row>
    <row r="1567" spans="1:9" x14ac:dyDescent="0.25">
      <c r="A1567" s="203" t="str">
        <f>IF(DATA!M1497="","",DATA!M1497)</f>
        <v/>
      </c>
      <c r="B1567" s="203" t="str">
        <f>IF(DATA!N1497="","",DATA!N1497)</f>
        <v/>
      </c>
      <c r="C1567" s="203" t="str">
        <f>IF(DATA!O1497="","",DATA!O1497)</f>
        <v/>
      </c>
      <c r="D1567" s="203" t="str">
        <f>IF(DATA!P1497="","",DATA!P1497)</f>
        <v/>
      </c>
      <c r="E1567" s="13"/>
      <c r="F1567" s="5" t="str">
        <f t="shared" si="110"/>
        <v/>
      </c>
      <c r="G1567" s="1"/>
      <c r="H1567" s="77">
        <f>IF(G1567="",0,VLOOKUP(G1567,REFCE!A:D,2,FALSE))</f>
        <v>0</v>
      </c>
      <c r="I1567" s="77" t="str">
        <f t="shared" si="111"/>
        <v/>
      </c>
    </row>
    <row r="1568" spans="1:9" x14ac:dyDescent="0.25">
      <c r="A1568" s="203" t="str">
        <f>IF(DATA!M1498="","",DATA!M1498)</f>
        <v/>
      </c>
      <c r="B1568" s="203" t="str">
        <f>IF(DATA!N1498="","",DATA!N1498)</f>
        <v/>
      </c>
      <c r="C1568" s="203" t="str">
        <f>IF(DATA!O1498="","",DATA!O1498)</f>
        <v/>
      </c>
      <c r="D1568" s="203" t="str">
        <f>IF(DATA!P1498="","",DATA!P1498)</f>
        <v/>
      </c>
      <c r="E1568" s="13"/>
      <c r="F1568" s="5" t="str">
        <f t="shared" si="110"/>
        <v/>
      </c>
      <c r="G1568" s="1"/>
      <c r="H1568" s="77">
        <f>IF(G1568="",0,VLOOKUP(G1568,REFCE!A:D,2,FALSE))</f>
        <v>0</v>
      </c>
      <c r="I1568" s="77" t="str">
        <f t="shared" si="111"/>
        <v/>
      </c>
    </row>
    <row r="1569" spans="1:9" x14ac:dyDescent="0.25">
      <c r="A1569" s="203" t="str">
        <f>IF(DATA!M1499="","",DATA!M1499)</f>
        <v/>
      </c>
      <c r="B1569" s="203" t="str">
        <f>IF(DATA!N1499="","",DATA!N1499)</f>
        <v/>
      </c>
      <c r="C1569" s="203" t="str">
        <f>IF(DATA!O1499="","",DATA!O1499)</f>
        <v/>
      </c>
      <c r="D1569" s="203" t="str">
        <f>IF(DATA!P1499="","",DATA!P1499)</f>
        <v/>
      </c>
      <c r="E1569" s="13"/>
      <c r="F1569" s="5" t="str">
        <f t="shared" si="110"/>
        <v/>
      </c>
      <c r="G1569" s="1"/>
      <c r="H1569" s="77">
        <f>IF(G1569="",0,VLOOKUP(G1569,REFCE!A:D,2,FALSE))</f>
        <v>0</v>
      </c>
      <c r="I1569" s="77" t="str">
        <f t="shared" si="111"/>
        <v/>
      </c>
    </row>
    <row r="1570" spans="1:9" x14ac:dyDescent="0.25">
      <c r="A1570" s="203" t="str">
        <f>IF(DATA!M1500="","",DATA!M1500)</f>
        <v/>
      </c>
      <c r="B1570" s="203" t="str">
        <f>IF(DATA!N1500="","",DATA!N1500)</f>
        <v/>
      </c>
      <c r="C1570" s="203" t="str">
        <f>IF(DATA!O1500="","",DATA!O1500)</f>
        <v/>
      </c>
      <c r="D1570" s="203" t="str">
        <f>IF(DATA!P1500="","",DATA!P1500)</f>
        <v/>
      </c>
      <c r="E1570" s="13"/>
      <c r="F1570" s="5" t="str">
        <f t="shared" si="110"/>
        <v/>
      </c>
      <c r="G1570" s="1"/>
      <c r="H1570" s="77">
        <f>IF(G1570="",0,VLOOKUP(G1570,REFCE!A:D,2,FALSE))</f>
        <v>0</v>
      </c>
      <c r="I1570" s="77" t="str">
        <f t="shared" si="111"/>
        <v/>
      </c>
    </row>
    <row r="1571" spans="1:9" x14ac:dyDescent="0.25">
      <c r="A1571" s="203" t="str">
        <f>IF(DATA!M1501="","",DATA!M1501)</f>
        <v/>
      </c>
      <c r="B1571" s="203" t="str">
        <f>IF(DATA!N1501="","",DATA!N1501)</f>
        <v/>
      </c>
      <c r="C1571" s="203" t="str">
        <f>IF(DATA!O1501="","",DATA!O1501)</f>
        <v/>
      </c>
      <c r="D1571" s="203" t="str">
        <f>IF(DATA!P1501="","",DATA!P1501)</f>
        <v/>
      </c>
      <c r="E1571" s="13"/>
      <c r="F1571" s="5" t="str">
        <f t="shared" si="110"/>
        <v/>
      </c>
      <c r="G1571" s="1"/>
      <c r="H1571" s="77">
        <f>IF(G1571="",0,VLOOKUP(G1571,REFCE!A:D,2,FALSE))</f>
        <v>0</v>
      </c>
      <c r="I1571" s="77" t="str">
        <f t="shared" si="111"/>
        <v/>
      </c>
    </row>
    <row r="1572" spans="1:9" x14ac:dyDescent="0.25">
      <c r="A1572" s="203" t="str">
        <f>IF(DATA!M1502="","",DATA!M1502)</f>
        <v/>
      </c>
      <c r="B1572" s="203" t="str">
        <f>IF(DATA!N1502="","",DATA!N1502)</f>
        <v/>
      </c>
      <c r="C1572" s="203" t="str">
        <f>IF(DATA!O1502="","",DATA!O1502)</f>
        <v/>
      </c>
      <c r="D1572" s="203" t="str">
        <f>IF(DATA!P1502="","",DATA!P1502)</f>
        <v/>
      </c>
      <c r="E1572" s="13"/>
      <c r="F1572" s="5" t="str">
        <f t="shared" si="110"/>
        <v/>
      </c>
      <c r="G1572" s="1"/>
      <c r="H1572" s="77">
        <f>IF(G1572="",0,VLOOKUP(G1572,REFCE!A:D,2,FALSE))</f>
        <v>0</v>
      </c>
      <c r="I1572" s="77" t="str">
        <f t="shared" si="111"/>
        <v/>
      </c>
    </row>
    <row r="1573" spans="1:9" x14ac:dyDescent="0.25">
      <c r="A1573" s="203" t="str">
        <f>IF(DATA!M1503="","",DATA!M1503)</f>
        <v/>
      </c>
      <c r="B1573" s="203" t="str">
        <f>IF(DATA!N1503="","",DATA!N1503)</f>
        <v/>
      </c>
      <c r="C1573" s="203" t="str">
        <f>IF(DATA!O1503="","",DATA!O1503)</f>
        <v/>
      </c>
      <c r="D1573" s="203" t="str">
        <f>IF(DATA!P1503="","",DATA!P1503)</f>
        <v/>
      </c>
      <c r="E1573" s="13"/>
      <c r="F1573" s="5" t="str">
        <f t="shared" si="110"/>
        <v/>
      </c>
      <c r="G1573" s="1"/>
      <c r="H1573" s="77">
        <f>IF(G1573="",0,VLOOKUP(G1573,REFCE!A:D,2,FALSE))</f>
        <v>0</v>
      </c>
      <c r="I1573" s="77" t="str">
        <f t="shared" si="111"/>
        <v/>
      </c>
    </row>
    <row r="1574" spans="1:9" x14ac:dyDescent="0.25">
      <c r="A1574" s="203" t="str">
        <f>IF(DATA!M1504="","",DATA!M1504)</f>
        <v/>
      </c>
      <c r="B1574" s="203" t="str">
        <f>IF(DATA!N1504="","",DATA!N1504)</f>
        <v/>
      </c>
      <c r="C1574" s="203" t="str">
        <f>IF(DATA!O1504="","",DATA!O1504)</f>
        <v/>
      </c>
      <c r="D1574" s="203" t="str">
        <f>IF(DATA!P1504="","",DATA!P1504)</f>
        <v/>
      </c>
      <c r="E1574" s="13"/>
      <c r="F1574" s="5" t="str">
        <f t="shared" si="110"/>
        <v/>
      </c>
      <c r="G1574" s="1"/>
      <c r="H1574" s="77">
        <f>IF(G1574="",0,VLOOKUP(G1574,REFCE!A:D,2,FALSE))</f>
        <v>0</v>
      </c>
      <c r="I1574" s="77" t="str">
        <f t="shared" si="111"/>
        <v/>
      </c>
    </row>
    <row r="1575" spans="1:9" x14ac:dyDescent="0.25">
      <c r="A1575" s="203" t="str">
        <f>IF(DATA!M1505="","",DATA!M1505)</f>
        <v/>
      </c>
      <c r="B1575" s="203" t="str">
        <f>IF(DATA!N1505="","",DATA!N1505)</f>
        <v/>
      </c>
      <c r="C1575" s="203" t="str">
        <f>IF(DATA!O1505="","",DATA!O1505)</f>
        <v/>
      </c>
      <c r="D1575" s="203" t="str">
        <f>IF(DATA!P1505="","",DATA!P1505)</f>
        <v/>
      </c>
      <c r="E1575" s="13"/>
      <c r="F1575" s="5" t="str">
        <f t="shared" si="110"/>
        <v/>
      </c>
      <c r="G1575" s="1"/>
      <c r="H1575" s="77">
        <f>IF(G1575="",0,VLOOKUP(G1575,REFCE!A:D,2,FALSE))</f>
        <v>0</v>
      </c>
      <c r="I1575" s="77" t="str">
        <f t="shared" si="111"/>
        <v/>
      </c>
    </row>
    <row r="1576" spans="1:9" x14ac:dyDescent="0.25">
      <c r="A1576" s="203" t="str">
        <f>IF(DATA!M1506="","",DATA!M1506)</f>
        <v/>
      </c>
      <c r="B1576" s="203" t="str">
        <f>IF(DATA!N1506="","",DATA!N1506)</f>
        <v/>
      </c>
      <c r="C1576" s="203" t="str">
        <f>IF(DATA!O1506="","",DATA!O1506)</f>
        <v/>
      </c>
      <c r="D1576" s="203" t="str">
        <f>IF(DATA!P1506="","",DATA!P1506)</f>
        <v/>
      </c>
      <c r="E1576" s="13"/>
      <c r="F1576" s="5" t="str">
        <f t="shared" si="110"/>
        <v/>
      </c>
      <c r="G1576" s="1"/>
      <c r="H1576" s="77">
        <f>IF(G1576="",0,VLOOKUP(G1576,REFCE!A:D,2,FALSE))</f>
        <v>0</v>
      </c>
      <c r="I1576" s="77" t="str">
        <f t="shared" si="111"/>
        <v/>
      </c>
    </row>
    <row r="1577" spans="1:9" x14ac:dyDescent="0.25">
      <c r="A1577" s="203" t="str">
        <f>IF(DATA!M1507="","",DATA!M1507)</f>
        <v/>
      </c>
      <c r="B1577" s="203" t="str">
        <f>IF(DATA!N1507="","",DATA!N1507)</f>
        <v/>
      </c>
      <c r="C1577" s="203" t="str">
        <f>IF(DATA!O1507="","",DATA!O1507)</f>
        <v/>
      </c>
      <c r="D1577" s="203" t="str">
        <f>IF(DATA!P1507="","",DATA!P1507)</f>
        <v/>
      </c>
      <c r="E1577" s="13"/>
      <c r="F1577" s="5" t="str">
        <f t="shared" si="110"/>
        <v/>
      </c>
      <c r="G1577" s="1"/>
      <c r="H1577" s="77">
        <f>IF(G1577="",0,VLOOKUP(G1577,REFCE!A:D,2,FALSE))</f>
        <v>0</v>
      </c>
      <c r="I1577" s="77" t="str">
        <f t="shared" si="111"/>
        <v/>
      </c>
    </row>
    <row r="1578" spans="1:9" x14ac:dyDescent="0.25">
      <c r="A1578" s="203" t="str">
        <f>IF(DATA!M1508="","",DATA!M1508)</f>
        <v/>
      </c>
      <c r="B1578" s="203" t="str">
        <f>IF(DATA!N1508="","",DATA!N1508)</f>
        <v/>
      </c>
      <c r="C1578" s="203" t="str">
        <f>IF(DATA!O1508="","",DATA!O1508)</f>
        <v/>
      </c>
      <c r="D1578" s="203" t="str">
        <f>IF(DATA!P1508="","",DATA!P1508)</f>
        <v/>
      </c>
      <c r="E1578" s="13"/>
      <c r="F1578" s="5" t="str">
        <f t="shared" si="110"/>
        <v/>
      </c>
      <c r="G1578" s="1"/>
      <c r="H1578" s="77">
        <f>IF(G1578="",0,VLOOKUP(G1578,REFCE!A:D,2,FALSE))</f>
        <v>0</v>
      </c>
      <c r="I1578" s="77" t="str">
        <f t="shared" si="111"/>
        <v/>
      </c>
    </row>
    <row r="1579" spans="1:9" x14ac:dyDescent="0.25">
      <c r="A1579" s="203" t="str">
        <f>IF(DATA!M1509="","",DATA!M1509)</f>
        <v/>
      </c>
      <c r="B1579" s="203" t="str">
        <f>IF(DATA!N1509="","",DATA!N1509)</f>
        <v/>
      </c>
      <c r="C1579" s="203" t="str">
        <f>IF(DATA!O1509="","",DATA!O1509)</f>
        <v/>
      </c>
      <c r="D1579" s="203" t="str">
        <f>IF(DATA!P1509="","",DATA!P1509)</f>
        <v/>
      </c>
      <c r="E1579" s="13"/>
      <c r="F1579" s="5" t="str">
        <f t="shared" si="110"/>
        <v/>
      </c>
      <c r="G1579" s="1"/>
      <c r="H1579" s="77">
        <f>IF(G1579="",0,VLOOKUP(G1579,REFCE!A:D,2,FALSE))</f>
        <v>0</v>
      </c>
      <c r="I1579" s="77" t="str">
        <f t="shared" si="111"/>
        <v/>
      </c>
    </row>
    <row r="1580" spans="1:9" x14ac:dyDescent="0.25">
      <c r="A1580" s="203" t="str">
        <f>IF(DATA!M1510="","",DATA!M1510)</f>
        <v/>
      </c>
      <c r="B1580" s="203" t="str">
        <f>IF(DATA!N1510="","",DATA!N1510)</f>
        <v/>
      </c>
      <c r="C1580" s="203" t="str">
        <f>IF(DATA!O1510="","",DATA!O1510)</f>
        <v/>
      </c>
      <c r="D1580" s="203" t="str">
        <f>IF(DATA!P1510="","",DATA!P1510)</f>
        <v/>
      </c>
      <c r="E1580" s="13"/>
      <c r="F1580" s="5" t="str">
        <f t="shared" si="110"/>
        <v/>
      </c>
      <c r="G1580" s="1"/>
      <c r="H1580" s="77">
        <f>IF(G1580="",0,VLOOKUP(G1580,REFCE!A:D,2,FALSE))</f>
        <v>0</v>
      </c>
      <c r="I1580" s="77" t="str">
        <f t="shared" si="111"/>
        <v/>
      </c>
    </row>
    <row r="1581" spans="1:9" x14ac:dyDescent="0.25">
      <c r="A1581" s="203" t="str">
        <f>IF(DATA!M1511="","",DATA!M1511)</f>
        <v/>
      </c>
      <c r="B1581" s="203" t="str">
        <f>IF(DATA!N1511="","",DATA!N1511)</f>
        <v/>
      </c>
      <c r="C1581" s="203" t="str">
        <f>IF(DATA!O1511="","",DATA!O1511)</f>
        <v/>
      </c>
      <c r="D1581" s="203" t="str">
        <f>IF(DATA!P1511="","",DATA!P1511)</f>
        <v/>
      </c>
      <c r="E1581" s="13"/>
      <c r="F1581" s="5" t="str">
        <f t="shared" si="110"/>
        <v/>
      </c>
      <c r="G1581" s="1"/>
      <c r="H1581" s="77">
        <f>IF(G1581="",0,VLOOKUP(G1581,REFCE!A:D,2,FALSE))</f>
        <v>0</v>
      </c>
      <c r="I1581" s="77" t="str">
        <f t="shared" si="111"/>
        <v/>
      </c>
    </row>
    <row r="1582" spans="1:9" x14ac:dyDescent="0.25">
      <c r="A1582" s="203" t="str">
        <f>IF(DATA!M1512="","",DATA!M1512)</f>
        <v/>
      </c>
      <c r="B1582" s="203" t="str">
        <f>IF(DATA!N1512="","",DATA!N1512)</f>
        <v/>
      </c>
      <c r="C1582" s="203" t="str">
        <f>IF(DATA!O1512="","",DATA!O1512)</f>
        <v/>
      </c>
      <c r="D1582" s="203" t="str">
        <f>IF(DATA!P1512="","",DATA!P1512)</f>
        <v/>
      </c>
      <c r="E1582" s="13"/>
      <c r="F1582" s="5" t="str">
        <f t="shared" si="110"/>
        <v/>
      </c>
      <c r="G1582" s="1"/>
      <c r="H1582" s="77">
        <f>IF(G1582="",0,VLOOKUP(G1582,REFCE!A:D,2,FALSE))</f>
        <v>0</v>
      </c>
      <c r="I1582" s="77" t="str">
        <f t="shared" si="111"/>
        <v/>
      </c>
    </row>
    <row r="1583" spans="1:9" x14ac:dyDescent="0.25">
      <c r="A1583" s="203" t="str">
        <f>IF(DATA!M1513="","",DATA!M1513)</f>
        <v/>
      </c>
      <c r="B1583" s="203" t="str">
        <f>IF(DATA!N1513="","",DATA!N1513)</f>
        <v/>
      </c>
      <c r="C1583" s="203" t="str">
        <f>IF(DATA!O1513="","",DATA!O1513)</f>
        <v/>
      </c>
      <c r="D1583" s="203" t="str">
        <f>IF(DATA!P1513="","",DATA!P1513)</f>
        <v/>
      </c>
      <c r="E1583" s="13"/>
      <c r="F1583" s="5" t="str">
        <f t="shared" si="110"/>
        <v/>
      </c>
      <c r="G1583" s="1"/>
      <c r="H1583" s="77">
        <f>IF(G1583="",0,VLOOKUP(G1583,REFCE!A:D,2,FALSE))</f>
        <v>0</v>
      </c>
      <c r="I1583" s="77" t="str">
        <f t="shared" si="111"/>
        <v/>
      </c>
    </row>
    <row r="1584" spans="1:9" x14ac:dyDescent="0.25">
      <c r="A1584" s="203" t="str">
        <f>IF(DATA!M1514="","",DATA!M1514)</f>
        <v/>
      </c>
      <c r="B1584" s="203" t="str">
        <f>IF(DATA!N1514="","",DATA!N1514)</f>
        <v/>
      </c>
      <c r="C1584" s="203" t="str">
        <f>IF(DATA!O1514="","",DATA!O1514)</f>
        <v/>
      </c>
      <c r="D1584" s="203" t="str">
        <f>IF(DATA!P1514="","",DATA!P1514)</f>
        <v/>
      </c>
      <c r="E1584" s="13"/>
      <c r="F1584" s="5" t="str">
        <f t="shared" si="110"/>
        <v/>
      </c>
      <c r="G1584" s="1"/>
      <c r="H1584" s="77">
        <f>IF(G1584="",0,VLOOKUP(G1584,REFCE!A:D,2,FALSE))</f>
        <v>0</v>
      </c>
      <c r="I1584" s="77" t="str">
        <f t="shared" si="111"/>
        <v/>
      </c>
    </row>
    <row r="1585" spans="1:9" x14ac:dyDescent="0.25">
      <c r="A1585" s="203" t="str">
        <f>IF(DATA!M1515="","",DATA!M1515)</f>
        <v/>
      </c>
      <c r="B1585" s="203" t="str">
        <f>IF(DATA!N1515="","",DATA!N1515)</f>
        <v/>
      </c>
      <c r="C1585" s="203" t="str">
        <f>IF(DATA!O1515="","",DATA!O1515)</f>
        <v/>
      </c>
      <c r="D1585" s="203" t="str">
        <f>IF(DATA!P1515="","",DATA!P1515)</f>
        <v/>
      </c>
      <c r="E1585" s="13"/>
      <c r="F1585" s="5" t="str">
        <f t="shared" si="110"/>
        <v/>
      </c>
      <c r="G1585" s="1"/>
      <c r="H1585" s="77">
        <f>IF(G1585="",0,VLOOKUP(G1585,REFCE!A:D,2,FALSE))</f>
        <v>0</v>
      </c>
      <c r="I1585" s="77" t="str">
        <f t="shared" si="111"/>
        <v/>
      </c>
    </row>
    <row r="1586" spans="1:9" x14ac:dyDescent="0.25">
      <c r="A1586" s="203" t="str">
        <f>IF(DATA!M1516="","",DATA!M1516)</f>
        <v/>
      </c>
      <c r="B1586" s="203" t="str">
        <f>IF(DATA!N1516="","",DATA!N1516)</f>
        <v/>
      </c>
      <c r="C1586" s="203" t="str">
        <f>IF(DATA!O1516="","",DATA!O1516)</f>
        <v/>
      </c>
      <c r="D1586" s="203" t="str">
        <f>IF(DATA!P1516="","",DATA!P1516)</f>
        <v/>
      </c>
      <c r="E1586" s="13"/>
      <c r="F1586" s="5" t="str">
        <f t="shared" si="110"/>
        <v/>
      </c>
      <c r="G1586" s="1"/>
      <c r="H1586" s="77">
        <f>IF(G1586="",0,VLOOKUP(G1586,REFCE!A:D,2,FALSE))</f>
        <v>0</v>
      </c>
      <c r="I1586" s="77" t="str">
        <f t="shared" si="111"/>
        <v/>
      </c>
    </row>
    <row r="1587" spans="1:9" x14ac:dyDescent="0.25">
      <c r="A1587" s="203" t="str">
        <f>IF(DATA!M1517="","",DATA!M1517)</f>
        <v/>
      </c>
      <c r="B1587" s="203" t="str">
        <f>IF(DATA!N1517="","",DATA!N1517)</f>
        <v/>
      </c>
      <c r="C1587" s="203" t="str">
        <f>IF(DATA!O1517="","",DATA!O1517)</f>
        <v/>
      </c>
      <c r="D1587" s="203" t="str">
        <f>IF(DATA!P1517="","",DATA!P1517)</f>
        <v/>
      </c>
      <c r="E1587" s="13"/>
      <c r="F1587" s="5" t="str">
        <f t="shared" si="110"/>
        <v/>
      </c>
      <c r="G1587" s="1"/>
      <c r="H1587" s="77">
        <f>IF(G1587="",0,VLOOKUP(G1587,REFCE!A:D,2,FALSE))</f>
        <v>0</v>
      </c>
      <c r="I1587" s="77" t="str">
        <f t="shared" si="111"/>
        <v/>
      </c>
    </row>
    <row r="1588" spans="1:9" x14ac:dyDescent="0.25">
      <c r="A1588" s="203" t="str">
        <f>IF(DATA!M1518="","",DATA!M1518)</f>
        <v/>
      </c>
      <c r="B1588" s="203" t="str">
        <f>IF(DATA!N1518="","",DATA!N1518)</f>
        <v/>
      </c>
      <c r="C1588" s="203" t="str">
        <f>IF(DATA!O1518="","",DATA!O1518)</f>
        <v/>
      </c>
      <c r="D1588" s="203" t="str">
        <f>IF(DATA!P1518="","",DATA!P1518)</f>
        <v/>
      </c>
      <c r="E1588" s="13"/>
      <c r="F1588" s="5" t="str">
        <f t="shared" si="110"/>
        <v/>
      </c>
      <c r="G1588" s="1"/>
      <c r="H1588" s="77">
        <f>IF(G1588="",0,VLOOKUP(G1588,REFCE!A:D,2,FALSE))</f>
        <v>0</v>
      </c>
      <c r="I1588" s="77" t="str">
        <f t="shared" si="111"/>
        <v/>
      </c>
    </row>
    <row r="1589" spans="1:9" x14ac:dyDescent="0.25">
      <c r="A1589" s="203" t="str">
        <f>IF(DATA!M1519="","",DATA!M1519)</f>
        <v/>
      </c>
      <c r="B1589" s="203" t="str">
        <f>IF(DATA!N1519="","",DATA!N1519)</f>
        <v/>
      </c>
      <c r="C1589" s="203" t="str">
        <f>IF(DATA!O1519="","",DATA!O1519)</f>
        <v/>
      </c>
      <c r="D1589" s="203" t="str">
        <f>IF(DATA!P1519="","",DATA!P1519)</f>
        <v/>
      </c>
      <c r="E1589" s="13"/>
      <c r="F1589" s="5" t="str">
        <f t="shared" si="110"/>
        <v/>
      </c>
      <c r="G1589" s="1"/>
      <c r="H1589" s="77">
        <f>IF(G1589="",0,VLOOKUP(G1589,REFCE!A:D,2,FALSE))</f>
        <v>0</v>
      </c>
      <c r="I1589" s="77" t="str">
        <f t="shared" si="111"/>
        <v/>
      </c>
    </row>
    <row r="1590" spans="1:9" x14ac:dyDescent="0.25">
      <c r="A1590" s="203" t="str">
        <f>IF(DATA!M1520="","",DATA!M1520)</f>
        <v/>
      </c>
      <c r="B1590" s="203" t="str">
        <f>IF(DATA!N1520="","",DATA!N1520)</f>
        <v/>
      </c>
      <c r="C1590" s="203" t="str">
        <f>IF(DATA!O1520="","",DATA!O1520)</f>
        <v/>
      </c>
      <c r="D1590" s="203" t="str">
        <f>IF(DATA!P1520="","",DATA!P1520)</f>
        <v/>
      </c>
      <c r="E1590" s="13"/>
      <c r="F1590" s="5" t="str">
        <f t="shared" si="110"/>
        <v/>
      </c>
      <c r="G1590" s="1"/>
      <c r="H1590" s="77">
        <f>IF(G1590="",0,VLOOKUP(G1590,REFCE!A:D,2,FALSE))</f>
        <v>0</v>
      </c>
      <c r="I1590" s="77" t="str">
        <f t="shared" si="111"/>
        <v/>
      </c>
    </row>
    <row r="1591" spans="1:9" x14ac:dyDescent="0.25">
      <c r="A1591" s="203" t="str">
        <f>IF(DATA!M1521="","",DATA!M1521)</f>
        <v/>
      </c>
      <c r="B1591" s="203" t="str">
        <f>IF(DATA!N1521="","",DATA!N1521)</f>
        <v/>
      </c>
      <c r="C1591" s="203" t="str">
        <f>IF(DATA!O1521="","",DATA!O1521)</f>
        <v/>
      </c>
      <c r="D1591" s="203" t="str">
        <f>IF(DATA!P1521="","",DATA!P1521)</f>
        <v/>
      </c>
      <c r="E1591" s="13"/>
      <c r="F1591" s="5" t="str">
        <f t="shared" si="110"/>
        <v/>
      </c>
      <c r="G1591" s="1"/>
      <c r="H1591" s="77">
        <f>IF(G1591="",0,VLOOKUP(G1591,REFCE!A:D,2,FALSE))</f>
        <v>0</v>
      </c>
      <c r="I1591" s="77" t="str">
        <f t="shared" si="111"/>
        <v/>
      </c>
    </row>
    <row r="1592" spans="1:9" x14ac:dyDescent="0.25">
      <c r="A1592" s="203" t="str">
        <f>IF(DATA!M1522="","",DATA!M1522)</f>
        <v/>
      </c>
      <c r="B1592" s="203" t="str">
        <f>IF(DATA!N1522="","",DATA!N1522)</f>
        <v/>
      </c>
      <c r="C1592" s="203" t="str">
        <f>IF(DATA!O1522="","",DATA!O1522)</f>
        <v/>
      </c>
      <c r="D1592" s="203" t="str">
        <f>IF(DATA!P1522="","",DATA!P1522)</f>
        <v/>
      </c>
      <c r="E1592" s="13"/>
      <c r="F1592" s="5" t="str">
        <f t="shared" si="110"/>
        <v/>
      </c>
      <c r="G1592" s="1"/>
      <c r="H1592" s="77">
        <f>IF(G1592="",0,VLOOKUP(G1592,REFCE!A:D,2,FALSE))</f>
        <v>0</v>
      </c>
      <c r="I1592" s="77" t="str">
        <f t="shared" si="111"/>
        <v/>
      </c>
    </row>
    <row r="1593" spans="1:9" x14ac:dyDescent="0.25">
      <c r="A1593" s="203" t="str">
        <f>IF(DATA!M1523="","",DATA!M1523)</f>
        <v/>
      </c>
      <c r="B1593" s="203" t="str">
        <f>IF(DATA!N1523="","",DATA!N1523)</f>
        <v/>
      </c>
      <c r="C1593" s="203" t="str">
        <f>IF(DATA!O1523="","",DATA!O1523)</f>
        <v/>
      </c>
      <c r="D1593" s="203" t="str">
        <f>IF(DATA!P1523="","",DATA!P1523)</f>
        <v/>
      </c>
      <c r="E1593" s="13"/>
      <c r="F1593" s="5" t="str">
        <f t="shared" si="110"/>
        <v/>
      </c>
      <c r="G1593" s="1"/>
      <c r="H1593" s="77">
        <f>IF(G1593="",0,VLOOKUP(G1593,REFCE!A:D,2,FALSE))</f>
        <v>0</v>
      </c>
      <c r="I1593" s="77" t="str">
        <f t="shared" si="111"/>
        <v/>
      </c>
    </row>
    <row r="1594" spans="1:9" x14ac:dyDescent="0.25">
      <c r="A1594" s="203" t="str">
        <f>IF(DATA!M1524="","",DATA!M1524)</f>
        <v/>
      </c>
      <c r="B1594" s="203" t="str">
        <f>IF(DATA!N1524="","",DATA!N1524)</f>
        <v/>
      </c>
      <c r="C1594" s="203" t="str">
        <f>IF(DATA!O1524="","",DATA!O1524)</f>
        <v/>
      </c>
      <c r="D1594" s="203" t="str">
        <f>IF(DATA!P1524="","",DATA!P1524)</f>
        <v/>
      </c>
      <c r="E1594" s="13"/>
      <c r="F1594" s="5" t="str">
        <f t="shared" si="110"/>
        <v/>
      </c>
      <c r="G1594" s="1"/>
      <c r="H1594" s="77">
        <f>IF(G1594="",0,VLOOKUP(G1594,REFCE!A:D,2,FALSE))</f>
        <v>0</v>
      </c>
      <c r="I1594" s="77" t="str">
        <f t="shared" si="111"/>
        <v/>
      </c>
    </row>
    <row r="1595" spans="1:9" x14ac:dyDescent="0.25">
      <c r="A1595" s="203" t="str">
        <f>IF(DATA!M1525="","",DATA!M1525)</f>
        <v/>
      </c>
      <c r="B1595" s="203" t="str">
        <f>IF(DATA!N1525="","",DATA!N1525)</f>
        <v/>
      </c>
      <c r="C1595" s="203" t="str">
        <f>IF(DATA!O1525="","",DATA!O1525)</f>
        <v/>
      </c>
      <c r="D1595" s="203" t="str">
        <f>IF(DATA!P1525="","",DATA!P1525)</f>
        <v/>
      </c>
      <c r="E1595" s="13"/>
      <c r="F1595" s="5" t="str">
        <f t="shared" si="110"/>
        <v/>
      </c>
      <c r="G1595" s="1"/>
      <c r="H1595" s="77">
        <f>IF(G1595="",0,VLOOKUP(G1595,REFCE!A:D,2,FALSE))</f>
        <v>0</v>
      </c>
      <c r="I1595" s="77" t="str">
        <f t="shared" si="111"/>
        <v/>
      </c>
    </row>
    <row r="1596" spans="1:9" x14ac:dyDescent="0.25">
      <c r="A1596" s="203" t="str">
        <f>IF(DATA!M1526="","",DATA!M1526)</f>
        <v/>
      </c>
      <c r="B1596" s="203" t="str">
        <f>IF(DATA!N1526="","",DATA!N1526)</f>
        <v/>
      </c>
      <c r="C1596" s="203" t="str">
        <f>IF(DATA!O1526="","",DATA!O1526)</f>
        <v/>
      </c>
      <c r="D1596" s="203" t="str">
        <f>IF(DATA!P1526="","",DATA!P1526)</f>
        <v/>
      </c>
      <c r="E1596" s="13"/>
      <c r="F1596" s="5" t="str">
        <f t="shared" si="110"/>
        <v/>
      </c>
      <c r="G1596" s="1"/>
      <c r="H1596" s="77">
        <f>IF(G1596="",0,VLOOKUP(G1596,REFCE!A:D,2,FALSE))</f>
        <v>0</v>
      </c>
      <c r="I1596" s="77" t="str">
        <f t="shared" si="111"/>
        <v/>
      </c>
    </row>
    <row r="1597" spans="1:9" x14ac:dyDescent="0.25">
      <c r="A1597" s="203" t="str">
        <f>IF(DATA!M1527="","",DATA!M1527)</f>
        <v/>
      </c>
      <c r="B1597" s="203" t="str">
        <f>IF(DATA!N1527="","",DATA!N1527)</f>
        <v/>
      </c>
      <c r="C1597" s="203" t="str">
        <f>IF(DATA!O1527="","",DATA!O1527)</f>
        <v/>
      </c>
      <c r="D1597" s="203" t="str">
        <f>IF(DATA!P1527="","",DATA!P1527)</f>
        <v/>
      </c>
      <c r="E1597" s="13"/>
      <c r="F1597" s="5" t="str">
        <f t="shared" si="110"/>
        <v/>
      </c>
      <c r="G1597" s="1"/>
      <c r="H1597" s="77">
        <f>IF(G1597="",0,VLOOKUP(G1597,REFCE!A:D,2,FALSE))</f>
        <v>0</v>
      </c>
      <c r="I1597" s="77" t="str">
        <f t="shared" si="111"/>
        <v/>
      </c>
    </row>
    <row r="1598" spans="1:9" x14ac:dyDescent="0.25">
      <c r="A1598" s="203" t="str">
        <f>IF(DATA!M1528="","",DATA!M1528)</f>
        <v/>
      </c>
      <c r="B1598" s="203" t="str">
        <f>IF(DATA!N1528="","",DATA!N1528)</f>
        <v/>
      </c>
      <c r="C1598" s="203" t="str">
        <f>IF(DATA!O1528="","",DATA!O1528)</f>
        <v/>
      </c>
      <c r="D1598" s="203" t="str">
        <f>IF(DATA!P1528="","",DATA!P1528)</f>
        <v/>
      </c>
      <c r="E1598" s="13"/>
      <c r="F1598" s="5" t="str">
        <f t="shared" si="110"/>
        <v/>
      </c>
      <c r="G1598" s="1"/>
      <c r="H1598" s="77">
        <f>IF(G1598="",0,VLOOKUP(G1598,REFCE!A:D,2,FALSE))</f>
        <v>0</v>
      </c>
      <c r="I1598" s="77" t="str">
        <f t="shared" si="111"/>
        <v/>
      </c>
    </row>
    <row r="1599" spans="1:9" x14ac:dyDescent="0.25">
      <c r="A1599" s="203" t="str">
        <f>IF(DATA!M1529="","",DATA!M1529)</f>
        <v/>
      </c>
      <c r="B1599" s="203" t="str">
        <f>IF(DATA!N1529="","",DATA!N1529)</f>
        <v/>
      </c>
      <c r="C1599" s="203" t="str">
        <f>IF(DATA!O1529="","",DATA!O1529)</f>
        <v/>
      </c>
      <c r="D1599" s="203" t="str">
        <f>IF(DATA!P1529="","",DATA!P1529)</f>
        <v/>
      </c>
      <c r="E1599" s="13"/>
      <c r="F1599" s="5" t="str">
        <f t="shared" si="110"/>
        <v/>
      </c>
      <c r="G1599" s="1"/>
      <c r="H1599" s="77">
        <f>IF(G1599="",0,VLOOKUP(G1599,REFCE!A:D,2,FALSE))</f>
        <v>0</v>
      </c>
      <c r="I1599" s="77" t="str">
        <f t="shared" si="111"/>
        <v/>
      </c>
    </row>
    <row r="1600" spans="1:9" x14ac:dyDescent="0.25">
      <c r="A1600" s="203" t="str">
        <f>IF(DATA!M1530="","",DATA!M1530)</f>
        <v/>
      </c>
      <c r="B1600" s="203" t="str">
        <f>IF(DATA!N1530="","",DATA!N1530)</f>
        <v/>
      </c>
      <c r="C1600" s="203" t="str">
        <f>IF(DATA!O1530="","",DATA!O1530)</f>
        <v/>
      </c>
      <c r="D1600" s="203" t="str">
        <f>IF(DATA!P1530="","",DATA!P1530)</f>
        <v/>
      </c>
      <c r="E1600" s="13"/>
      <c r="F1600" s="5" t="str">
        <f t="shared" si="110"/>
        <v/>
      </c>
      <c r="G1600" s="1"/>
      <c r="H1600" s="77">
        <f>IF(G1600="",0,VLOOKUP(G1600,REFCE!A:D,2,FALSE))</f>
        <v>0</v>
      </c>
      <c r="I1600" s="77" t="str">
        <f t="shared" si="111"/>
        <v/>
      </c>
    </row>
    <row r="1601" spans="1:9" x14ac:dyDescent="0.25">
      <c r="A1601" s="203" t="str">
        <f>IF(DATA!M1531="","",DATA!M1531)</f>
        <v/>
      </c>
      <c r="B1601" s="203" t="str">
        <f>IF(DATA!N1531="","",DATA!N1531)</f>
        <v/>
      </c>
      <c r="C1601" s="203" t="str">
        <f>IF(DATA!O1531="","",DATA!O1531)</f>
        <v/>
      </c>
      <c r="D1601" s="203" t="str">
        <f>IF(DATA!P1531="","",DATA!P1531)</f>
        <v/>
      </c>
      <c r="E1601" s="13"/>
      <c r="F1601" s="5" t="str">
        <f t="shared" si="110"/>
        <v/>
      </c>
      <c r="G1601" s="1"/>
      <c r="H1601" s="77">
        <f>IF(G1601="",0,VLOOKUP(G1601,REFCE!A:D,2,FALSE))</f>
        <v>0</v>
      </c>
      <c r="I1601" s="77" t="str">
        <f t="shared" si="111"/>
        <v/>
      </c>
    </row>
    <row r="1602" spans="1:9" x14ac:dyDescent="0.25">
      <c r="A1602" s="203" t="str">
        <f>IF(DATA!M1532="","",DATA!M1532)</f>
        <v/>
      </c>
      <c r="B1602" s="203" t="str">
        <f>IF(DATA!N1532="","",DATA!N1532)</f>
        <v/>
      </c>
      <c r="C1602" s="203" t="str">
        <f>IF(DATA!O1532="","",DATA!O1532)</f>
        <v/>
      </c>
      <c r="D1602" s="203" t="str">
        <f>IF(DATA!P1532="","",DATA!P1532)</f>
        <v/>
      </c>
      <c r="E1602" s="13"/>
      <c r="F1602" s="5" t="str">
        <f t="shared" si="110"/>
        <v/>
      </c>
      <c r="G1602" s="1"/>
      <c r="H1602" s="77">
        <f>IF(G1602="",0,VLOOKUP(G1602,REFCE!A:D,2,FALSE))</f>
        <v>0</v>
      </c>
      <c r="I1602" s="77" t="str">
        <f t="shared" si="111"/>
        <v/>
      </c>
    </row>
    <row r="1603" spans="1:9" x14ac:dyDescent="0.25">
      <c r="A1603" s="203" t="str">
        <f>IF(DATA!M1533="","",DATA!M1533)</f>
        <v/>
      </c>
      <c r="B1603" s="203" t="str">
        <f>IF(DATA!N1533="","",DATA!N1533)</f>
        <v/>
      </c>
      <c r="C1603" s="203" t="str">
        <f>IF(DATA!O1533="","",DATA!O1533)</f>
        <v/>
      </c>
      <c r="D1603" s="203" t="str">
        <f>IF(DATA!P1533="","",DATA!P1533)</f>
        <v/>
      </c>
      <c r="E1603" s="13"/>
      <c r="F1603" s="5" t="str">
        <f t="shared" si="110"/>
        <v/>
      </c>
      <c r="G1603" s="1"/>
      <c r="H1603" s="77">
        <f>IF(G1603="",0,VLOOKUP(G1603,REFCE!A:D,2,FALSE))</f>
        <v>0</v>
      </c>
      <c r="I1603" s="77" t="str">
        <f t="shared" si="111"/>
        <v/>
      </c>
    </row>
    <row r="1604" spans="1:9" x14ac:dyDescent="0.25">
      <c r="A1604" s="203" t="str">
        <f>IF(DATA!M1534="","",DATA!M1534)</f>
        <v/>
      </c>
      <c r="B1604" s="203" t="str">
        <f>IF(DATA!N1534="","",DATA!N1534)</f>
        <v/>
      </c>
      <c r="C1604" s="203" t="str">
        <f>IF(DATA!O1534="","",DATA!O1534)</f>
        <v/>
      </c>
      <c r="D1604" s="203" t="str">
        <f>IF(DATA!P1534="","",DATA!P1534)</f>
        <v/>
      </c>
      <c r="E1604" s="13"/>
      <c r="F1604" s="5" t="str">
        <f t="shared" si="110"/>
        <v/>
      </c>
      <c r="G1604" s="1"/>
      <c r="H1604" s="77">
        <f>IF(G1604="",0,VLOOKUP(G1604,REFCE!A:D,2,FALSE))</f>
        <v>0</v>
      </c>
      <c r="I1604" s="77" t="str">
        <f t="shared" si="111"/>
        <v/>
      </c>
    </row>
    <row r="1605" spans="1:9" x14ac:dyDescent="0.25">
      <c r="A1605" s="203" t="str">
        <f>IF(DATA!M1535="","",DATA!M1535)</f>
        <v/>
      </c>
      <c r="B1605" s="203" t="str">
        <f>IF(DATA!N1535="","",DATA!N1535)</f>
        <v/>
      </c>
      <c r="C1605" s="203" t="str">
        <f>IF(DATA!O1535="","",DATA!O1535)</f>
        <v/>
      </c>
      <c r="D1605" s="203" t="str">
        <f>IF(DATA!P1535="","",DATA!P1535)</f>
        <v/>
      </c>
      <c r="E1605" s="13"/>
      <c r="F1605" s="5" t="str">
        <f t="shared" si="110"/>
        <v/>
      </c>
      <c r="G1605" s="1"/>
      <c r="H1605" s="77">
        <f>IF(G1605="",0,VLOOKUP(G1605,REFCE!A:D,2,FALSE))</f>
        <v>0</v>
      </c>
      <c r="I1605" s="77" t="str">
        <f t="shared" si="111"/>
        <v/>
      </c>
    </row>
    <row r="1606" spans="1:9" x14ac:dyDescent="0.25">
      <c r="A1606" s="203" t="str">
        <f>IF(DATA!M1536="","",DATA!M1536)</f>
        <v/>
      </c>
      <c r="B1606" s="203" t="str">
        <f>IF(DATA!N1536="","",DATA!N1536)</f>
        <v/>
      </c>
      <c r="C1606" s="203" t="str">
        <f>IF(DATA!O1536="","",DATA!O1536)</f>
        <v/>
      </c>
      <c r="D1606" s="203" t="str">
        <f>IF(DATA!P1536="","",DATA!P1536)</f>
        <v/>
      </c>
      <c r="E1606" s="13"/>
      <c r="F1606" s="5" t="str">
        <f t="shared" si="110"/>
        <v/>
      </c>
      <c r="G1606" s="1"/>
      <c r="H1606" s="77">
        <f>IF(G1606="",0,VLOOKUP(G1606,REFCE!A:D,2,FALSE))</f>
        <v>0</v>
      </c>
      <c r="I1606" s="77" t="str">
        <f t="shared" si="111"/>
        <v/>
      </c>
    </row>
    <row r="1607" spans="1:9" x14ac:dyDescent="0.25">
      <c r="A1607" s="203" t="str">
        <f>IF(DATA!M1537="","",DATA!M1537)</f>
        <v/>
      </c>
      <c r="B1607" s="203" t="str">
        <f>IF(DATA!N1537="","",DATA!N1537)</f>
        <v/>
      </c>
      <c r="C1607" s="203" t="str">
        <f>IF(DATA!O1537="","",DATA!O1537)</f>
        <v/>
      </c>
      <c r="D1607" s="203" t="str">
        <f>IF(DATA!P1537="","",DATA!P1537)</f>
        <v/>
      </c>
      <c r="E1607" s="13"/>
      <c r="F1607" s="5" t="str">
        <f t="shared" si="110"/>
        <v/>
      </c>
      <c r="G1607" s="1"/>
      <c r="H1607" s="77">
        <f>IF(G1607="",0,VLOOKUP(G1607,REFCE!A:D,2,FALSE))</f>
        <v>0</v>
      </c>
      <c r="I1607" s="77" t="str">
        <f t="shared" si="111"/>
        <v/>
      </c>
    </row>
    <row r="1608" spans="1:9" x14ac:dyDescent="0.25">
      <c r="A1608" s="203" t="str">
        <f>IF(DATA!M1538="","",DATA!M1538)</f>
        <v/>
      </c>
      <c r="B1608" s="203" t="str">
        <f>IF(DATA!N1538="","",DATA!N1538)</f>
        <v/>
      </c>
      <c r="C1608" s="203" t="str">
        <f>IF(DATA!O1538="","",DATA!O1538)</f>
        <v/>
      </c>
      <c r="D1608" s="203" t="str">
        <f>IF(DATA!P1538="","",DATA!P1538)</f>
        <v/>
      </c>
      <c r="E1608" s="13"/>
      <c r="F1608" s="5" t="str">
        <f t="shared" si="110"/>
        <v/>
      </c>
      <c r="G1608" s="1"/>
      <c r="H1608" s="77">
        <f>IF(G1608="",0,VLOOKUP(G1608,REFCE!A:D,2,FALSE))</f>
        <v>0</v>
      </c>
      <c r="I1608" s="77" t="str">
        <f t="shared" si="111"/>
        <v/>
      </c>
    </row>
    <row r="1609" spans="1:9" x14ac:dyDescent="0.25">
      <c r="A1609" s="203" t="str">
        <f>IF(DATA!M1539="","",DATA!M1539)</f>
        <v/>
      </c>
      <c r="B1609" s="203" t="str">
        <f>IF(DATA!N1539="","",DATA!N1539)</f>
        <v/>
      </c>
      <c r="C1609" s="203" t="str">
        <f>IF(DATA!O1539="","",DATA!O1539)</f>
        <v/>
      </c>
      <c r="D1609" s="203" t="str">
        <f>IF(DATA!P1539="","",DATA!P1539)</f>
        <v/>
      </c>
      <c r="E1609" s="13"/>
      <c r="F1609" s="5" t="str">
        <f t="shared" si="110"/>
        <v/>
      </c>
      <c r="G1609" s="1"/>
      <c r="H1609" s="77">
        <f>IF(G1609="",0,VLOOKUP(G1609,REFCE!A:D,2,FALSE))</f>
        <v>0</v>
      </c>
      <c r="I1609" s="77" t="str">
        <f t="shared" si="111"/>
        <v/>
      </c>
    </row>
    <row r="1610" spans="1:9" x14ac:dyDescent="0.25">
      <c r="A1610" s="203" t="str">
        <f>IF(DATA!M1540="","",DATA!M1540)</f>
        <v/>
      </c>
      <c r="B1610" s="203" t="str">
        <f>IF(DATA!N1540="","",DATA!N1540)</f>
        <v/>
      </c>
      <c r="C1610" s="203" t="str">
        <f>IF(DATA!O1540="","",DATA!O1540)</f>
        <v/>
      </c>
      <c r="D1610" s="203" t="str">
        <f>IF(DATA!P1540="","",DATA!P1540)</f>
        <v/>
      </c>
      <c r="E1610" s="13"/>
      <c r="F1610" s="5" t="str">
        <f t="shared" si="110"/>
        <v/>
      </c>
      <c r="G1610" s="1"/>
      <c r="H1610" s="77">
        <f>IF(G1610="",0,VLOOKUP(G1610,REFCE!A:D,2,FALSE))</f>
        <v>0</v>
      </c>
      <c r="I1610" s="77" t="str">
        <f t="shared" si="111"/>
        <v/>
      </c>
    </row>
    <row r="1611" spans="1:9" x14ac:dyDescent="0.25">
      <c r="A1611" s="203" t="str">
        <f>IF(DATA!M1541="","",DATA!M1541)</f>
        <v/>
      </c>
      <c r="B1611" s="203" t="str">
        <f>IF(DATA!N1541="","",DATA!N1541)</f>
        <v/>
      </c>
      <c r="C1611" s="203" t="str">
        <f>IF(DATA!O1541="","",DATA!O1541)</f>
        <v/>
      </c>
      <c r="D1611" s="203" t="str">
        <f>IF(DATA!P1541="","",DATA!P1541)</f>
        <v/>
      </c>
      <c r="E1611" s="13"/>
      <c r="F1611" s="5" t="str">
        <f t="shared" si="110"/>
        <v/>
      </c>
      <c r="G1611" s="1"/>
      <c r="H1611" s="77">
        <f>IF(G1611="",0,VLOOKUP(G1611,REFCE!A:D,2,FALSE))</f>
        <v>0</v>
      </c>
      <c r="I1611" s="77" t="str">
        <f t="shared" si="111"/>
        <v/>
      </c>
    </row>
    <row r="1612" spans="1:9" x14ac:dyDescent="0.25">
      <c r="A1612" s="203" t="str">
        <f>IF(DATA!M1542="","",DATA!M1542)</f>
        <v/>
      </c>
      <c r="B1612" s="203" t="str">
        <f>IF(DATA!N1542="","",DATA!N1542)</f>
        <v/>
      </c>
      <c r="C1612" s="203" t="str">
        <f>IF(DATA!O1542="","",DATA!O1542)</f>
        <v/>
      </c>
      <c r="D1612" s="203" t="str">
        <f>IF(DATA!P1542="","",DATA!P1542)</f>
        <v/>
      </c>
      <c r="E1612" s="13"/>
      <c r="F1612" s="5" t="str">
        <f t="shared" si="110"/>
        <v/>
      </c>
      <c r="G1612" s="1"/>
      <c r="H1612" s="77">
        <f>IF(G1612="",0,VLOOKUP(G1612,REFCE!A:D,2,FALSE))</f>
        <v>0</v>
      </c>
      <c r="I1612" s="77" t="str">
        <f t="shared" si="111"/>
        <v/>
      </c>
    </row>
    <row r="1613" spans="1:9" x14ac:dyDescent="0.25">
      <c r="A1613" s="203" t="str">
        <f>IF(DATA!M1543="","",DATA!M1543)</f>
        <v/>
      </c>
      <c r="B1613" s="203" t="str">
        <f>IF(DATA!N1543="","",DATA!N1543)</f>
        <v/>
      </c>
      <c r="C1613" s="203" t="str">
        <f>IF(DATA!O1543="","",DATA!O1543)</f>
        <v/>
      </c>
      <c r="D1613" s="203" t="str">
        <f>IF(DATA!P1543="","",DATA!P1543)</f>
        <v/>
      </c>
      <c r="E1613" s="13"/>
      <c r="F1613" s="5" t="str">
        <f t="shared" si="110"/>
        <v/>
      </c>
      <c r="G1613" s="1"/>
      <c r="H1613" s="77">
        <f>IF(G1613="",0,VLOOKUP(G1613,REFCE!A:D,2,FALSE))</f>
        <v>0</v>
      </c>
      <c r="I1613" s="77" t="str">
        <f t="shared" si="111"/>
        <v/>
      </c>
    </row>
    <row r="1614" spans="1:9" x14ac:dyDescent="0.25">
      <c r="A1614" s="203" t="str">
        <f>IF(DATA!M1544="","",DATA!M1544)</f>
        <v/>
      </c>
      <c r="B1614" s="203" t="str">
        <f>IF(DATA!N1544="","",DATA!N1544)</f>
        <v/>
      </c>
      <c r="C1614" s="203" t="str">
        <f>IF(DATA!O1544="","",DATA!O1544)</f>
        <v/>
      </c>
      <c r="D1614" s="203" t="str">
        <f>IF(DATA!P1544="","",DATA!P1544)</f>
        <v/>
      </c>
      <c r="E1614" s="13"/>
      <c r="F1614" s="5" t="str">
        <f t="shared" ref="F1614:F1677" si="112">IF(D1614="","",D1614*E1614)</f>
        <v/>
      </c>
      <c r="G1614" s="1"/>
      <c r="H1614" s="77">
        <f>IF(G1614="",0,VLOOKUP(G1614,REFCE!A:D,2,FALSE))</f>
        <v>0</v>
      </c>
      <c r="I1614" s="77" t="str">
        <f t="shared" ref="I1614:I1677" si="113">IF(F1614="","",F1614*H1614)</f>
        <v/>
      </c>
    </row>
    <row r="1615" spans="1:9" x14ac:dyDescent="0.25">
      <c r="A1615" s="203" t="str">
        <f>IF(DATA!M1545="","",DATA!M1545)</f>
        <v/>
      </c>
      <c r="B1615" s="203" t="str">
        <f>IF(DATA!N1545="","",DATA!N1545)</f>
        <v/>
      </c>
      <c r="C1615" s="203" t="str">
        <f>IF(DATA!O1545="","",DATA!O1545)</f>
        <v/>
      </c>
      <c r="D1615" s="203" t="str">
        <f>IF(DATA!P1545="","",DATA!P1545)</f>
        <v/>
      </c>
      <c r="E1615" s="13"/>
      <c r="F1615" s="5" t="str">
        <f t="shared" si="112"/>
        <v/>
      </c>
      <c r="G1615" s="1"/>
      <c r="H1615" s="77">
        <f>IF(G1615="",0,VLOOKUP(G1615,REFCE!A:D,2,FALSE))</f>
        <v>0</v>
      </c>
      <c r="I1615" s="77" t="str">
        <f t="shared" si="113"/>
        <v/>
      </c>
    </row>
    <row r="1616" spans="1:9" x14ac:dyDescent="0.25">
      <c r="A1616" s="203" t="str">
        <f>IF(DATA!M1546="","",DATA!M1546)</f>
        <v/>
      </c>
      <c r="B1616" s="203" t="str">
        <f>IF(DATA!N1546="","",DATA!N1546)</f>
        <v/>
      </c>
      <c r="C1616" s="203" t="str">
        <f>IF(DATA!O1546="","",DATA!O1546)</f>
        <v/>
      </c>
      <c r="D1616" s="203" t="str">
        <f>IF(DATA!P1546="","",DATA!P1546)</f>
        <v/>
      </c>
      <c r="E1616" s="13"/>
      <c r="F1616" s="5" t="str">
        <f t="shared" si="112"/>
        <v/>
      </c>
      <c r="G1616" s="1"/>
      <c r="H1616" s="77">
        <f>IF(G1616="",0,VLOOKUP(G1616,REFCE!A:D,2,FALSE))</f>
        <v>0</v>
      </c>
      <c r="I1616" s="77" t="str">
        <f t="shared" si="113"/>
        <v/>
      </c>
    </row>
    <row r="1617" spans="1:9" x14ac:dyDescent="0.25">
      <c r="A1617" s="203" t="str">
        <f>IF(DATA!M1547="","",DATA!M1547)</f>
        <v/>
      </c>
      <c r="B1617" s="203" t="str">
        <f>IF(DATA!N1547="","",DATA!N1547)</f>
        <v/>
      </c>
      <c r="C1617" s="203" t="str">
        <f>IF(DATA!O1547="","",DATA!O1547)</f>
        <v/>
      </c>
      <c r="D1617" s="203" t="str">
        <f>IF(DATA!P1547="","",DATA!P1547)</f>
        <v/>
      </c>
      <c r="E1617" s="13"/>
      <c r="F1617" s="5" t="str">
        <f t="shared" si="112"/>
        <v/>
      </c>
      <c r="G1617" s="1"/>
      <c r="H1617" s="77">
        <f>IF(G1617="",0,VLOOKUP(G1617,REFCE!A:D,2,FALSE))</f>
        <v>0</v>
      </c>
      <c r="I1617" s="77" t="str">
        <f t="shared" si="113"/>
        <v/>
      </c>
    </row>
    <row r="1618" spans="1:9" x14ac:dyDescent="0.25">
      <c r="A1618" s="203" t="str">
        <f>IF(DATA!M1548="","",DATA!M1548)</f>
        <v/>
      </c>
      <c r="B1618" s="203" t="str">
        <f>IF(DATA!N1548="","",DATA!N1548)</f>
        <v/>
      </c>
      <c r="C1618" s="203" t="str">
        <f>IF(DATA!O1548="","",DATA!O1548)</f>
        <v/>
      </c>
      <c r="D1618" s="203" t="str">
        <f>IF(DATA!P1548="","",DATA!P1548)</f>
        <v/>
      </c>
      <c r="E1618" s="13"/>
      <c r="F1618" s="5" t="str">
        <f t="shared" si="112"/>
        <v/>
      </c>
      <c r="G1618" s="1"/>
      <c r="H1618" s="77">
        <f>IF(G1618="",0,VLOOKUP(G1618,REFCE!A:D,2,FALSE))</f>
        <v>0</v>
      </c>
      <c r="I1618" s="77" t="str">
        <f t="shared" si="113"/>
        <v/>
      </c>
    </row>
    <row r="1619" spans="1:9" x14ac:dyDescent="0.25">
      <c r="A1619" s="203" t="str">
        <f>IF(DATA!M1549="","",DATA!M1549)</f>
        <v/>
      </c>
      <c r="B1619" s="203" t="str">
        <f>IF(DATA!N1549="","",DATA!N1549)</f>
        <v/>
      </c>
      <c r="C1619" s="203" t="str">
        <f>IF(DATA!O1549="","",DATA!O1549)</f>
        <v/>
      </c>
      <c r="D1619" s="203" t="str">
        <f>IF(DATA!P1549="","",DATA!P1549)</f>
        <v/>
      </c>
      <c r="E1619" s="13"/>
      <c r="F1619" s="5" t="str">
        <f t="shared" si="112"/>
        <v/>
      </c>
      <c r="G1619" s="1"/>
      <c r="H1619" s="77">
        <f>IF(G1619="",0,VLOOKUP(G1619,REFCE!A:D,2,FALSE))</f>
        <v>0</v>
      </c>
      <c r="I1619" s="77" t="str">
        <f t="shared" si="113"/>
        <v/>
      </c>
    </row>
    <row r="1620" spans="1:9" x14ac:dyDescent="0.25">
      <c r="A1620" s="203" t="str">
        <f>IF(DATA!M1550="","",DATA!M1550)</f>
        <v/>
      </c>
      <c r="B1620" s="203" t="str">
        <f>IF(DATA!N1550="","",DATA!N1550)</f>
        <v/>
      </c>
      <c r="C1620" s="203" t="str">
        <f>IF(DATA!O1550="","",DATA!O1550)</f>
        <v/>
      </c>
      <c r="D1620" s="203" t="str">
        <f>IF(DATA!P1550="","",DATA!P1550)</f>
        <v/>
      </c>
      <c r="E1620" s="13"/>
      <c r="F1620" s="5" t="str">
        <f t="shared" si="112"/>
        <v/>
      </c>
      <c r="G1620" s="1"/>
      <c r="H1620" s="77">
        <f>IF(G1620="",0,VLOOKUP(G1620,REFCE!A:D,2,FALSE))</f>
        <v>0</v>
      </c>
      <c r="I1620" s="77" t="str">
        <f t="shared" si="113"/>
        <v/>
      </c>
    </row>
    <row r="1621" spans="1:9" x14ac:dyDescent="0.25">
      <c r="A1621" s="203" t="str">
        <f>IF(DATA!M1551="","",DATA!M1551)</f>
        <v/>
      </c>
      <c r="B1621" s="203" t="str">
        <f>IF(DATA!N1551="","",DATA!N1551)</f>
        <v/>
      </c>
      <c r="C1621" s="203" t="str">
        <f>IF(DATA!O1551="","",DATA!O1551)</f>
        <v/>
      </c>
      <c r="D1621" s="203" t="str">
        <f>IF(DATA!P1551="","",DATA!P1551)</f>
        <v/>
      </c>
      <c r="E1621" s="13"/>
      <c r="F1621" s="5" t="str">
        <f t="shared" si="112"/>
        <v/>
      </c>
      <c r="G1621" s="1"/>
      <c r="H1621" s="77">
        <f>IF(G1621="",0,VLOOKUP(G1621,REFCE!A:D,2,FALSE))</f>
        <v>0</v>
      </c>
      <c r="I1621" s="77" t="str">
        <f t="shared" si="113"/>
        <v/>
      </c>
    </row>
    <row r="1622" spans="1:9" x14ac:dyDescent="0.25">
      <c r="A1622" s="203" t="str">
        <f>IF(DATA!M1552="","",DATA!M1552)</f>
        <v/>
      </c>
      <c r="B1622" s="203" t="str">
        <f>IF(DATA!N1552="","",DATA!N1552)</f>
        <v/>
      </c>
      <c r="C1622" s="203" t="str">
        <f>IF(DATA!O1552="","",DATA!O1552)</f>
        <v/>
      </c>
      <c r="D1622" s="203" t="str">
        <f>IF(DATA!P1552="","",DATA!P1552)</f>
        <v/>
      </c>
      <c r="E1622" s="13"/>
      <c r="F1622" s="5" t="str">
        <f t="shared" si="112"/>
        <v/>
      </c>
      <c r="G1622" s="1"/>
      <c r="H1622" s="77">
        <f>IF(G1622="",0,VLOOKUP(G1622,REFCE!A:D,2,FALSE))</f>
        <v>0</v>
      </c>
      <c r="I1622" s="77" t="str">
        <f t="shared" si="113"/>
        <v/>
      </c>
    </row>
    <row r="1623" spans="1:9" x14ac:dyDescent="0.25">
      <c r="A1623" s="203" t="str">
        <f>IF(DATA!M1553="","",DATA!M1553)</f>
        <v/>
      </c>
      <c r="B1623" s="203" t="str">
        <f>IF(DATA!N1553="","",DATA!N1553)</f>
        <v/>
      </c>
      <c r="C1623" s="203" t="str">
        <f>IF(DATA!O1553="","",DATA!O1553)</f>
        <v/>
      </c>
      <c r="D1623" s="203" t="str">
        <f>IF(DATA!P1553="","",DATA!P1553)</f>
        <v/>
      </c>
      <c r="E1623" s="13"/>
      <c r="F1623" s="5" t="str">
        <f t="shared" si="112"/>
        <v/>
      </c>
      <c r="G1623" s="1"/>
      <c r="H1623" s="77">
        <f>IF(G1623="",0,VLOOKUP(G1623,REFCE!A:D,2,FALSE))</f>
        <v>0</v>
      </c>
      <c r="I1623" s="77" t="str">
        <f t="shared" si="113"/>
        <v/>
      </c>
    </row>
    <row r="1624" spans="1:9" x14ac:dyDescent="0.25">
      <c r="A1624" s="203" t="str">
        <f>IF(DATA!M1554="","",DATA!M1554)</f>
        <v/>
      </c>
      <c r="B1624" s="203" t="str">
        <f>IF(DATA!N1554="","",DATA!N1554)</f>
        <v/>
      </c>
      <c r="C1624" s="203" t="str">
        <f>IF(DATA!O1554="","",DATA!O1554)</f>
        <v/>
      </c>
      <c r="D1624" s="203" t="str">
        <f>IF(DATA!P1554="","",DATA!P1554)</f>
        <v/>
      </c>
      <c r="E1624" s="13"/>
      <c r="F1624" s="5" t="str">
        <f t="shared" si="112"/>
        <v/>
      </c>
      <c r="G1624" s="1"/>
      <c r="H1624" s="77">
        <f>IF(G1624="",0,VLOOKUP(G1624,REFCE!A:D,2,FALSE))</f>
        <v>0</v>
      </c>
      <c r="I1624" s="77" t="str">
        <f t="shared" si="113"/>
        <v/>
      </c>
    </row>
    <row r="1625" spans="1:9" x14ac:dyDescent="0.25">
      <c r="A1625" s="203" t="str">
        <f>IF(DATA!M1555="","",DATA!M1555)</f>
        <v/>
      </c>
      <c r="B1625" s="203" t="str">
        <f>IF(DATA!N1555="","",DATA!N1555)</f>
        <v/>
      </c>
      <c r="C1625" s="203" t="str">
        <f>IF(DATA!O1555="","",DATA!O1555)</f>
        <v/>
      </c>
      <c r="D1625" s="203" t="str">
        <f>IF(DATA!P1555="","",DATA!P1555)</f>
        <v/>
      </c>
      <c r="E1625" s="13"/>
      <c r="F1625" s="5" t="str">
        <f t="shared" si="112"/>
        <v/>
      </c>
      <c r="G1625" s="1"/>
      <c r="H1625" s="77">
        <f>IF(G1625="",0,VLOOKUP(G1625,REFCE!A:D,2,FALSE))</f>
        <v>0</v>
      </c>
      <c r="I1625" s="77" t="str">
        <f t="shared" si="113"/>
        <v/>
      </c>
    </row>
    <row r="1626" spans="1:9" x14ac:dyDescent="0.25">
      <c r="A1626" s="203" t="str">
        <f>IF(DATA!M1556="","",DATA!M1556)</f>
        <v/>
      </c>
      <c r="B1626" s="203" t="str">
        <f>IF(DATA!N1556="","",DATA!N1556)</f>
        <v/>
      </c>
      <c r="C1626" s="203" t="str">
        <f>IF(DATA!O1556="","",DATA!O1556)</f>
        <v/>
      </c>
      <c r="D1626" s="203" t="str">
        <f>IF(DATA!P1556="","",DATA!P1556)</f>
        <v/>
      </c>
      <c r="E1626" s="13"/>
      <c r="F1626" s="5" t="str">
        <f t="shared" si="112"/>
        <v/>
      </c>
      <c r="G1626" s="1"/>
      <c r="H1626" s="77">
        <f>IF(G1626="",0,VLOOKUP(G1626,REFCE!A:D,2,FALSE))</f>
        <v>0</v>
      </c>
      <c r="I1626" s="77" t="str">
        <f t="shared" si="113"/>
        <v/>
      </c>
    </row>
    <row r="1627" spans="1:9" x14ac:dyDescent="0.25">
      <c r="A1627" s="203" t="str">
        <f>IF(DATA!M1557="","",DATA!M1557)</f>
        <v/>
      </c>
      <c r="B1627" s="203" t="str">
        <f>IF(DATA!N1557="","",DATA!N1557)</f>
        <v/>
      </c>
      <c r="C1627" s="203" t="str">
        <f>IF(DATA!O1557="","",DATA!O1557)</f>
        <v/>
      </c>
      <c r="D1627" s="203" t="str">
        <f>IF(DATA!P1557="","",DATA!P1557)</f>
        <v/>
      </c>
      <c r="E1627" s="13"/>
      <c r="F1627" s="5" t="str">
        <f t="shared" si="112"/>
        <v/>
      </c>
      <c r="G1627" s="1"/>
      <c r="H1627" s="77">
        <f>IF(G1627="",0,VLOOKUP(G1627,REFCE!A:D,2,FALSE))</f>
        <v>0</v>
      </c>
      <c r="I1627" s="77" t="str">
        <f t="shared" si="113"/>
        <v/>
      </c>
    </row>
    <row r="1628" spans="1:9" x14ac:dyDescent="0.25">
      <c r="A1628" s="203" t="str">
        <f>IF(DATA!M1558="","",DATA!M1558)</f>
        <v/>
      </c>
      <c r="B1628" s="203" t="str">
        <f>IF(DATA!N1558="","",DATA!N1558)</f>
        <v/>
      </c>
      <c r="C1628" s="203" t="str">
        <f>IF(DATA!O1558="","",DATA!O1558)</f>
        <v/>
      </c>
      <c r="D1628" s="203" t="str">
        <f>IF(DATA!P1558="","",DATA!P1558)</f>
        <v/>
      </c>
      <c r="E1628" s="13"/>
      <c r="F1628" s="5" t="str">
        <f t="shared" si="112"/>
        <v/>
      </c>
      <c r="G1628" s="1"/>
      <c r="H1628" s="77">
        <f>IF(G1628="",0,VLOOKUP(G1628,REFCE!A:D,2,FALSE))</f>
        <v>0</v>
      </c>
      <c r="I1628" s="77" t="str">
        <f t="shared" si="113"/>
        <v/>
      </c>
    </row>
    <row r="1629" spans="1:9" x14ac:dyDescent="0.25">
      <c r="A1629" s="203" t="str">
        <f>IF(DATA!M1559="","",DATA!M1559)</f>
        <v/>
      </c>
      <c r="B1629" s="203" t="str">
        <f>IF(DATA!N1559="","",DATA!N1559)</f>
        <v/>
      </c>
      <c r="C1629" s="203" t="str">
        <f>IF(DATA!O1559="","",DATA!O1559)</f>
        <v/>
      </c>
      <c r="D1629" s="203" t="str">
        <f>IF(DATA!P1559="","",DATA!P1559)</f>
        <v/>
      </c>
      <c r="E1629" s="13"/>
      <c r="F1629" s="5" t="str">
        <f t="shared" si="112"/>
        <v/>
      </c>
      <c r="G1629" s="1"/>
      <c r="H1629" s="77">
        <f>IF(G1629="",0,VLOOKUP(G1629,REFCE!A:D,2,FALSE))</f>
        <v>0</v>
      </c>
      <c r="I1629" s="77" t="str">
        <f t="shared" si="113"/>
        <v/>
      </c>
    </row>
    <row r="1630" spans="1:9" x14ac:dyDescent="0.25">
      <c r="A1630" s="203" t="str">
        <f>IF(DATA!M1560="","",DATA!M1560)</f>
        <v/>
      </c>
      <c r="B1630" s="203" t="str">
        <f>IF(DATA!N1560="","",DATA!N1560)</f>
        <v/>
      </c>
      <c r="C1630" s="203" t="str">
        <f>IF(DATA!O1560="","",DATA!O1560)</f>
        <v/>
      </c>
      <c r="D1630" s="203" t="str">
        <f>IF(DATA!P1560="","",DATA!P1560)</f>
        <v/>
      </c>
      <c r="E1630" s="13"/>
      <c r="F1630" s="5" t="str">
        <f t="shared" si="112"/>
        <v/>
      </c>
      <c r="G1630" s="1"/>
      <c r="H1630" s="77">
        <f>IF(G1630="",0,VLOOKUP(G1630,REFCE!A:D,2,FALSE))</f>
        <v>0</v>
      </c>
      <c r="I1630" s="77" t="str">
        <f t="shared" si="113"/>
        <v/>
      </c>
    </row>
    <row r="1631" spans="1:9" x14ac:dyDescent="0.25">
      <c r="A1631" s="203" t="str">
        <f>IF(DATA!M1561="","",DATA!M1561)</f>
        <v/>
      </c>
      <c r="B1631" s="203" t="str">
        <f>IF(DATA!N1561="","",DATA!N1561)</f>
        <v/>
      </c>
      <c r="C1631" s="203" t="str">
        <f>IF(DATA!O1561="","",DATA!O1561)</f>
        <v/>
      </c>
      <c r="D1631" s="203" t="str">
        <f>IF(DATA!P1561="","",DATA!P1561)</f>
        <v/>
      </c>
      <c r="E1631" s="13"/>
      <c r="F1631" s="5" t="str">
        <f t="shared" si="112"/>
        <v/>
      </c>
      <c r="G1631" s="1"/>
      <c r="H1631" s="77">
        <f>IF(G1631="",0,VLOOKUP(G1631,REFCE!A:D,2,FALSE))</f>
        <v>0</v>
      </c>
      <c r="I1631" s="77" t="str">
        <f t="shared" si="113"/>
        <v/>
      </c>
    </row>
    <row r="1632" spans="1:9" x14ac:dyDescent="0.25">
      <c r="A1632" s="203" t="str">
        <f>IF(DATA!M1562="","",DATA!M1562)</f>
        <v/>
      </c>
      <c r="B1632" s="203" t="str">
        <f>IF(DATA!N1562="","",DATA!N1562)</f>
        <v/>
      </c>
      <c r="C1632" s="203" t="str">
        <f>IF(DATA!O1562="","",DATA!O1562)</f>
        <v/>
      </c>
      <c r="D1632" s="203" t="str">
        <f>IF(DATA!P1562="","",DATA!P1562)</f>
        <v/>
      </c>
      <c r="E1632" s="13"/>
      <c r="F1632" s="5" t="str">
        <f t="shared" si="112"/>
        <v/>
      </c>
      <c r="G1632" s="1"/>
      <c r="H1632" s="77">
        <f>IF(G1632="",0,VLOOKUP(G1632,REFCE!A:D,2,FALSE))</f>
        <v>0</v>
      </c>
      <c r="I1632" s="77" t="str">
        <f t="shared" si="113"/>
        <v/>
      </c>
    </row>
    <row r="1633" spans="1:9" x14ac:dyDescent="0.25">
      <c r="A1633" s="203" t="str">
        <f>IF(DATA!M1563="","",DATA!M1563)</f>
        <v/>
      </c>
      <c r="B1633" s="203" t="str">
        <f>IF(DATA!N1563="","",DATA!N1563)</f>
        <v/>
      </c>
      <c r="C1633" s="203" t="str">
        <f>IF(DATA!O1563="","",DATA!O1563)</f>
        <v/>
      </c>
      <c r="D1633" s="203" t="str">
        <f>IF(DATA!P1563="","",DATA!P1563)</f>
        <v/>
      </c>
      <c r="E1633" s="13"/>
      <c r="F1633" s="5" t="str">
        <f t="shared" si="112"/>
        <v/>
      </c>
      <c r="G1633" s="1"/>
      <c r="H1633" s="77">
        <f>IF(G1633="",0,VLOOKUP(G1633,REFCE!A:D,2,FALSE))</f>
        <v>0</v>
      </c>
      <c r="I1633" s="77" t="str">
        <f t="shared" si="113"/>
        <v/>
      </c>
    </row>
    <row r="1634" spans="1:9" x14ac:dyDescent="0.25">
      <c r="A1634" s="203" t="str">
        <f>IF(DATA!M1564="","",DATA!M1564)</f>
        <v/>
      </c>
      <c r="B1634" s="203" t="str">
        <f>IF(DATA!N1564="","",DATA!N1564)</f>
        <v/>
      </c>
      <c r="C1634" s="203" t="str">
        <f>IF(DATA!O1564="","",DATA!O1564)</f>
        <v/>
      </c>
      <c r="D1634" s="203" t="str">
        <f>IF(DATA!P1564="","",DATA!P1564)</f>
        <v/>
      </c>
      <c r="E1634" s="13"/>
      <c r="F1634" s="5" t="str">
        <f t="shared" si="112"/>
        <v/>
      </c>
      <c r="G1634" s="1"/>
      <c r="H1634" s="77">
        <f>IF(G1634="",0,VLOOKUP(G1634,REFCE!A:D,2,FALSE))</f>
        <v>0</v>
      </c>
      <c r="I1634" s="77" t="str">
        <f t="shared" si="113"/>
        <v/>
      </c>
    </row>
    <row r="1635" spans="1:9" x14ac:dyDescent="0.25">
      <c r="A1635" s="203" t="str">
        <f>IF(DATA!M1565="","",DATA!M1565)</f>
        <v/>
      </c>
      <c r="B1635" s="203" t="str">
        <f>IF(DATA!N1565="","",DATA!N1565)</f>
        <v/>
      </c>
      <c r="C1635" s="203" t="str">
        <f>IF(DATA!O1565="","",DATA!O1565)</f>
        <v/>
      </c>
      <c r="D1635" s="203" t="str">
        <f>IF(DATA!P1565="","",DATA!P1565)</f>
        <v/>
      </c>
      <c r="E1635" s="13"/>
      <c r="F1635" s="5" t="str">
        <f t="shared" si="112"/>
        <v/>
      </c>
      <c r="G1635" s="1"/>
      <c r="H1635" s="77">
        <f>IF(G1635="",0,VLOOKUP(G1635,REFCE!A:D,2,FALSE))</f>
        <v>0</v>
      </c>
      <c r="I1635" s="77" t="str">
        <f t="shared" si="113"/>
        <v/>
      </c>
    </row>
    <row r="1636" spans="1:9" x14ac:dyDescent="0.25">
      <c r="A1636" s="203" t="str">
        <f>IF(DATA!M1566="","",DATA!M1566)</f>
        <v/>
      </c>
      <c r="B1636" s="203" t="str">
        <f>IF(DATA!N1566="","",DATA!N1566)</f>
        <v/>
      </c>
      <c r="C1636" s="203" t="str">
        <f>IF(DATA!O1566="","",DATA!O1566)</f>
        <v/>
      </c>
      <c r="D1636" s="203" t="str">
        <f>IF(DATA!P1566="","",DATA!P1566)</f>
        <v/>
      </c>
      <c r="E1636" s="13"/>
      <c r="F1636" s="5" t="str">
        <f t="shared" si="112"/>
        <v/>
      </c>
      <c r="G1636" s="1"/>
      <c r="H1636" s="77">
        <f>IF(G1636="",0,VLOOKUP(G1636,REFCE!A:D,2,FALSE))</f>
        <v>0</v>
      </c>
      <c r="I1636" s="77" t="str">
        <f t="shared" si="113"/>
        <v/>
      </c>
    </row>
    <row r="1637" spans="1:9" x14ac:dyDescent="0.25">
      <c r="A1637" s="203" t="str">
        <f>IF(DATA!M1567="","",DATA!M1567)</f>
        <v/>
      </c>
      <c r="B1637" s="203" t="str">
        <f>IF(DATA!N1567="","",DATA!N1567)</f>
        <v/>
      </c>
      <c r="C1637" s="203" t="str">
        <f>IF(DATA!O1567="","",DATA!O1567)</f>
        <v/>
      </c>
      <c r="D1637" s="203" t="str">
        <f>IF(DATA!P1567="","",DATA!P1567)</f>
        <v/>
      </c>
      <c r="E1637" s="13"/>
      <c r="F1637" s="5" t="str">
        <f t="shared" si="112"/>
        <v/>
      </c>
      <c r="G1637" s="1"/>
      <c r="H1637" s="77">
        <f>IF(G1637="",0,VLOOKUP(G1637,REFCE!A:D,2,FALSE))</f>
        <v>0</v>
      </c>
      <c r="I1637" s="77" t="str">
        <f t="shared" si="113"/>
        <v/>
      </c>
    </row>
    <row r="1638" spans="1:9" x14ac:dyDescent="0.25">
      <c r="A1638" s="203" t="str">
        <f>IF(DATA!M1568="","",DATA!M1568)</f>
        <v/>
      </c>
      <c r="B1638" s="203" t="str">
        <f>IF(DATA!N1568="","",DATA!N1568)</f>
        <v/>
      </c>
      <c r="C1638" s="203" t="str">
        <f>IF(DATA!O1568="","",DATA!O1568)</f>
        <v/>
      </c>
      <c r="D1638" s="203" t="str">
        <f>IF(DATA!P1568="","",DATA!P1568)</f>
        <v/>
      </c>
      <c r="E1638" s="13"/>
      <c r="F1638" s="5" t="str">
        <f t="shared" si="112"/>
        <v/>
      </c>
      <c r="G1638" s="1"/>
      <c r="H1638" s="77">
        <f>IF(G1638="",0,VLOOKUP(G1638,REFCE!A:D,2,FALSE))</f>
        <v>0</v>
      </c>
      <c r="I1638" s="77" t="str">
        <f t="shared" si="113"/>
        <v/>
      </c>
    </row>
    <row r="1639" spans="1:9" x14ac:dyDescent="0.25">
      <c r="A1639" s="203" t="str">
        <f>IF(DATA!M1569="","",DATA!M1569)</f>
        <v/>
      </c>
      <c r="B1639" s="203" t="str">
        <f>IF(DATA!N1569="","",DATA!N1569)</f>
        <v/>
      </c>
      <c r="C1639" s="203" t="str">
        <f>IF(DATA!O1569="","",DATA!O1569)</f>
        <v/>
      </c>
      <c r="D1639" s="203" t="str">
        <f>IF(DATA!P1569="","",DATA!P1569)</f>
        <v/>
      </c>
      <c r="E1639" s="13"/>
      <c r="F1639" s="5" t="str">
        <f t="shared" si="112"/>
        <v/>
      </c>
      <c r="G1639" s="1"/>
      <c r="H1639" s="77">
        <f>IF(G1639="",0,VLOOKUP(G1639,REFCE!A:D,2,FALSE))</f>
        <v>0</v>
      </c>
      <c r="I1639" s="77" t="str">
        <f t="shared" si="113"/>
        <v/>
      </c>
    </row>
    <row r="1640" spans="1:9" x14ac:dyDescent="0.25">
      <c r="A1640" s="203" t="str">
        <f>IF(DATA!M1570="","",DATA!M1570)</f>
        <v/>
      </c>
      <c r="B1640" s="203" t="str">
        <f>IF(DATA!N1570="","",DATA!N1570)</f>
        <v/>
      </c>
      <c r="C1640" s="203" t="str">
        <f>IF(DATA!O1570="","",DATA!O1570)</f>
        <v/>
      </c>
      <c r="D1640" s="203" t="str">
        <f>IF(DATA!P1570="","",DATA!P1570)</f>
        <v/>
      </c>
      <c r="E1640" s="13"/>
      <c r="F1640" s="5" t="str">
        <f t="shared" si="112"/>
        <v/>
      </c>
      <c r="G1640" s="1"/>
      <c r="H1640" s="77">
        <f>IF(G1640="",0,VLOOKUP(G1640,REFCE!A:D,2,FALSE))</f>
        <v>0</v>
      </c>
      <c r="I1640" s="77" t="str">
        <f t="shared" si="113"/>
        <v/>
      </c>
    </row>
    <row r="1641" spans="1:9" x14ac:dyDescent="0.25">
      <c r="A1641" s="203" t="str">
        <f>IF(DATA!M1571="","",DATA!M1571)</f>
        <v/>
      </c>
      <c r="B1641" s="203" t="str">
        <f>IF(DATA!N1571="","",DATA!N1571)</f>
        <v/>
      </c>
      <c r="C1641" s="203" t="str">
        <f>IF(DATA!O1571="","",DATA!O1571)</f>
        <v/>
      </c>
      <c r="D1641" s="203" t="str">
        <f>IF(DATA!P1571="","",DATA!P1571)</f>
        <v/>
      </c>
      <c r="E1641" s="13"/>
      <c r="F1641" s="5" t="str">
        <f t="shared" si="112"/>
        <v/>
      </c>
      <c r="G1641" s="1"/>
      <c r="H1641" s="77">
        <f>IF(G1641="",0,VLOOKUP(G1641,REFCE!A:D,2,FALSE))</f>
        <v>0</v>
      </c>
      <c r="I1641" s="77" t="str">
        <f t="shared" si="113"/>
        <v/>
      </c>
    </row>
    <row r="1642" spans="1:9" x14ac:dyDescent="0.25">
      <c r="A1642" s="203" t="str">
        <f>IF(DATA!M1572="","",DATA!M1572)</f>
        <v/>
      </c>
      <c r="B1642" s="203" t="str">
        <f>IF(DATA!N1572="","",DATA!N1572)</f>
        <v/>
      </c>
      <c r="C1642" s="203" t="str">
        <f>IF(DATA!O1572="","",DATA!O1572)</f>
        <v/>
      </c>
      <c r="D1642" s="203" t="str">
        <f>IF(DATA!P1572="","",DATA!P1572)</f>
        <v/>
      </c>
      <c r="E1642" s="13"/>
      <c r="F1642" s="5" t="str">
        <f t="shared" si="112"/>
        <v/>
      </c>
      <c r="G1642" s="1"/>
      <c r="H1642" s="77">
        <f>IF(G1642="",0,VLOOKUP(G1642,REFCE!A:D,2,FALSE))</f>
        <v>0</v>
      </c>
      <c r="I1642" s="77" t="str">
        <f t="shared" si="113"/>
        <v/>
      </c>
    </row>
    <row r="1643" spans="1:9" x14ac:dyDescent="0.25">
      <c r="A1643" s="203" t="str">
        <f>IF(DATA!M1573="","",DATA!M1573)</f>
        <v/>
      </c>
      <c r="B1643" s="203" t="str">
        <f>IF(DATA!N1573="","",DATA!N1573)</f>
        <v/>
      </c>
      <c r="C1643" s="203" t="str">
        <f>IF(DATA!O1573="","",DATA!O1573)</f>
        <v/>
      </c>
      <c r="D1643" s="203" t="str">
        <f>IF(DATA!P1573="","",DATA!P1573)</f>
        <v/>
      </c>
      <c r="E1643" s="13"/>
      <c r="F1643" s="5" t="str">
        <f t="shared" si="112"/>
        <v/>
      </c>
      <c r="G1643" s="1"/>
      <c r="H1643" s="77">
        <f>IF(G1643="",0,VLOOKUP(G1643,REFCE!A:D,2,FALSE))</f>
        <v>0</v>
      </c>
      <c r="I1643" s="77" t="str">
        <f t="shared" si="113"/>
        <v/>
      </c>
    </row>
    <row r="1644" spans="1:9" x14ac:dyDescent="0.25">
      <c r="A1644" s="203" t="str">
        <f>IF(DATA!M1574="","",DATA!M1574)</f>
        <v/>
      </c>
      <c r="B1644" s="203" t="str">
        <f>IF(DATA!N1574="","",DATA!N1574)</f>
        <v/>
      </c>
      <c r="C1644" s="203" t="str">
        <f>IF(DATA!O1574="","",DATA!O1574)</f>
        <v/>
      </c>
      <c r="D1644" s="203" t="str">
        <f>IF(DATA!P1574="","",DATA!P1574)</f>
        <v/>
      </c>
      <c r="E1644" s="13"/>
      <c r="F1644" s="5" t="str">
        <f t="shared" si="112"/>
        <v/>
      </c>
      <c r="G1644" s="1"/>
      <c r="H1644" s="77">
        <f>IF(G1644="",0,VLOOKUP(G1644,REFCE!A:D,2,FALSE))</f>
        <v>0</v>
      </c>
      <c r="I1644" s="77" t="str">
        <f t="shared" si="113"/>
        <v/>
      </c>
    </row>
    <row r="1645" spans="1:9" x14ac:dyDescent="0.25">
      <c r="A1645" s="203" t="str">
        <f>IF(DATA!M1575="","",DATA!M1575)</f>
        <v/>
      </c>
      <c r="B1645" s="203" t="str">
        <f>IF(DATA!N1575="","",DATA!N1575)</f>
        <v/>
      </c>
      <c r="C1645" s="203" t="str">
        <f>IF(DATA!O1575="","",DATA!O1575)</f>
        <v/>
      </c>
      <c r="D1645" s="203" t="str">
        <f>IF(DATA!P1575="","",DATA!P1575)</f>
        <v/>
      </c>
      <c r="E1645" s="13"/>
      <c r="F1645" s="5" t="str">
        <f t="shared" si="112"/>
        <v/>
      </c>
      <c r="G1645" s="1"/>
      <c r="H1645" s="77">
        <f>IF(G1645="",0,VLOOKUP(G1645,REFCE!A:D,2,FALSE))</f>
        <v>0</v>
      </c>
      <c r="I1645" s="77" t="str">
        <f t="shared" si="113"/>
        <v/>
      </c>
    </row>
    <row r="1646" spans="1:9" x14ac:dyDescent="0.25">
      <c r="A1646" s="203" t="str">
        <f>IF(DATA!M1576="","",DATA!M1576)</f>
        <v/>
      </c>
      <c r="B1646" s="203" t="str">
        <f>IF(DATA!N1576="","",DATA!N1576)</f>
        <v/>
      </c>
      <c r="C1646" s="203" t="str">
        <f>IF(DATA!O1576="","",DATA!O1576)</f>
        <v/>
      </c>
      <c r="D1646" s="203" t="str">
        <f>IF(DATA!P1576="","",DATA!P1576)</f>
        <v/>
      </c>
      <c r="E1646" s="13"/>
      <c r="F1646" s="5" t="str">
        <f t="shared" si="112"/>
        <v/>
      </c>
      <c r="G1646" s="1"/>
      <c r="H1646" s="77">
        <f>IF(G1646="",0,VLOOKUP(G1646,REFCE!A:D,2,FALSE))</f>
        <v>0</v>
      </c>
      <c r="I1646" s="77" t="str">
        <f t="shared" si="113"/>
        <v/>
      </c>
    </row>
    <row r="1647" spans="1:9" x14ac:dyDescent="0.25">
      <c r="A1647" s="203" t="str">
        <f>IF(DATA!M1577="","",DATA!M1577)</f>
        <v/>
      </c>
      <c r="B1647" s="203" t="str">
        <f>IF(DATA!N1577="","",DATA!N1577)</f>
        <v/>
      </c>
      <c r="C1647" s="203" t="str">
        <f>IF(DATA!O1577="","",DATA!O1577)</f>
        <v/>
      </c>
      <c r="D1647" s="203" t="str">
        <f>IF(DATA!P1577="","",DATA!P1577)</f>
        <v/>
      </c>
      <c r="E1647" s="13"/>
      <c r="F1647" s="5" t="str">
        <f t="shared" si="112"/>
        <v/>
      </c>
      <c r="G1647" s="1"/>
      <c r="H1647" s="77">
        <f>IF(G1647="",0,VLOOKUP(G1647,REFCE!A:D,2,FALSE))</f>
        <v>0</v>
      </c>
      <c r="I1647" s="77" t="str">
        <f t="shared" si="113"/>
        <v/>
      </c>
    </row>
    <row r="1648" spans="1:9" x14ac:dyDescent="0.25">
      <c r="A1648" s="203" t="str">
        <f>IF(DATA!M1578="","",DATA!M1578)</f>
        <v/>
      </c>
      <c r="B1648" s="203" t="str">
        <f>IF(DATA!N1578="","",DATA!N1578)</f>
        <v/>
      </c>
      <c r="C1648" s="203" t="str">
        <f>IF(DATA!O1578="","",DATA!O1578)</f>
        <v/>
      </c>
      <c r="D1648" s="203" t="str">
        <f>IF(DATA!P1578="","",DATA!P1578)</f>
        <v/>
      </c>
      <c r="E1648" s="13"/>
      <c r="F1648" s="5" t="str">
        <f t="shared" si="112"/>
        <v/>
      </c>
      <c r="G1648" s="1"/>
      <c r="H1648" s="77">
        <f>IF(G1648="",0,VLOOKUP(G1648,REFCE!A:D,2,FALSE))</f>
        <v>0</v>
      </c>
      <c r="I1648" s="77" t="str">
        <f t="shared" si="113"/>
        <v/>
      </c>
    </row>
    <row r="1649" spans="1:9" x14ac:dyDescent="0.25">
      <c r="A1649" s="203" t="str">
        <f>IF(DATA!M1579="","",DATA!M1579)</f>
        <v/>
      </c>
      <c r="B1649" s="203" t="str">
        <f>IF(DATA!N1579="","",DATA!N1579)</f>
        <v/>
      </c>
      <c r="C1649" s="203" t="str">
        <f>IF(DATA!O1579="","",DATA!O1579)</f>
        <v/>
      </c>
      <c r="D1649" s="203" t="str">
        <f>IF(DATA!P1579="","",DATA!P1579)</f>
        <v/>
      </c>
      <c r="E1649" s="13"/>
      <c r="F1649" s="5" t="str">
        <f t="shared" si="112"/>
        <v/>
      </c>
      <c r="G1649" s="1"/>
      <c r="H1649" s="77">
        <f>IF(G1649="",0,VLOOKUP(G1649,REFCE!A:D,2,FALSE))</f>
        <v>0</v>
      </c>
      <c r="I1649" s="77" t="str">
        <f t="shared" si="113"/>
        <v/>
      </c>
    </row>
    <row r="1650" spans="1:9" x14ac:dyDescent="0.25">
      <c r="A1650" s="203" t="str">
        <f>IF(DATA!M1580="","",DATA!M1580)</f>
        <v/>
      </c>
      <c r="B1650" s="203" t="str">
        <f>IF(DATA!N1580="","",DATA!N1580)</f>
        <v/>
      </c>
      <c r="C1650" s="203" t="str">
        <f>IF(DATA!O1580="","",DATA!O1580)</f>
        <v/>
      </c>
      <c r="D1650" s="203" t="str">
        <f>IF(DATA!P1580="","",DATA!P1580)</f>
        <v/>
      </c>
      <c r="E1650" s="13"/>
      <c r="F1650" s="5" t="str">
        <f t="shared" si="112"/>
        <v/>
      </c>
      <c r="G1650" s="1"/>
      <c r="H1650" s="77">
        <f>IF(G1650="",0,VLOOKUP(G1650,REFCE!A:D,2,FALSE))</f>
        <v>0</v>
      </c>
      <c r="I1650" s="77" t="str">
        <f t="shared" si="113"/>
        <v/>
      </c>
    </row>
    <row r="1651" spans="1:9" x14ac:dyDescent="0.25">
      <c r="A1651" s="203" t="str">
        <f>IF(DATA!M1581="","",DATA!M1581)</f>
        <v/>
      </c>
      <c r="B1651" s="203" t="str">
        <f>IF(DATA!N1581="","",DATA!N1581)</f>
        <v/>
      </c>
      <c r="C1651" s="203" t="str">
        <f>IF(DATA!O1581="","",DATA!O1581)</f>
        <v/>
      </c>
      <c r="D1651" s="203" t="str">
        <f>IF(DATA!P1581="","",DATA!P1581)</f>
        <v/>
      </c>
      <c r="E1651" s="13"/>
      <c r="F1651" s="5" t="str">
        <f t="shared" si="112"/>
        <v/>
      </c>
      <c r="G1651" s="1"/>
      <c r="H1651" s="77">
        <f>IF(G1651="",0,VLOOKUP(G1651,REFCE!A:D,2,FALSE))</f>
        <v>0</v>
      </c>
      <c r="I1651" s="77" t="str">
        <f t="shared" si="113"/>
        <v/>
      </c>
    </row>
    <row r="1652" spans="1:9" x14ac:dyDescent="0.25">
      <c r="A1652" s="203" t="str">
        <f>IF(DATA!M1582="","",DATA!M1582)</f>
        <v/>
      </c>
      <c r="B1652" s="203" t="str">
        <f>IF(DATA!N1582="","",DATA!N1582)</f>
        <v/>
      </c>
      <c r="C1652" s="203" t="str">
        <f>IF(DATA!O1582="","",DATA!O1582)</f>
        <v/>
      </c>
      <c r="D1652" s="203" t="str">
        <f>IF(DATA!P1582="","",DATA!P1582)</f>
        <v/>
      </c>
      <c r="E1652" s="13"/>
      <c r="F1652" s="5" t="str">
        <f t="shared" si="112"/>
        <v/>
      </c>
      <c r="G1652" s="1"/>
      <c r="H1652" s="77">
        <f>IF(G1652="",0,VLOOKUP(G1652,REFCE!A:D,2,FALSE))</f>
        <v>0</v>
      </c>
      <c r="I1652" s="77" t="str">
        <f t="shared" si="113"/>
        <v/>
      </c>
    </row>
    <row r="1653" spans="1:9" x14ac:dyDescent="0.25">
      <c r="A1653" s="203" t="str">
        <f>IF(DATA!M1583="","",DATA!M1583)</f>
        <v/>
      </c>
      <c r="B1653" s="203" t="str">
        <f>IF(DATA!N1583="","",DATA!N1583)</f>
        <v/>
      </c>
      <c r="C1653" s="203" t="str">
        <f>IF(DATA!O1583="","",DATA!O1583)</f>
        <v/>
      </c>
      <c r="D1653" s="203" t="str">
        <f>IF(DATA!P1583="","",DATA!P1583)</f>
        <v/>
      </c>
      <c r="E1653" s="13"/>
      <c r="F1653" s="5" t="str">
        <f t="shared" si="112"/>
        <v/>
      </c>
      <c r="G1653" s="1"/>
      <c r="H1653" s="77">
        <f>IF(G1653="",0,VLOOKUP(G1653,REFCE!A:D,2,FALSE))</f>
        <v>0</v>
      </c>
      <c r="I1653" s="77" t="str">
        <f t="shared" si="113"/>
        <v/>
      </c>
    </row>
    <row r="1654" spans="1:9" x14ac:dyDescent="0.25">
      <c r="A1654" s="203" t="str">
        <f>IF(DATA!M1584="","",DATA!M1584)</f>
        <v/>
      </c>
      <c r="B1654" s="203" t="str">
        <f>IF(DATA!N1584="","",DATA!N1584)</f>
        <v/>
      </c>
      <c r="C1654" s="203" t="str">
        <f>IF(DATA!O1584="","",DATA!O1584)</f>
        <v/>
      </c>
      <c r="D1654" s="203" t="str">
        <f>IF(DATA!P1584="","",DATA!P1584)</f>
        <v/>
      </c>
      <c r="E1654" s="13"/>
      <c r="F1654" s="5" t="str">
        <f t="shared" si="112"/>
        <v/>
      </c>
      <c r="G1654" s="1"/>
      <c r="H1654" s="77">
        <f>IF(G1654="",0,VLOOKUP(G1654,REFCE!A:D,2,FALSE))</f>
        <v>0</v>
      </c>
      <c r="I1654" s="77" t="str">
        <f t="shared" si="113"/>
        <v/>
      </c>
    </row>
    <row r="1655" spans="1:9" x14ac:dyDescent="0.25">
      <c r="A1655" s="203" t="str">
        <f>IF(DATA!M1585="","",DATA!M1585)</f>
        <v/>
      </c>
      <c r="B1655" s="203" t="str">
        <f>IF(DATA!N1585="","",DATA!N1585)</f>
        <v/>
      </c>
      <c r="C1655" s="203" t="str">
        <f>IF(DATA!O1585="","",DATA!O1585)</f>
        <v/>
      </c>
      <c r="D1655" s="203" t="str">
        <f>IF(DATA!P1585="","",DATA!P1585)</f>
        <v/>
      </c>
      <c r="E1655" s="13"/>
      <c r="F1655" s="5" t="str">
        <f t="shared" si="112"/>
        <v/>
      </c>
      <c r="G1655" s="1"/>
      <c r="H1655" s="77">
        <f>IF(G1655="",0,VLOOKUP(G1655,REFCE!A:D,2,FALSE))</f>
        <v>0</v>
      </c>
      <c r="I1655" s="77" t="str">
        <f t="shared" si="113"/>
        <v/>
      </c>
    </row>
    <row r="1656" spans="1:9" x14ac:dyDescent="0.25">
      <c r="A1656" s="203" t="str">
        <f>IF(DATA!M1586="","",DATA!M1586)</f>
        <v/>
      </c>
      <c r="B1656" s="203" t="str">
        <f>IF(DATA!N1586="","",DATA!N1586)</f>
        <v/>
      </c>
      <c r="C1656" s="203" t="str">
        <f>IF(DATA!O1586="","",DATA!O1586)</f>
        <v/>
      </c>
      <c r="D1656" s="203" t="str">
        <f>IF(DATA!P1586="","",DATA!P1586)</f>
        <v/>
      </c>
      <c r="E1656" s="13"/>
      <c r="F1656" s="5" t="str">
        <f t="shared" si="112"/>
        <v/>
      </c>
      <c r="G1656" s="1"/>
      <c r="H1656" s="77">
        <f>IF(G1656="",0,VLOOKUP(G1656,REFCE!A:D,2,FALSE))</f>
        <v>0</v>
      </c>
      <c r="I1656" s="77" t="str">
        <f t="shared" si="113"/>
        <v/>
      </c>
    </row>
    <row r="1657" spans="1:9" x14ac:dyDescent="0.25">
      <c r="A1657" s="203" t="str">
        <f>IF(DATA!M1587="","",DATA!M1587)</f>
        <v/>
      </c>
      <c r="B1657" s="203" t="str">
        <f>IF(DATA!N1587="","",DATA!N1587)</f>
        <v/>
      </c>
      <c r="C1657" s="203" t="str">
        <f>IF(DATA!O1587="","",DATA!O1587)</f>
        <v/>
      </c>
      <c r="D1657" s="203" t="str">
        <f>IF(DATA!P1587="","",DATA!P1587)</f>
        <v/>
      </c>
      <c r="E1657" s="13"/>
      <c r="F1657" s="5" t="str">
        <f t="shared" si="112"/>
        <v/>
      </c>
      <c r="G1657" s="1"/>
      <c r="H1657" s="77">
        <f>IF(G1657="",0,VLOOKUP(G1657,REFCE!A:D,2,FALSE))</f>
        <v>0</v>
      </c>
      <c r="I1657" s="77" t="str">
        <f t="shared" si="113"/>
        <v/>
      </c>
    </row>
    <row r="1658" spans="1:9" x14ac:dyDescent="0.25">
      <c r="A1658" s="203" t="str">
        <f>IF(DATA!M1588="","",DATA!M1588)</f>
        <v/>
      </c>
      <c r="B1658" s="203" t="str">
        <f>IF(DATA!N1588="","",DATA!N1588)</f>
        <v/>
      </c>
      <c r="C1658" s="203" t="str">
        <f>IF(DATA!O1588="","",DATA!O1588)</f>
        <v/>
      </c>
      <c r="D1658" s="203" t="str">
        <f>IF(DATA!P1588="","",DATA!P1588)</f>
        <v/>
      </c>
      <c r="E1658" s="13"/>
      <c r="F1658" s="5" t="str">
        <f t="shared" si="112"/>
        <v/>
      </c>
      <c r="G1658" s="1"/>
      <c r="H1658" s="77">
        <f>IF(G1658="",0,VLOOKUP(G1658,REFCE!A:D,2,FALSE))</f>
        <v>0</v>
      </c>
      <c r="I1658" s="77" t="str">
        <f t="shared" si="113"/>
        <v/>
      </c>
    </row>
    <row r="1659" spans="1:9" x14ac:dyDescent="0.25">
      <c r="A1659" s="203" t="str">
        <f>IF(DATA!M1589="","",DATA!M1589)</f>
        <v/>
      </c>
      <c r="B1659" s="203" t="str">
        <f>IF(DATA!N1589="","",DATA!N1589)</f>
        <v/>
      </c>
      <c r="C1659" s="203" t="str">
        <f>IF(DATA!O1589="","",DATA!O1589)</f>
        <v/>
      </c>
      <c r="D1659" s="203" t="str">
        <f>IF(DATA!P1589="","",DATA!P1589)</f>
        <v/>
      </c>
      <c r="E1659" s="13"/>
      <c r="F1659" s="5" t="str">
        <f t="shared" si="112"/>
        <v/>
      </c>
      <c r="G1659" s="1"/>
      <c r="H1659" s="77">
        <f>IF(G1659="",0,VLOOKUP(G1659,REFCE!A:D,2,FALSE))</f>
        <v>0</v>
      </c>
      <c r="I1659" s="77" t="str">
        <f t="shared" si="113"/>
        <v/>
      </c>
    </row>
    <row r="1660" spans="1:9" x14ac:dyDescent="0.25">
      <c r="A1660" s="203" t="str">
        <f>IF(DATA!M1590="","",DATA!M1590)</f>
        <v/>
      </c>
      <c r="B1660" s="203" t="str">
        <f>IF(DATA!N1590="","",DATA!N1590)</f>
        <v/>
      </c>
      <c r="C1660" s="203" t="str">
        <f>IF(DATA!O1590="","",DATA!O1590)</f>
        <v/>
      </c>
      <c r="D1660" s="203" t="str">
        <f>IF(DATA!P1590="","",DATA!P1590)</f>
        <v/>
      </c>
      <c r="E1660" s="13"/>
      <c r="F1660" s="5" t="str">
        <f t="shared" si="112"/>
        <v/>
      </c>
      <c r="G1660" s="1"/>
      <c r="H1660" s="77">
        <f>IF(G1660="",0,VLOOKUP(G1660,REFCE!A:D,2,FALSE))</f>
        <v>0</v>
      </c>
      <c r="I1660" s="77" t="str">
        <f t="shared" si="113"/>
        <v/>
      </c>
    </row>
    <row r="1661" spans="1:9" x14ac:dyDescent="0.25">
      <c r="A1661" s="203" t="str">
        <f>IF(DATA!M1591="","",DATA!M1591)</f>
        <v/>
      </c>
      <c r="B1661" s="203" t="str">
        <f>IF(DATA!N1591="","",DATA!N1591)</f>
        <v/>
      </c>
      <c r="C1661" s="203" t="str">
        <f>IF(DATA!O1591="","",DATA!O1591)</f>
        <v/>
      </c>
      <c r="D1661" s="203" t="str">
        <f>IF(DATA!P1591="","",DATA!P1591)</f>
        <v/>
      </c>
      <c r="E1661" s="13"/>
      <c r="F1661" s="5" t="str">
        <f t="shared" si="112"/>
        <v/>
      </c>
      <c r="G1661" s="1"/>
      <c r="H1661" s="77">
        <f>IF(G1661="",0,VLOOKUP(G1661,REFCE!A:D,2,FALSE))</f>
        <v>0</v>
      </c>
      <c r="I1661" s="77" t="str">
        <f t="shared" si="113"/>
        <v/>
      </c>
    </row>
    <row r="1662" spans="1:9" x14ac:dyDescent="0.25">
      <c r="A1662" s="203" t="str">
        <f>IF(DATA!M1592="","",DATA!M1592)</f>
        <v/>
      </c>
      <c r="B1662" s="203" t="str">
        <f>IF(DATA!N1592="","",DATA!N1592)</f>
        <v/>
      </c>
      <c r="C1662" s="203" t="str">
        <f>IF(DATA!O1592="","",DATA!O1592)</f>
        <v/>
      </c>
      <c r="D1662" s="203" t="str">
        <f>IF(DATA!P1592="","",DATA!P1592)</f>
        <v/>
      </c>
      <c r="E1662" s="13"/>
      <c r="F1662" s="5" t="str">
        <f t="shared" si="112"/>
        <v/>
      </c>
      <c r="G1662" s="1"/>
      <c r="H1662" s="77">
        <f>IF(G1662="",0,VLOOKUP(G1662,REFCE!A:D,2,FALSE))</f>
        <v>0</v>
      </c>
      <c r="I1662" s="77" t="str">
        <f t="shared" si="113"/>
        <v/>
      </c>
    </row>
    <row r="1663" spans="1:9" x14ac:dyDescent="0.25">
      <c r="A1663" s="203" t="str">
        <f>IF(DATA!M1593="","",DATA!M1593)</f>
        <v/>
      </c>
      <c r="B1663" s="203" t="str">
        <f>IF(DATA!N1593="","",DATA!N1593)</f>
        <v/>
      </c>
      <c r="C1663" s="203" t="str">
        <f>IF(DATA!O1593="","",DATA!O1593)</f>
        <v/>
      </c>
      <c r="D1663" s="203" t="str">
        <f>IF(DATA!P1593="","",DATA!P1593)</f>
        <v/>
      </c>
      <c r="E1663" s="13"/>
      <c r="F1663" s="5" t="str">
        <f t="shared" si="112"/>
        <v/>
      </c>
      <c r="G1663" s="1"/>
      <c r="H1663" s="77">
        <f>IF(G1663="",0,VLOOKUP(G1663,REFCE!A:D,2,FALSE))</f>
        <v>0</v>
      </c>
      <c r="I1663" s="77" t="str">
        <f t="shared" si="113"/>
        <v/>
      </c>
    </row>
    <row r="1664" spans="1:9" x14ac:dyDescent="0.25">
      <c r="A1664" s="203" t="str">
        <f>IF(DATA!M1594="","",DATA!M1594)</f>
        <v/>
      </c>
      <c r="B1664" s="203" t="str">
        <f>IF(DATA!N1594="","",DATA!N1594)</f>
        <v/>
      </c>
      <c r="C1664" s="203" t="str">
        <f>IF(DATA!O1594="","",DATA!O1594)</f>
        <v/>
      </c>
      <c r="D1664" s="203" t="str">
        <f>IF(DATA!P1594="","",DATA!P1594)</f>
        <v/>
      </c>
      <c r="E1664" s="13"/>
      <c r="F1664" s="5" t="str">
        <f t="shared" si="112"/>
        <v/>
      </c>
      <c r="G1664" s="1"/>
      <c r="H1664" s="77">
        <f>IF(G1664="",0,VLOOKUP(G1664,REFCE!A:D,2,FALSE))</f>
        <v>0</v>
      </c>
      <c r="I1664" s="77" t="str">
        <f t="shared" si="113"/>
        <v/>
      </c>
    </row>
    <row r="1665" spans="1:9" x14ac:dyDescent="0.25">
      <c r="A1665" s="203" t="str">
        <f>IF(DATA!M1595="","",DATA!M1595)</f>
        <v/>
      </c>
      <c r="B1665" s="203" t="str">
        <f>IF(DATA!N1595="","",DATA!N1595)</f>
        <v/>
      </c>
      <c r="C1665" s="203" t="str">
        <f>IF(DATA!O1595="","",DATA!O1595)</f>
        <v/>
      </c>
      <c r="D1665" s="203" t="str">
        <f>IF(DATA!P1595="","",DATA!P1595)</f>
        <v/>
      </c>
      <c r="E1665" s="13"/>
      <c r="F1665" s="5" t="str">
        <f t="shared" si="112"/>
        <v/>
      </c>
      <c r="G1665" s="1"/>
      <c r="H1665" s="77">
        <f>IF(G1665="",0,VLOOKUP(G1665,REFCE!A:D,2,FALSE))</f>
        <v>0</v>
      </c>
      <c r="I1665" s="77" t="str">
        <f t="shared" si="113"/>
        <v/>
      </c>
    </row>
    <row r="1666" spans="1:9" x14ac:dyDescent="0.25">
      <c r="A1666" s="203" t="str">
        <f>IF(DATA!M1596="","",DATA!M1596)</f>
        <v/>
      </c>
      <c r="B1666" s="203" t="str">
        <f>IF(DATA!N1596="","",DATA!N1596)</f>
        <v/>
      </c>
      <c r="C1666" s="203" t="str">
        <f>IF(DATA!O1596="","",DATA!O1596)</f>
        <v/>
      </c>
      <c r="D1666" s="203" t="str">
        <f>IF(DATA!P1596="","",DATA!P1596)</f>
        <v/>
      </c>
      <c r="E1666" s="13"/>
      <c r="F1666" s="5" t="str">
        <f t="shared" si="112"/>
        <v/>
      </c>
      <c r="G1666" s="1"/>
      <c r="H1666" s="77">
        <f>IF(G1666="",0,VLOOKUP(G1666,REFCE!A:D,2,FALSE))</f>
        <v>0</v>
      </c>
      <c r="I1666" s="77" t="str">
        <f t="shared" si="113"/>
        <v/>
      </c>
    </row>
    <row r="1667" spans="1:9" x14ac:dyDescent="0.25">
      <c r="A1667" s="203" t="str">
        <f>IF(DATA!M1597="","",DATA!M1597)</f>
        <v/>
      </c>
      <c r="B1667" s="203" t="str">
        <f>IF(DATA!N1597="","",DATA!N1597)</f>
        <v/>
      </c>
      <c r="C1667" s="203" t="str">
        <f>IF(DATA!O1597="","",DATA!O1597)</f>
        <v/>
      </c>
      <c r="D1667" s="203" t="str">
        <f>IF(DATA!P1597="","",DATA!P1597)</f>
        <v/>
      </c>
      <c r="E1667" s="13"/>
      <c r="F1667" s="5" t="str">
        <f t="shared" si="112"/>
        <v/>
      </c>
      <c r="G1667" s="1"/>
      <c r="H1667" s="77">
        <f>IF(G1667="",0,VLOOKUP(G1667,REFCE!A:D,2,FALSE))</f>
        <v>0</v>
      </c>
      <c r="I1667" s="77" t="str">
        <f t="shared" si="113"/>
        <v/>
      </c>
    </row>
    <row r="1668" spans="1:9" x14ac:dyDescent="0.25">
      <c r="A1668" s="203" t="str">
        <f>IF(DATA!M1598="","",DATA!M1598)</f>
        <v/>
      </c>
      <c r="B1668" s="203" t="str">
        <f>IF(DATA!N1598="","",DATA!N1598)</f>
        <v/>
      </c>
      <c r="C1668" s="203" t="str">
        <f>IF(DATA!O1598="","",DATA!O1598)</f>
        <v/>
      </c>
      <c r="D1668" s="203" t="str">
        <f>IF(DATA!P1598="","",DATA!P1598)</f>
        <v/>
      </c>
      <c r="E1668" s="13"/>
      <c r="F1668" s="5" t="str">
        <f t="shared" si="112"/>
        <v/>
      </c>
      <c r="G1668" s="1"/>
      <c r="H1668" s="77">
        <f>IF(G1668="",0,VLOOKUP(G1668,REFCE!A:D,2,FALSE))</f>
        <v>0</v>
      </c>
      <c r="I1668" s="77" t="str">
        <f t="shared" si="113"/>
        <v/>
      </c>
    </row>
    <row r="1669" spans="1:9" x14ac:dyDescent="0.25">
      <c r="A1669" s="203" t="str">
        <f>IF(DATA!M1599="","",DATA!M1599)</f>
        <v/>
      </c>
      <c r="B1669" s="203" t="str">
        <f>IF(DATA!N1599="","",DATA!N1599)</f>
        <v/>
      </c>
      <c r="C1669" s="203" t="str">
        <f>IF(DATA!O1599="","",DATA!O1599)</f>
        <v/>
      </c>
      <c r="D1669" s="203" t="str">
        <f>IF(DATA!P1599="","",DATA!P1599)</f>
        <v/>
      </c>
      <c r="E1669" s="13"/>
      <c r="F1669" s="5" t="str">
        <f t="shared" si="112"/>
        <v/>
      </c>
      <c r="G1669" s="1"/>
      <c r="H1669" s="77">
        <f>IF(G1669="",0,VLOOKUP(G1669,REFCE!A:D,2,FALSE))</f>
        <v>0</v>
      </c>
      <c r="I1669" s="77" t="str">
        <f t="shared" si="113"/>
        <v/>
      </c>
    </row>
    <row r="1670" spans="1:9" x14ac:dyDescent="0.25">
      <c r="A1670" s="203" t="str">
        <f>IF(DATA!M1600="","",DATA!M1600)</f>
        <v/>
      </c>
      <c r="B1670" s="203" t="str">
        <f>IF(DATA!N1600="","",DATA!N1600)</f>
        <v/>
      </c>
      <c r="C1670" s="203" t="str">
        <f>IF(DATA!O1600="","",DATA!O1600)</f>
        <v/>
      </c>
      <c r="D1670" s="203" t="str">
        <f>IF(DATA!P1600="","",DATA!P1600)</f>
        <v/>
      </c>
      <c r="E1670" s="13"/>
      <c r="F1670" s="5" t="str">
        <f t="shared" si="112"/>
        <v/>
      </c>
      <c r="G1670" s="1"/>
      <c r="H1670" s="77">
        <f>IF(G1670="",0,VLOOKUP(G1670,REFCE!A:D,2,FALSE))</f>
        <v>0</v>
      </c>
      <c r="I1670" s="77" t="str">
        <f t="shared" si="113"/>
        <v/>
      </c>
    </row>
    <row r="1671" spans="1:9" x14ac:dyDescent="0.25">
      <c r="A1671" s="203" t="str">
        <f>IF(DATA!M1601="","",DATA!M1601)</f>
        <v/>
      </c>
      <c r="B1671" s="203" t="str">
        <f>IF(DATA!N1601="","",DATA!N1601)</f>
        <v/>
      </c>
      <c r="C1671" s="203" t="str">
        <f>IF(DATA!O1601="","",DATA!O1601)</f>
        <v/>
      </c>
      <c r="D1671" s="203" t="str">
        <f>IF(DATA!P1601="","",DATA!P1601)</f>
        <v/>
      </c>
      <c r="E1671" s="13"/>
      <c r="F1671" s="5" t="str">
        <f t="shared" si="112"/>
        <v/>
      </c>
      <c r="G1671" s="1"/>
      <c r="H1671" s="77">
        <f>IF(G1671="",0,VLOOKUP(G1671,REFCE!A:D,2,FALSE))</f>
        <v>0</v>
      </c>
      <c r="I1671" s="77" t="str">
        <f t="shared" si="113"/>
        <v/>
      </c>
    </row>
    <row r="1672" spans="1:9" x14ac:dyDescent="0.25">
      <c r="A1672" s="203" t="str">
        <f>IF(DATA!M1602="","",DATA!M1602)</f>
        <v/>
      </c>
      <c r="B1672" s="203" t="str">
        <f>IF(DATA!N1602="","",DATA!N1602)</f>
        <v/>
      </c>
      <c r="C1672" s="203" t="str">
        <f>IF(DATA!O1602="","",DATA!O1602)</f>
        <v/>
      </c>
      <c r="D1672" s="203" t="str">
        <f>IF(DATA!P1602="","",DATA!P1602)</f>
        <v/>
      </c>
      <c r="E1672" s="13"/>
      <c r="F1672" s="5" t="str">
        <f t="shared" si="112"/>
        <v/>
      </c>
      <c r="G1672" s="1"/>
      <c r="H1672" s="77">
        <f>IF(G1672="",0,VLOOKUP(G1672,REFCE!A:D,2,FALSE))</f>
        <v>0</v>
      </c>
      <c r="I1672" s="77" t="str">
        <f t="shared" si="113"/>
        <v/>
      </c>
    </row>
    <row r="1673" spans="1:9" x14ac:dyDescent="0.25">
      <c r="A1673" s="203" t="str">
        <f>IF(DATA!M1603="","",DATA!M1603)</f>
        <v/>
      </c>
      <c r="B1673" s="203" t="str">
        <f>IF(DATA!N1603="","",DATA!N1603)</f>
        <v/>
      </c>
      <c r="C1673" s="203" t="str">
        <f>IF(DATA!O1603="","",DATA!O1603)</f>
        <v/>
      </c>
      <c r="D1673" s="203" t="str">
        <f>IF(DATA!P1603="","",DATA!P1603)</f>
        <v/>
      </c>
      <c r="E1673" s="13"/>
      <c r="F1673" s="5" t="str">
        <f t="shared" si="112"/>
        <v/>
      </c>
      <c r="G1673" s="1"/>
      <c r="H1673" s="77">
        <f>IF(G1673="",0,VLOOKUP(G1673,REFCE!A:D,2,FALSE))</f>
        <v>0</v>
      </c>
      <c r="I1673" s="77" t="str">
        <f t="shared" si="113"/>
        <v/>
      </c>
    </row>
    <row r="1674" spans="1:9" x14ac:dyDescent="0.25">
      <c r="A1674" s="203" t="str">
        <f>IF(DATA!M1604="","",DATA!M1604)</f>
        <v/>
      </c>
      <c r="B1674" s="203" t="str">
        <f>IF(DATA!N1604="","",DATA!N1604)</f>
        <v/>
      </c>
      <c r="C1674" s="203" t="str">
        <f>IF(DATA!O1604="","",DATA!O1604)</f>
        <v/>
      </c>
      <c r="D1674" s="203" t="str">
        <f>IF(DATA!P1604="","",DATA!P1604)</f>
        <v/>
      </c>
      <c r="E1674" s="13"/>
      <c r="F1674" s="5" t="str">
        <f t="shared" si="112"/>
        <v/>
      </c>
      <c r="G1674" s="1"/>
      <c r="H1674" s="77">
        <f>IF(G1674="",0,VLOOKUP(G1674,REFCE!A:D,2,FALSE))</f>
        <v>0</v>
      </c>
      <c r="I1674" s="77" t="str">
        <f t="shared" si="113"/>
        <v/>
      </c>
    </row>
    <row r="1675" spans="1:9" x14ac:dyDescent="0.25">
      <c r="A1675" s="203" t="str">
        <f>IF(DATA!M1605="","",DATA!M1605)</f>
        <v/>
      </c>
      <c r="B1675" s="203" t="str">
        <f>IF(DATA!N1605="","",DATA!N1605)</f>
        <v/>
      </c>
      <c r="C1675" s="203" t="str">
        <f>IF(DATA!O1605="","",DATA!O1605)</f>
        <v/>
      </c>
      <c r="D1675" s="203" t="str">
        <f>IF(DATA!P1605="","",DATA!P1605)</f>
        <v/>
      </c>
      <c r="E1675" s="13"/>
      <c r="F1675" s="5" t="str">
        <f t="shared" si="112"/>
        <v/>
      </c>
      <c r="G1675" s="1"/>
      <c r="H1675" s="77">
        <f>IF(G1675="",0,VLOOKUP(G1675,REFCE!A:D,2,FALSE))</f>
        <v>0</v>
      </c>
      <c r="I1675" s="77" t="str">
        <f t="shared" si="113"/>
        <v/>
      </c>
    </row>
    <row r="1676" spans="1:9" x14ac:dyDescent="0.25">
      <c r="A1676" s="203" t="str">
        <f>IF(DATA!M1606="","",DATA!M1606)</f>
        <v/>
      </c>
      <c r="B1676" s="203" t="str">
        <f>IF(DATA!N1606="","",DATA!N1606)</f>
        <v/>
      </c>
      <c r="C1676" s="203" t="str">
        <f>IF(DATA!O1606="","",DATA!O1606)</f>
        <v/>
      </c>
      <c r="D1676" s="203" t="str">
        <f>IF(DATA!P1606="","",DATA!P1606)</f>
        <v/>
      </c>
      <c r="E1676" s="13"/>
      <c r="F1676" s="5" t="str">
        <f t="shared" si="112"/>
        <v/>
      </c>
      <c r="G1676" s="1"/>
      <c r="H1676" s="77">
        <f>IF(G1676="",0,VLOOKUP(G1676,REFCE!A:D,2,FALSE))</f>
        <v>0</v>
      </c>
      <c r="I1676" s="77" t="str">
        <f t="shared" si="113"/>
        <v/>
      </c>
    </row>
    <row r="1677" spans="1:9" x14ac:dyDescent="0.25">
      <c r="A1677" s="203" t="str">
        <f>IF(DATA!M1607="","",DATA!M1607)</f>
        <v/>
      </c>
      <c r="B1677" s="203" t="str">
        <f>IF(DATA!N1607="","",DATA!N1607)</f>
        <v/>
      </c>
      <c r="C1677" s="203" t="str">
        <f>IF(DATA!O1607="","",DATA!O1607)</f>
        <v/>
      </c>
      <c r="D1677" s="203" t="str">
        <f>IF(DATA!P1607="","",DATA!P1607)</f>
        <v/>
      </c>
      <c r="E1677" s="13"/>
      <c r="F1677" s="5" t="str">
        <f t="shared" si="112"/>
        <v/>
      </c>
      <c r="G1677" s="1"/>
      <c r="H1677" s="77">
        <f>IF(G1677="",0,VLOOKUP(G1677,REFCE!A:D,2,FALSE))</f>
        <v>0</v>
      </c>
      <c r="I1677" s="77" t="str">
        <f t="shared" si="113"/>
        <v/>
      </c>
    </row>
    <row r="1678" spans="1:9" x14ac:dyDescent="0.25">
      <c r="A1678" s="203" t="str">
        <f>IF(DATA!M1608="","",DATA!M1608)</f>
        <v/>
      </c>
      <c r="B1678" s="203" t="str">
        <f>IF(DATA!N1608="","",DATA!N1608)</f>
        <v/>
      </c>
      <c r="C1678" s="203" t="str">
        <f>IF(DATA!O1608="","",DATA!O1608)</f>
        <v/>
      </c>
      <c r="D1678" s="203" t="str">
        <f>IF(DATA!P1608="","",DATA!P1608)</f>
        <v/>
      </c>
      <c r="E1678" s="13"/>
      <c r="F1678" s="5" t="str">
        <f t="shared" ref="F1678:F1741" si="114">IF(D1678="","",D1678*E1678)</f>
        <v/>
      </c>
      <c r="G1678" s="1"/>
      <c r="H1678" s="77">
        <f>IF(G1678="",0,VLOOKUP(G1678,REFCE!A:D,2,FALSE))</f>
        <v>0</v>
      </c>
      <c r="I1678" s="77" t="str">
        <f t="shared" ref="I1678:I1741" si="115">IF(F1678="","",F1678*H1678)</f>
        <v/>
      </c>
    </row>
    <row r="1679" spans="1:9" x14ac:dyDescent="0.25">
      <c r="A1679" s="203" t="str">
        <f>IF(DATA!M1609="","",DATA!M1609)</f>
        <v/>
      </c>
      <c r="B1679" s="203" t="str">
        <f>IF(DATA!N1609="","",DATA!N1609)</f>
        <v/>
      </c>
      <c r="C1679" s="203" t="str">
        <f>IF(DATA!O1609="","",DATA!O1609)</f>
        <v/>
      </c>
      <c r="D1679" s="203" t="str">
        <f>IF(DATA!P1609="","",DATA!P1609)</f>
        <v/>
      </c>
      <c r="E1679" s="13"/>
      <c r="F1679" s="5" t="str">
        <f t="shared" si="114"/>
        <v/>
      </c>
      <c r="G1679" s="1"/>
      <c r="H1679" s="77">
        <f>IF(G1679="",0,VLOOKUP(G1679,REFCE!A:D,2,FALSE))</f>
        <v>0</v>
      </c>
      <c r="I1679" s="77" t="str">
        <f t="shared" si="115"/>
        <v/>
      </c>
    </row>
    <row r="1680" spans="1:9" x14ac:dyDescent="0.25">
      <c r="A1680" s="203" t="str">
        <f>IF(DATA!M1610="","",DATA!M1610)</f>
        <v/>
      </c>
      <c r="B1680" s="203" t="str">
        <f>IF(DATA!N1610="","",DATA!N1610)</f>
        <v/>
      </c>
      <c r="C1680" s="203" t="str">
        <f>IF(DATA!O1610="","",DATA!O1610)</f>
        <v/>
      </c>
      <c r="D1680" s="203" t="str">
        <f>IF(DATA!P1610="","",DATA!P1610)</f>
        <v/>
      </c>
      <c r="E1680" s="13"/>
      <c r="F1680" s="5" t="str">
        <f t="shared" si="114"/>
        <v/>
      </c>
      <c r="G1680" s="1"/>
      <c r="H1680" s="77">
        <f>IF(G1680="",0,VLOOKUP(G1680,REFCE!A:D,2,FALSE))</f>
        <v>0</v>
      </c>
      <c r="I1680" s="77" t="str">
        <f t="shared" si="115"/>
        <v/>
      </c>
    </row>
    <row r="1681" spans="1:9" x14ac:dyDescent="0.25">
      <c r="A1681" s="203" t="str">
        <f>IF(DATA!M1611="","",DATA!M1611)</f>
        <v/>
      </c>
      <c r="B1681" s="203" t="str">
        <f>IF(DATA!N1611="","",DATA!N1611)</f>
        <v/>
      </c>
      <c r="C1681" s="203" t="str">
        <f>IF(DATA!O1611="","",DATA!O1611)</f>
        <v/>
      </c>
      <c r="D1681" s="203" t="str">
        <f>IF(DATA!P1611="","",DATA!P1611)</f>
        <v/>
      </c>
      <c r="E1681" s="13"/>
      <c r="F1681" s="5" t="str">
        <f t="shared" si="114"/>
        <v/>
      </c>
      <c r="G1681" s="1"/>
      <c r="H1681" s="77">
        <f>IF(G1681="",0,VLOOKUP(G1681,REFCE!A:D,2,FALSE))</f>
        <v>0</v>
      </c>
      <c r="I1681" s="77" t="str">
        <f t="shared" si="115"/>
        <v/>
      </c>
    </row>
    <row r="1682" spans="1:9" x14ac:dyDescent="0.25">
      <c r="A1682" s="203" t="str">
        <f>IF(DATA!M1612="","",DATA!M1612)</f>
        <v/>
      </c>
      <c r="B1682" s="203" t="str">
        <f>IF(DATA!N1612="","",DATA!N1612)</f>
        <v/>
      </c>
      <c r="C1682" s="203" t="str">
        <f>IF(DATA!O1612="","",DATA!O1612)</f>
        <v/>
      </c>
      <c r="D1682" s="203" t="str">
        <f>IF(DATA!P1612="","",DATA!P1612)</f>
        <v/>
      </c>
      <c r="E1682" s="13"/>
      <c r="F1682" s="5" t="str">
        <f t="shared" si="114"/>
        <v/>
      </c>
      <c r="G1682" s="1"/>
      <c r="H1682" s="77">
        <f>IF(G1682="",0,VLOOKUP(G1682,REFCE!A:D,2,FALSE))</f>
        <v>0</v>
      </c>
      <c r="I1682" s="77" t="str">
        <f t="shared" si="115"/>
        <v/>
      </c>
    </row>
    <row r="1683" spans="1:9" x14ac:dyDescent="0.25">
      <c r="A1683" s="203" t="str">
        <f>IF(DATA!M1613="","",DATA!M1613)</f>
        <v/>
      </c>
      <c r="B1683" s="203" t="str">
        <f>IF(DATA!N1613="","",DATA!N1613)</f>
        <v/>
      </c>
      <c r="C1683" s="203" t="str">
        <f>IF(DATA!O1613="","",DATA!O1613)</f>
        <v/>
      </c>
      <c r="D1683" s="203" t="str">
        <f>IF(DATA!P1613="","",DATA!P1613)</f>
        <v/>
      </c>
      <c r="E1683" s="13"/>
      <c r="F1683" s="5" t="str">
        <f t="shared" si="114"/>
        <v/>
      </c>
      <c r="G1683" s="1"/>
      <c r="H1683" s="77">
        <f>IF(G1683="",0,VLOOKUP(G1683,REFCE!A:D,2,FALSE))</f>
        <v>0</v>
      </c>
      <c r="I1683" s="77" t="str">
        <f t="shared" si="115"/>
        <v/>
      </c>
    </row>
    <row r="1684" spans="1:9" x14ac:dyDescent="0.25">
      <c r="A1684" s="203" t="str">
        <f>IF(DATA!M1614="","",DATA!M1614)</f>
        <v/>
      </c>
      <c r="B1684" s="203" t="str">
        <f>IF(DATA!N1614="","",DATA!N1614)</f>
        <v/>
      </c>
      <c r="C1684" s="203" t="str">
        <f>IF(DATA!O1614="","",DATA!O1614)</f>
        <v/>
      </c>
      <c r="D1684" s="203" t="str">
        <f>IF(DATA!P1614="","",DATA!P1614)</f>
        <v/>
      </c>
      <c r="E1684" s="13"/>
      <c r="F1684" s="5" t="str">
        <f t="shared" si="114"/>
        <v/>
      </c>
      <c r="G1684" s="1"/>
      <c r="H1684" s="77">
        <f>IF(G1684="",0,VLOOKUP(G1684,REFCE!A:D,2,FALSE))</f>
        <v>0</v>
      </c>
      <c r="I1684" s="77" t="str">
        <f t="shared" si="115"/>
        <v/>
      </c>
    </row>
    <row r="1685" spans="1:9" x14ac:dyDescent="0.25">
      <c r="A1685" s="203" t="str">
        <f>IF(DATA!M1615="","",DATA!M1615)</f>
        <v/>
      </c>
      <c r="B1685" s="203" t="str">
        <f>IF(DATA!N1615="","",DATA!N1615)</f>
        <v/>
      </c>
      <c r="C1685" s="203" t="str">
        <f>IF(DATA!O1615="","",DATA!O1615)</f>
        <v/>
      </c>
      <c r="D1685" s="203" t="str">
        <f>IF(DATA!P1615="","",DATA!P1615)</f>
        <v/>
      </c>
      <c r="E1685" s="13"/>
      <c r="F1685" s="5" t="str">
        <f t="shared" si="114"/>
        <v/>
      </c>
      <c r="G1685" s="1"/>
      <c r="H1685" s="77">
        <f>IF(G1685="",0,VLOOKUP(G1685,REFCE!A:D,2,FALSE))</f>
        <v>0</v>
      </c>
      <c r="I1685" s="77" t="str">
        <f t="shared" si="115"/>
        <v/>
      </c>
    </row>
    <row r="1686" spans="1:9" x14ac:dyDescent="0.25">
      <c r="A1686" s="203" t="str">
        <f>IF(DATA!M1616="","",DATA!M1616)</f>
        <v/>
      </c>
      <c r="B1686" s="203" t="str">
        <f>IF(DATA!N1616="","",DATA!N1616)</f>
        <v/>
      </c>
      <c r="C1686" s="203" t="str">
        <f>IF(DATA!O1616="","",DATA!O1616)</f>
        <v/>
      </c>
      <c r="D1686" s="203" t="str">
        <f>IF(DATA!P1616="","",DATA!P1616)</f>
        <v/>
      </c>
      <c r="E1686" s="13"/>
      <c r="F1686" s="5" t="str">
        <f t="shared" si="114"/>
        <v/>
      </c>
      <c r="G1686" s="1"/>
      <c r="H1686" s="77">
        <f>IF(G1686="",0,VLOOKUP(G1686,REFCE!A:D,2,FALSE))</f>
        <v>0</v>
      </c>
      <c r="I1686" s="77" t="str">
        <f t="shared" si="115"/>
        <v/>
      </c>
    </row>
    <row r="1687" spans="1:9" x14ac:dyDescent="0.25">
      <c r="A1687" s="203" t="str">
        <f>IF(DATA!M1617="","",DATA!M1617)</f>
        <v/>
      </c>
      <c r="B1687" s="203" t="str">
        <f>IF(DATA!N1617="","",DATA!N1617)</f>
        <v/>
      </c>
      <c r="C1687" s="203" t="str">
        <f>IF(DATA!O1617="","",DATA!O1617)</f>
        <v/>
      </c>
      <c r="D1687" s="203" t="str">
        <f>IF(DATA!P1617="","",DATA!P1617)</f>
        <v/>
      </c>
      <c r="E1687" s="13"/>
      <c r="F1687" s="5" t="str">
        <f t="shared" si="114"/>
        <v/>
      </c>
      <c r="G1687" s="1"/>
      <c r="H1687" s="77">
        <f>IF(G1687="",0,VLOOKUP(G1687,REFCE!A:D,2,FALSE))</f>
        <v>0</v>
      </c>
      <c r="I1687" s="77" t="str">
        <f t="shared" si="115"/>
        <v/>
      </c>
    </row>
    <row r="1688" spans="1:9" x14ac:dyDescent="0.25">
      <c r="A1688" s="203" t="str">
        <f>IF(DATA!M1618="","",DATA!M1618)</f>
        <v/>
      </c>
      <c r="B1688" s="203" t="str">
        <f>IF(DATA!N1618="","",DATA!N1618)</f>
        <v/>
      </c>
      <c r="C1688" s="203" t="str">
        <f>IF(DATA!O1618="","",DATA!O1618)</f>
        <v/>
      </c>
      <c r="D1688" s="203" t="str">
        <f>IF(DATA!P1618="","",DATA!P1618)</f>
        <v/>
      </c>
      <c r="E1688" s="13"/>
      <c r="F1688" s="5" t="str">
        <f t="shared" si="114"/>
        <v/>
      </c>
      <c r="G1688" s="1"/>
      <c r="H1688" s="77">
        <f>IF(G1688="",0,VLOOKUP(G1688,REFCE!A:D,2,FALSE))</f>
        <v>0</v>
      </c>
      <c r="I1688" s="77" t="str">
        <f t="shared" si="115"/>
        <v/>
      </c>
    </row>
    <row r="1689" spans="1:9" x14ac:dyDescent="0.25">
      <c r="A1689" s="203" t="str">
        <f>IF(DATA!M1619="","",DATA!M1619)</f>
        <v/>
      </c>
      <c r="B1689" s="203" t="str">
        <f>IF(DATA!N1619="","",DATA!N1619)</f>
        <v/>
      </c>
      <c r="C1689" s="203" t="str">
        <f>IF(DATA!O1619="","",DATA!O1619)</f>
        <v/>
      </c>
      <c r="D1689" s="203" t="str">
        <f>IF(DATA!P1619="","",DATA!P1619)</f>
        <v/>
      </c>
      <c r="E1689" s="13"/>
      <c r="F1689" s="5" t="str">
        <f t="shared" si="114"/>
        <v/>
      </c>
      <c r="G1689" s="1"/>
      <c r="H1689" s="77">
        <f>IF(G1689="",0,VLOOKUP(G1689,REFCE!A:D,2,FALSE))</f>
        <v>0</v>
      </c>
      <c r="I1689" s="77" t="str">
        <f t="shared" si="115"/>
        <v/>
      </c>
    </row>
    <row r="1690" spans="1:9" x14ac:dyDescent="0.25">
      <c r="A1690" s="203" t="str">
        <f>IF(DATA!M1620="","",DATA!M1620)</f>
        <v/>
      </c>
      <c r="B1690" s="203" t="str">
        <f>IF(DATA!N1620="","",DATA!N1620)</f>
        <v/>
      </c>
      <c r="C1690" s="203" t="str">
        <f>IF(DATA!O1620="","",DATA!O1620)</f>
        <v/>
      </c>
      <c r="D1690" s="203" t="str">
        <f>IF(DATA!P1620="","",DATA!P1620)</f>
        <v/>
      </c>
      <c r="E1690" s="13"/>
      <c r="F1690" s="5" t="str">
        <f t="shared" si="114"/>
        <v/>
      </c>
      <c r="G1690" s="1"/>
      <c r="H1690" s="77">
        <f>IF(G1690="",0,VLOOKUP(G1690,REFCE!A:D,2,FALSE))</f>
        <v>0</v>
      </c>
      <c r="I1690" s="77" t="str">
        <f t="shared" si="115"/>
        <v/>
      </c>
    </row>
    <row r="1691" spans="1:9" x14ac:dyDescent="0.25">
      <c r="A1691" s="203" t="str">
        <f>IF(DATA!M1621="","",DATA!M1621)</f>
        <v/>
      </c>
      <c r="B1691" s="203" t="str">
        <f>IF(DATA!N1621="","",DATA!N1621)</f>
        <v/>
      </c>
      <c r="C1691" s="203" t="str">
        <f>IF(DATA!O1621="","",DATA!O1621)</f>
        <v/>
      </c>
      <c r="D1691" s="203" t="str">
        <f>IF(DATA!P1621="","",DATA!P1621)</f>
        <v/>
      </c>
      <c r="E1691" s="13"/>
      <c r="F1691" s="5" t="str">
        <f t="shared" si="114"/>
        <v/>
      </c>
      <c r="G1691" s="1"/>
      <c r="H1691" s="77">
        <f>IF(G1691="",0,VLOOKUP(G1691,REFCE!A:D,2,FALSE))</f>
        <v>0</v>
      </c>
      <c r="I1691" s="77" t="str">
        <f t="shared" si="115"/>
        <v/>
      </c>
    </row>
    <row r="1692" spans="1:9" x14ac:dyDescent="0.25">
      <c r="A1692" s="203" t="str">
        <f>IF(DATA!M1622="","",DATA!M1622)</f>
        <v/>
      </c>
      <c r="B1692" s="203" t="str">
        <f>IF(DATA!N1622="","",DATA!N1622)</f>
        <v/>
      </c>
      <c r="C1692" s="203" t="str">
        <f>IF(DATA!O1622="","",DATA!O1622)</f>
        <v/>
      </c>
      <c r="D1692" s="203" t="str">
        <f>IF(DATA!P1622="","",DATA!P1622)</f>
        <v/>
      </c>
      <c r="E1692" s="13"/>
      <c r="F1692" s="5" t="str">
        <f t="shared" si="114"/>
        <v/>
      </c>
      <c r="G1692" s="1"/>
      <c r="H1692" s="77">
        <f>IF(G1692="",0,VLOOKUP(G1692,REFCE!A:D,2,FALSE))</f>
        <v>0</v>
      </c>
      <c r="I1692" s="77" t="str">
        <f t="shared" si="115"/>
        <v/>
      </c>
    </row>
    <row r="1693" spans="1:9" x14ac:dyDescent="0.25">
      <c r="A1693" s="203" t="str">
        <f>IF(DATA!M1623="","",DATA!M1623)</f>
        <v/>
      </c>
      <c r="B1693" s="203" t="str">
        <f>IF(DATA!N1623="","",DATA!N1623)</f>
        <v/>
      </c>
      <c r="C1693" s="203" t="str">
        <f>IF(DATA!O1623="","",DATA!O1623)</f>
        <v/>
      </c>
      <c r="D1693" s="203" t="str">
        <f>IF(DATA!P1623="","",DATA!P1623)</f>
        <v/>
      </c>
      <c r="E1693" s="13"/>
      <c r="F1693" s="5" t="str">
        <f t="shared" si="114"/>
        <v/>
      </c>
      <c r="G1693" s="1"/>
      <c r="H1693" s="77">
        <f>IF(G1693="",0,VLOOKUP(G1693,REFCE!A:D,2,FALSE))</f>
        <v>0</v>
      </c>
      <c r="I1693" s="77" t="str">
        <f t="shared" si="115"/>
        <v/>
      </c>
    </row>
    <row r="1694" spans="1:9" x14ac:dyDescent="0.25">
      <c r="A1694" s="203" t="str">
        <f>IF(DATA!M1624="","",DATA!M1624)</f>
        <v/>
      </c>
      <c r="B1694" s="203" t="str">
        <f>IF(DATA!N1624="","",DATA!N1624)</f>
        <v/>
      </c>
      <c r="C1694" s="203" t="str">
        <f>IF(DATA!O1624="","",DATA!O1624)</f>
        <v/>
      </c>
      <c r="D1694" s="203" t="str">
        <f>IF(DATA!P1624="","",DATA!P1624)</f>
        <v/>
      </c>
      <c r="E1694" s="13"/>
      <c r="F1694" s="5" t="str">
        <f t="shared" si="114"/>
        <v/>
      </c>
      <c r="G1694" s="1"/>
      <c r="H1694" s="77">
        <f>IF(G1694="",0,VLOOKUP(G1694,REFCE!A:D,2,FALSE))</f>
        <v>0</v>
      </c>
      <c r="I1694" s="77" t="str">
        <f t="shared" si="115"/>
        <v/>
      </c>
    </row>
    <row r="1695" spans="1:9" x14ac:dyDescent="0.25">
      <c r="A1695" s="203" t="str">
        <f>IF(DATA!M1625="","",DATA!M1625)</f>
        <v/>
      </c>
      <c r="B1695" s="203" t="str">
        <f>IF(DATA!N1625="","",DATA!N1625)</f>
        <v/>
      </c>
      <c r="C1695" s="203" t="str">
        <f>IF(DATA!O1625="","",DATA!O1625)</f>
        <v/>
      </c>
      <c r="D1695" s="203" t="str">
        <f>IF(DATA!P1625="","",DATA!P1625)</f>
        <v/>
      </c>
      <c r="E1695" s="13"/>
      <c r="F1695" s="5" t="str">
        <f t="shared" si="114"/>
        <v/>
      </c>
      <c r="G1695" s="1"/>
      <c r="H1695" s="77">
        <f>IF(G1695="",0,VLOOKUP(G1695,REFCE!A:D,2,FALSE))</f>
        <v>0</v>
      </c>
      <c r="I1695" s="77" t="str">
        <f t="shared" si="115"/>
        <v/>
      </c>
    </row>
    <row r="1696" spans="1:9" x14ac:dyDescent="0.25">
      <c r="A1696" s="203" t="str">
        <f>IF(DATA!M1626="","",DATA!M1626)</f>
        <v/>
      </c>
      <c r="B1696" s="203" t="str">
        <f>IF(DATA!N1626="","",DATA!N1626)</f>
        <v/>
      </c>
      <c r="C1696" s="203" t="str">
        <f>IF(DATA!O1626="","",DATA!O1626)</f>
        <v/>
      </c>
      <c r="D1696" s="203" t="str">
        <f>IF(DATA!P1626="","",DATA!P1626)</f>
        <v/>
      </c>
      <c r="E1696" s="13"/>
      <c r="F1696" s="5" t="str">
        <f t="shared" si="114"/>
        <v/>
      </c>
      <c r="G1696" s="1"/>
      <c r="H1696" s="77">
        <f>IF(G1696="",0,VLOOKUP(G1696,REFCE!A:D,2,FALSE))</f>
        <v>0</v>
      </c>
      <c r="I1696" s="77" t="str">
        <f t="shared" si="115"/>
        <v/>
      </c>
    </row>
    <row r="1697" spans="1:9" x14ac:dyDescent="0.25">
      <c r="A1697" s="203" t="str">
        <f>IF(DATA!M1627="","",DATA!M1627)</f>
        <v/>
      </c>
      <c r="B1697" s="203" t="str">
        <f>IF(DATA!N1627="","",DATA!N1627)</f>
        <v/>
      </c>
      <c r="C1697" s="203" t="str">
        <f>IF(DATA!O1627="","",DATA!O1627)</f>
        <v/>
      </c>
      <c r="D1697" s="203" t="str">
        <f>IF(DATA!P1627="","",DATA!P1627)</f>
        <v/>
      </c>
      <c r="E1697" s="13"/>
      <c r="F1697" s="5" t="str">
        <f t="shared" si="114"/>
        <v/>
      </c>
      <c r="G1697" s="1"/>
      <c r="H1697" s="77">
        <f>IF(G1697="",0,VLOOKUP(G1697,REFCE!A:D,2,FALSE))</f>
        <v>0</v>
      </c>
      <c r="I1697" s="77" t="str">
        <f t="shared" si="115"/>
        <v/>
      </c>
    </row>
    <row r="1698" spans="1:9" x14ac:dyDescent="0.25">
      <c r="A1698" s="203" t="str">
        <f>IF(DATA!M1628="","",DATA!M1628)</f>
        <v/>
      </c>
      <c r="B1698" s="203" t="str">
        <f>IF(DATA!N1628="","",DATA!N1628)</f>
        <v/>
      </c>
      <c r="C1698" s="203" t="str">
        <f>IF(DATA!O1628="","",DATA!O1628)</f>
        <v/>
      </c>
      <c r="D1698" s="203" t="str">
        <f>IF(DATA!P1628="","",DATA!P1628)</f>
        <v/>
      </c>
      <c r="E1698" s="13"/>
      <c r="F1698" s="5" t="str">
        <f t="shared" si="114"/>
        <v/>
      </c>
      <c r="G1698" s="1"/>
      <c r="H1698" s="77">
        <f>IF(G1698="",0,VLOOKUP(G1698,REFCE!A:D,2,FALSE))</f>
        <v>0</v>
      </c>
      <c r="I1698" s="77" t="str">
        <f t="shared" si="115"/>
        <v/>
      </c>
    </row>
    <row r="1699" spans="1:9" x14ac:dyDescent="0.25">
      <c r="A1699" s="203" t="str">
        <f>IF(DATA!M1629="","",DATA!M1629)</f>
        <v/>
      </c>
      <c r="B1699" s="203" t="str">
        <f>IF(DATA!N1629="","",DATA!N1629)</f>
        <v/>
      </c>
      <c r="C1699" s="203" t="str">
        <f>IF(DATA!O1629="","",DATA!O1629)</f>
        <v/>
      </c>
      <c r="D1699" s="203" t="str">
        <f>IF(DATA!P1629="","",DATA!P1629)</f>
        <v/>
      </c>
      <c r="E1699" s="13"/>
      <c r="F1699" s="5" t="str">
        <f t="shared" si="114"/>
        <v/>
      </c>
      <c r="G1699" s="1"/>
      <c r="H1699" s="77">
        <f>IF(G1699="",0,VLOOKUP(G1699,REFCE!A:D,2,FALSE))</f>
        <v>0</v>
      </c>
      <c r="I1699" s="77" t="str">
        <f t="shared" si="115"/>
        <v/>
      </c>
    </row>
    <row r="1700" spans="1:9" x14ac:dyDescent="0.25">
      <c r="A1700" s="203" t="str">
        <f>IF(DATA!M1630="","",DATA!M1630)</f>
        <v/>
      </c>
      <c r="B1700" s="203" t="str">
        <f>IF(DATA!N1630="","",DATA!N1630)</f>
        <v/>
      </c>
      <c r="C1700" s="203" t="str">
        <f>IF(DATA!O1630="","",DATA!O1630)</f>
        <v/>
      </c>
      <c r="D1700" s="203" t="str">
        <f>IF(DATA!P1630="","",DATA!P1630)</f>
        <v/>
      </c>
      <c r="E1700" s="13"/>
      <c r="F1700" s="5" t="str">
        <f t="shared" si="114"/>
        <v/>
      </c>
      <c r="G1700" s="1"/>
      <c r="H1700" s="77">
        <f>IF(G1700="",0,VLOOKUP(G1700,REFCE!A:D,2,FALSE))</f>
        <v>0</v>
      </c>
      <c r="I1700" s="77" t="str">
        <f t="shared" si="115"/>
        <v/>
      </c>
    </row>
    <row r="1701" spans="1:9" x14ac:dyDescent="0.25">
      <c r="A1701" s="203" t="str">
        <f>IF(DATA!M1631="","",DATA!M1631)</f>
        <v/>
      </c>
      <c r="B1701" s="203" t="str">
        <f>IF(DATA!N1631="","",DATA!N1631)</f>
        <v/>
      </c>
      <c r="C1701" s="203" t="str">
        <f>IF(DATA!O1631="","",DATA!O1631)</f>
        <v/>
      </c>
      <c r="D1701" s="203" t="str">
        <f>IF(DATA!P1631="","",DATA!P1631)</f>
        <v/>
      </c>
      <c r="E1701" s="13"/>
      <c r="F1701" s="5" t="str">
        <f t="shared" si="114"/>
        <v/>
      </c>
      <c r="G1701" s="1"/>
      <c r="H1701" s="77">
        <f>IF(G1701="",0,VLOOKUP(G1701,REFCE!A:D,2,FALSE))</f>
        <v>0</v>
      </c>
      <c r="I1701" s="77" t="str">
        <f t="shared" si="115"/>
        <v/>
      </c>
    </row>
    <row r="1702" spans="1:9" x14ac:dyDescent="0.25">
      <c r="A1702" s="203" t="str">
        <f>IF(DATA!M1632="","",DATA!M1632)</f>
        <v/>
      </c>
      <c r="B1702" s="203" t="str">
        <f>IF(DATA!N1632="","",DATA!N1632)</f>
        <v/>
      </c>
      <c r="C1702" s="203" t="str">
        <f>IF(DATA!O1632="","",DATA!O1632)</f>
        <v/>
      </c>
      <c r="D1702" s="203" t="str">
        <f>IF(DATA!P1632="","",DATA!P1632)</f>
        <v/>
      </c>
      <c r="E1702" s="13"/>
      <c r="F1702" s="5" t="str">
        <f t="shared" si="114"/>
        <v/>
      </c>
      <c r="G1702" s="1"/>
      <c r="H1702" s="77">
        <f>IF(G1702="",0,VLOOKUP(G1702,REFCE!A:D,2,FALSE))</f>
        <v>0</v>
      </c>
      <c r="I1702" s="77" t="str">
        <f t="shared" si="115"/>
        <v/>
      </c>
    </row>
    <row r="1703" spans="1:9" x14ac:dyDescent="0.25">
      <c r="A1703" s="203" t="str">
        <f>IF(DATA!M1633="","",DATA!M1633)</f>
        <v/>
      </c>
      <c r="B1703" s="203" t="str">
        <f>IF(DATA!N1633="","",DATA!N1633)</f>
        <v/>
      </c>
      <c r="C1703" s="203" t="str">
        <f>IF(DATA!O1633="","",DATA!O1633)</f>
        <v/>
      </c>
      <c r="D1703" s="203" t="str">
        <f>IF(DATA!P1633="","",DATA!P1633)</f>
        <v/>
      </c>
      <c r="E1703" s="13"/>
      <c r="F1703" s="5" t="str">
        <f t="shared" si="114"/>
        <v/>
      </c>
      <c r="G1703" s="1"/>
      <c r="H1703" s="77">
        <f>IF(G1703="",0,VLOOKUP(G1703,REFCE!A:D,2,FALSE))</f>
        <v>0</v>
      </c>
      <c r="I1703" s="77" t="str">
        <f t="shared" si="115"/>
        <v/>
      </c>
    </row>
    <row r="1704" spans="1:9" x14ac:dyDescent="0.25">
      <c r="A1704" s="203" t="str">
        <f>IF(DATA!M1634="","",DATA!M1634)</f>
        <v/>
      </c>
      <c r="B1704" s="203" t="str">
        <f>IF(DATA!N1634="","",DATA!N1634)</f>
        <v/>
      </c>
      <c r="C1704" s="203" t="str">
        <f>IF(DATA!O1634="","",DATA!O1634)</f>
        <v/>
      </c>
      <c r="D1704" s="203" t="str">
        <f>IF(DATA!P1634="","",DATA!P1634)</f>
        <v/>
      </c>
      <c r="E1704" s="13"/>
      <c r="F1704" s="5" t="str">
        <f t="shared" si="114"/>
        <v/>
      </c>
      <c r="G1704" s="1"/>
      <c r="H1704" s="77">
        <f>IF(G1704="",0,VLOOKUP(G1704,REFCE!A:D,2,FALSE))</f>
        <v>0</v>
      </c>
      <c r="I1704" s="77" t="str">
        <f t="shared" si="115"/>
        <v/>
      </c>
    </row>
    <row r="1705" spans="1:9" x14ac:dyDescent="0.25">
      <c r="A1705" s="203" t="str">
        <f>IF(DATA!M1635="","",DATA!M1635)</f>
        <v/>
      </c>
      <c r="B1705" s="203" t="str">
        <f>IF(DATA!N1635="","",DATA!N1635)</f>
        <v/>
      </c>
      <c r="C1705" s="203" t="str">
        <f>IF(DATA!O1635="","",DATA!O1635)</f>
        <v/>
      </c>
      <c r="D1705" s="203" t="str">
        <f>IF(DATA!P1635="","",DATA!P1635)</f>
        <v/>
      </c>
      <c r="E1705" s="13"/>
      <c r="F1705" s="5" t="str">
        <f t="shared" si="114"/>
        <v/>
      </c>
      <c r="G1705" s="1"/>
      <c r="H1705" s="77">
        <f>IF(G1705="",0,VLOOKUP(G1705,REFCE!A:D,2,FALSE))</f>
        <v>0</v>
      </c>
      <c r="I1705" s="77" t="str">
        <f t="shared" si="115"/>
        <v/>
      </c>
    </row>
    <row r="1706" spans="1:9" x14ac:dyDescent="0.25">
      <c r="A1706" s="203" t="str">
        <f>IF(DATA!M1636="","",DATA!M1636)</f>
        <v/>
      </c>
      <c r="B1706" s="203" t="str">
        <f>IF(DATA!N1636="","",DATA!N1636)</f>
        <v/>
      </c>
      <c r="C1706" s="203" t="str">
        <f>IF(DATA!O1636="","",DATA!O1636)</f>
        <v/>
      </c>
      <c r="D1706" s="203" t="str">
        <f>IF(DATA!P1636="","",DATA!P1636)</f>
        <v/>
      </c>
      <c r="E1706" s="13"/>
      <c r="F1706" s="5" t="str">
        <f t="shared" si="114"/>
        <v/>
      </c>
      <c r="G1706" s="1"/>
      <c r="H1706" s="77">
        <f>IF(G1706="",0,VLOOKUP(G1706,REFCE!A:D,2,FALSE))</f>
        <v>0</v>
      </c>
      <c r="I1706" s="77" t="str">
        <f t="shared" si="115"/>
        <v/>
      </c>
    </row>
    <row r="1707" spans="1:9" x14ac:dyDescent="0.25">
      <c r="A1707" s="203" t="str">
        <f>IF(DATA!M1637="","",DATA!M1637)</f>
        <v/>
      </c>
      <c r="B1707" s="203" t="str">
        <f>IF(DATA!N1637="","",DATA!N1637)</f>
        <v/>
      </c>
      <c r="C1707" s="203" t="str">
        <f>IF(DATA!O1637="","",DATA!O1637)</f>
        <v/>
      </c>
      <c r="D1707" s="203" t="str">
        <f>IF(DATA!P1637="","",DATA!P1637)</f>
        <v/>
      </c>
      <c r="E1707" s="13"/>
      <c r="F1707" s="5" t="str">
        <f t="shared" si="114"/>
        <v/>
      </c>
      <c r="G1707" s="1"/>
      <c r="H1707" s="77">
        <f>IF(G1707="",0,VLOOKUP(G1707,REFCE!A:D,2,FALSE))</f>
        <v>0</v>
      </c>
      <c r="I1707" s="77" t="str">
        <f t="shared" si="115"/>
        <v/>
      </c>
    </row>
    <row r="1708" spans="1:9" x14ac:dyDescent="0.25">
      <c r="A1708" s="203" t="str">
        <f>IF(DATA!M1638="","",DATA!M1638)</f>
        <v/>
      </c>
      <c r="B1708" s="203" t="str">
        <f>IF(DATA!N1638="","",DATA!N1638)</f>
        <v/>
      </c>
      <c r="C1708" s="203" t="str">
        <f>IF(DATA!O1638="","",DATA!O1638)</f>
        <v/>
      </c>
      <c r="D1708" s="203" t="str">
        <f>IF(DATA!P1638="","",DATA!P1638)</f>
        <v/>
      </c>
      <c r="E1708" s="13"/>
      <c r="F1708" s="5" t="str">
        <f t="shared" si="114"/>
        <v/>
      </c>
      <c r="G1708" s="1"/>
      <c r="H1708" s="77">
        <f>IF(G1708="",0,VLOOKUP(G1708,REFCE!A:D,2,FALSE))</f>
        <v>0</v>
      </c>
      <c r="I1708" s="77" t="str">
        <f t="shared" si="115"/>
        <v/>
      </c>
    </row>
    <row r="1709" spans="1:9" x14ac:dyDescent="0.25">
      <c r="A1709" s="203" t="str">
        <f>IF(DATA!M1639="","",DATA!M1639)</f>
        <v/>
      </c>
      <c r="B1709" s="203" t="str">
        <f>IF(DATA!N1639="","",DATA!N1639)</f>
        <v/>
      </c>
      <c r="C1709" s="203" t="str">
        <f>IF(DATA!O1639="","",DATA!O1639)</f>
        <v/>
      </c>
      <c r="D1709" s="203" t="str">
        <f>IF(DATA!P1639="","",DATA!P1639)</f>
        <v/>
      </c>
      <c r="E1709" s="13"/>
      <c r="F1709" s="5" t="str">
        <f t="shared" si="114"/>
        <v/>
      </c>
      <c r="G1709" s="1"/>
      <c r="H1709" s="77">
        <f>IF(G1709="",0,VLOOKUP(G1709,REFCE!A:D,2,FALSE))</f>
        <v>0</v>
      </c>
      <c r="I1709" s="77" t="str">
        <f t="shared" si="115"/>
        <v/>
      </c>
    </row>
    <row r="1710" spans="1:9" x14ac:dyDescent="0.25">
      <c r="A1710" s="203" t="str">
        <f>IF(DATA!M1640="","",DATA!M1640)</f>
        <v/>
      </c>
      <c r="B1710" s="203" t="str">
        <f>IF(DATA!N1640="","",DATA!N1640)</f>
        <v/>
      </c>
      <c r="C1710" s="203" t="str">
        <f>IF(DATA!O1640="","",DATA!O1640)</f>
        <v/>
      </c>
      <c r="D1710" s="203" t="str">
        <f>IF(DATA!P1640="","",DATA!P1640)</f>
        <v/>
      </c>
      <c r="E1710" s="13"/>
      <c r="F1710" s="5" t="str">
        <f t="shared" si="114"/>
        <v/>
      </c>
      <c r="G1710" s="1"/>
      <c r="H1710" s="77">
        <f>IF(G1710="",0,VLOOKUP(G1710,REFCE!A:D,2,FALSE))</f>
        <v>0</v>
      </c>
      <c r="I1710" s="77" t="str">
        <f t="shared" si="115"/>
        <v/>
      </c>
    </row>
    <row r="1711" spans="1:9" x14ac:dyDescent="0.25">
      <c r="A1711" s="203" t="str">
        <f>IF(DATA!M1641="","",DATA!M1641)</f>
        <v/>
      </c>
      <c r="B1711" s="203" t="str">
        <f>IF(DATA!N1641="","",DATA!N1641)</f>
        <v/>
      </c>
      <c r="C1711" s="203" t="str">
        <f>IF(DATA!O1641="","",DATA!O1641)</f>
        <v/>
      </c>
      <c r="D1711" s="203" t="str">
        <f>IF(DATA!P1641="","",DATA!P1641)</f>
        <v/>
      </c>
      <c r="E1711" s="13"/>
      <c r="F1711" s="5" t="str">
        <f t="shared" si="114"/>
        <v/>
      </c>
      <c r="G1711" s="1"/>
      <c r="H1711" s="77">
        <f>IF(G1711="",0,VLOOKUP(G1711,REFCE!A:D,2,FALSE))</f>
        <v>0</v>
      </c>
      <c r="I1711" s="77" t="str">
        <f t="shared" si="115"/>
        <v/>
      </c>
    </row>
    <row r="1712" spans="1:9" x14ac:dyDescent="0.25">
      <c r="A1712" s="203" t="str">
        <f>IF(DATA!M1642="","",DATA!M1642)</f>
        <v/>
      </c>
      <c r="B1712" s="203" t="str">
        <f>IF(DATA!N1642="","",DATA!N1642)</f>
        <v/>
      </c>
      <c r="C1712" s="203" t="str">
        <f>IF(DATA!O1642="","",DATA!O1642)</f>
        <v/>
      </c>
      <c r="D1712" s="203" t="str">
        <f>IF(DATA!P1642="","",DATA!P1642)</f>
        <v/>
      </c>
      <c r="E1712" s="13"/>
      <c r="F1712" s="5" t="str">
        <f t="shared" si="114"/>
        <v/>
      </c>
      <c r="G1712" s="1"/>
      <c r="H1712" s="77">
        <f>IF(G1712="",0,VLOOKUP(G1712,REFCE!A:D,2,FALSE))</f>
        <v>0</v>
      </c>
      <c r="I1712" s="77" t="str">
        <f t="shared" si="115"/>
        <v/>
      </c>
    </row>
    <row r="1713" spans="1:9" x14ac:dyDescent="0.25">
      <c r="A1713" s="203" t="str">
        <f>IF(DATA!M1643="","",DATA!M1643)</f>
        <v/>
      </c>
      <c r="B1713" s="203" t="str">
        <f>IF(DATA!N1643="","",DATA!N1643)</f>
        <v/>
      </c>
      <c r="C1713" s="203" t="str">
        <f>IF(DATA!O1643="","",DATA!O1643)</f>
        <v/>
      </c>
      <c r="D1713" s="203" t="str">
        <f>IF(DATA!P1643="","",DATA!P1643)</f>
        <v/>
      </c>
      <c r="E1713" s="13"/>
      <c r="F1713" s="5" t="str">
        <f t="shared" si="114"/>
        <v/>
      </c>
      <c r="G1713" s="1"/>
      <c r="H1713" s="77">
        <f>IF(G1713="",0,VLOOKUP(G1713,REFCE!A:D,2,FALSE))</f>
        <v>0</v>
      </c>
      <c r="I1713" s="77" t="str">
        <f t="shared" si="115"/>
        <v/>
      </c>
    </row>
    <row r="1714" spans="1:9" x14ac:dyDescent="0.25">
      <c r="A1714" s="203" t="str">
        <f>IF(DATA!M1644="","",DATA!M1644)</f>
        <v/>
      </c>
      <c r="B1714" s="203" t="str">
        <f>IF(DATA!N1644="","",DATA!N1644)</f>
        <v/>
      </c>
      <c r="C1714" s="203" t="str">
        <f>IF(DATA!O1644="","",DATA!O1644)</f>
        <v/>
      </c>
      <c r="D1714" s="203" t="str">
        <f>IF(DATA!P1644="","",DATA!P1644)</f>
        <v/>
      </c>
      <c r="E1714" s="13"/>
      <c r="F1714" s="5" t="str">
        <f t="shared" si="114"/>
        <v/>
      </c>
      <c r="G1714" s="1"/>
      <c r="H1714" s="77">
        <f>IF(G1714="",0,VLOOKUP(G1714,REFCE!A:D,2,FALSE))</f>
        <v>0</v>
      </c>
      <c r="I1714" s="77" t="str">
        <f t="shared" si="115"/>
        <v/>
      </c>
    </row>
    <row r="1715" spans="1:9" x14ac:dyDescent="0.25">
      <c r="A1715" s="203" t="str">
        <f>IF(DATA!M1645="","",DATA!M1645)</f>
        <v/>
      </c>
      <c r="B1715" s="203" t="str">
        <f>IF(DATA!N1645="","",DATA!N1645)</f>
        <v/>
      </c>
      <c r="C1715" s="203" t="str">
        <f>IF(DATA!O1645="","",DATA!O1645)</f>
        <v/>
      </c>
      <c r="D1715" s="203" t="str">
        <f>IF(DATA!P1645="","",DATA!P1645)</f>
        <v/>
      </c>
      <c r="E1715" s="13"/>
      <c r="F1715" s="5" t="str">
        <f t="shared" si="114"/>
        <v/>
      </c>
      <c r="G1715" s="1"/>
      <c r="H1715" s="77">
        <f>IF(G1715="",0,VLOOKUP(G1715,REFCE!A:D,2,FALSE))</f>
        <v>0</v>
      </c>
      <c r="I1715" s="77" t="str">
        <f t="shared" si="115"/>
        <v/>
      </c>
    </row>
    <row r="1716" spans="1:9" x14ac:dyDescent="0.25">
      <c r="A1716" s="203" t="str">
        <f>IF(DATA!M1646="","",DATA!M1646)</f>
        <v/>
      </c>
      <c r="B1716" s="203" t="str">
        <f>IF(DATA!N1646="","",DATA!N1646)</f>
        <v/>
      </c>
      <c r="C1716" s="203" t="str">
        <f>IF(DATA!O1646="","",DATA!O1646)</f>
        <v/>
      </c>
      <c r="D1716" s="203" t="str">
        <f>IF(DATA!P1646="","",DATA!P1646)</f>
        <v/>
      </c>
      <c r="E1716" s="13"/>
      <c r="F1716" s="5" t="str">
        <f t="shared" si="114"/>
        <v/>
      </c>
      <c r="G1716" s="1"/>
      <c r="H1716" s="77">
        <f>IF(G1716="",0,VLOOKUP(G1716,REFCE!A:D,2,FALSE))</f>
        <v>0</v>
      </c>
      <c r="I1716" s="77" t="str">
        <f t="shared" si="115"/>
        <v/>
      </c>
    </row>
    <row r="1717" spans="1:9" x14ac:dyDescent="0.25">
      <c r="A1717" s="203" t="str">
        <f>IF(DATA!M1647="","",DATA!M1647)</f>
        <v/>
      </c>
      <c r="B1717" s="203" t="str">
        <f>IF(DATA!N1647="","",DATA!N1647)</f>
        <v/>
      </c>
      <c r="C1717" s="203" t="str">
        <f>IF(DATA!O1647="","",DATA!O1647)</f>
        <v/>
      </c>
      <c r="D1717" s="203" t="str">
        <f>IF(DATA!P1647="","",DATA!P1647)</f>
        <v/>
      </c>
      <c r="E1717" s="13"/>
      <c r="F1717" s="5" t="str">
        <f t="shared" si="114"/>
        <v/>
      </c>
      <c r="G1717" s="1"/>
      <c r="H1717" s="77">
        <f>IF(G1717="",0,VLOOKUP(G1717,REFCE!A:D,2,FALSE))</f>
        <v>0</v>
      </c>
      <c r="I1717" s="77" t="str">
        <f t="shared" si="115"/>
        <v/>
      </c>
    </row>
    <row r="1718" spans="1:9" x14ac:dyDescent="0.25">
      <c r="A1718" s="203" t="str">
        <f>IF(DATA!M1648="","",DATA!M1648)</f>
        <v/>
      </c>
      <c r="B1718" s="203" t="str">
        <f>IF(DATA!N1648="","",DATA!N1648)</f>
        <v/>
      </c>
      <c r="C1718" s="203" t="str">
        <f>IF(DATA!O1648="","",DATA!O1648)</f>
        <v/>
      </c>
      <c r="D1718" s="203" t="str">
        <f>IF(DATA!P1648="","",DATA!P1648)</f>
        <v/>
      </c>
      <c r="E1718" s="13"/>
      <c r="F1718" s="5" t="str">
        <f t="shared" si="114"/>
        <v/>
      </c>
      <c r="G1718" s="1"/>
      <c r="H1718" s="77">
        <f>IF(G1718="",0,VLOOKUP(G1718,REFCE!A:D,2,FALSE))</f>
        <v>0</v>
      </c>
      <c r="I1718" s="77" t="str">
        <f t="shared" si="115"/>
        <v/>
      </c>
    </row>
    <row r="1719" spans="1:9" x14ac:dyDescent="0.25">
      <c r="A1719" s="203" t="str">
        <f>IF(DATA!M1649="","",DATA!M1649)</f>
        <v/>
      </c>
      <c r="B1719" s="203" t="str">
        <f>IF(DATA!N1649="","",DATA!N1649)</f>
        <v/>
      </c>
      <c r="C1719" s="203" t="str">
        <f>IF(DATA!O1649="","",DATA!O1649)</f>
        <v/>
      </c>
      <c r="D1719" s="203" t="str">
        <f>IF(DATA!P1649="","",DATA!P1649)</f>
        <v/>
      </c>
      <c r="E1719" s="13"/>
      <c r="F1719" s="5" t="str">
        <f t="shared" si="114"/>
        <v/>
      </c>
      <c r="G1719" s="1"/>
      <c r="H1719" s="77">
        <f>IF(G1719="",0,VLOOKUP(G1719,REFCE!A:D,2,FALSE))</f>
        <v>0</v>
      </c>
      <c r="I1719" s="77" t="str">
        <f t="shared" si="115"/>
        <v/>
      </c>
    </row>
    <row r="1720" spans="1:9" x14ac:dyDescent="0.25">
      <c r="A1720" s="203" t="str">
        <f>IF(DATA!M1650="","",DATA!M1650)</f>
        <v/>
      </c>
      <c r="B1720" s="203" t="str">
        <f>IF(DATA!N1650="","",DATA!N1650)</f>
        <v/>
      </c>
      <c r="C1720" s="203" t="str">
        <f>IF(DATA!O1650="","",DATA!O1650)</f>
        <v/>
      </c>
      <c r="D1720" s="203" t="str">
        <f>IF(DATA!P1650="","",DATA!P1650)</f>
        <v/>
      </c>
      <c r="E1720" s="13"/>
      <c r="F1720" s="5" t="str">
        <f t="shared" si="114"/>
        <v/>
      </c>
      <c r="G1720" s="1"/>
      <c r="H1720" s="77">
        <f>IF(G1720="",0,VLOOKUP(G1720,REFCE!A:D,2,FALSE))</f>
        <v>0</v>
      </c>
      <c r="I1720" s="77" t="str">
        <f t="shared" si="115"/>
        <v/>
      </c>
    </row>
    <row r="1721" spans="1:9" x14ac:dyDescent="0.25">
      <c r="A1721" s="203" t="str">
        <f>IF(DATA!M1651="","",DATA!M1651)</f>
        <v/>
      </c>
      <c r="B1721" s="203" t="str">
        <f>IF(DATA!N1651="","",DATA!N1651)</f>
        <v/>
      </c>
      <c r="C1721" s="203" t="str">
        <f>IF(DATA!O1651="","",DATA!O1651)</f>
        <v/>
      </c>
      <c r="D1721" s="203" t="str">
        <f>IF(DATA!P1651="","",DATA!P1651)</f>
        <v/>
      </c>
      <c r="E1721" s="13"/>
      <c r="F1721" s="5" t="str">
        <f t="shared" si="114"/>
        <v/>
      </c>
      <c r="G1721" s="1"/>
      <c r="H1721" s="77">
        <f>IF(G1721="",0,VLOOKUP(G1721,REFCE!A:D,2,FALSE))</f>
        <v>0</v>
      </c>
      <c r="I1721" s="77" t="str">
        <f t="shared" si="115"/>
        <v/>
      </c>
    </row>
    <row r="1722" spans="1:9" x14ac:dyDescent="0.25">
      <c r="A1722" s="203" t="str">
        <f>IF(DATA!M1652="","",DATA!M1652)</f>
        <v/>
      </c>
      <c r="B1722" s="203" t="str">
        <f>IF(DATA!N1652="","",DATA!N1652)</f>
        <v/>
      </c>
      <c r="C1722" s="203" t="str">
        <f>IF(DATA!O1652="","",DATA!O1652)</f>
        <v/>
      </c>
      <c r="D1722" s="203" t="str">
        <f>IF(DATA!P1652="","",DATA!P1652)</f>
        <v/>
      </c>
      <c r="E1722" s="13"/>
      <c r="F1722" s="5" t="str">
        <f t="shared" si="114"/>
        <v/>
      </c>
      <c r="G1722" s="1"/>
      <c r="H1722" s="77">
        <f>IF(G1722="",0,VLOOKUP(G1722,REFCE!A:D,2,FALSE))</f>
        <v>0</v>
      </c>
      <c r="I1722" s="77" t="str">
        <f t="shared" si="115"/>
        <v/>
      </c>
    </row>
    <row r="1723" spans="1:9" x14ac:dyDescent="0.25">
      <c r="A1723" s="203" t="str">
        <f>IF(DATA!M1653="","",DATA!M1653)</f>
        <v/>
      </c>
      <c r="B1723" s="203" t="str">
        <f>IF(DATA!N1653="","",DATA!N1653)</f>
        <v/>
      </c>
      <c r="C1723" s="203" t="str">
        <f>IF(DATA!O1653="","",DATA!O1653)</f>
        <v/>
      </c>
      <c r="D1723" s="203" t="str">
        <f>IF(DATA!P1653="","",DATA!P1653)</f>
        <v/>
      </c>
      <c r="E1723" s="13"/>
      <c r="F1723" s="5" t="str">
        <f t="shared" si="114"/>
        <v/>
      </c>
      <c r="G1723" s="1"/>
      <c r="H1723" s="77">
        <f>IF(G1723="",0,VLOOKUP(G1723,REFCE!A:D,2,FALSE))</f>
        <v>0</v>
      </c>
      <c r="I1723" s="77" t="str">
        <f t="shared" si="115"/>
        <v/>
      </c>
    </row>
    <row r="1724" spans="1:9" x14ac:dyDescent="0.25">
      <c r="A1724" s="203" t="str">
        <f>IF(DATA!M1654="","",DATA!M1654)</f>
        <v/>
      </c>
      <c r="B1724" s="203" t="str">
        <f>IF(DATA!N1654="","",DATA!N1654)</f>
        <v/>
      </c>
      <c r="C1724" s="203" t="str">
        <f>IF(DATA!O1654="","",DATA!O1654)</f>
        <v/>
      </c>
      <c r="D1724" s="203" t="str">
        <f>IF(DATA!P1654="","",DATA!P1654)</f>
        <v/>
      </c>
      <c r="E1724" s="13"/>
      <c r="F1724" s="5" t="str">
        <f t="shared" si="114"/>
        <v/>
      </c>
      <c r="G1724" s="1"/>
      <c r="H1724" s="77">
        <f>IF(G1724="",0,VLOOKUP(G1724,REFCE!A:D,2,FALSE))</f>
        <v>0</v>
      </c>
      <c r="I1724" s="77" t="str">
        <f t="shared" si="115"/>
        <v/>
      </c>
    </row>
    <row r="1725" spans="1:9" x14ac:dyDescent="0.25">
      <c r="A1725" s="203" t="str">
        <f>IF(DATA!M1655="","",DATA!M1655)</f>
        <v/>
      </c>
      <c r="B1725" s="203" t="str">
        <f>IF(DATA!N1655="","",DATA!N1655)</f>
        <v/>
      </c>
      <c r="C1725" s="203" t="str">
        <f>IF(DATA!O1655="","",DATA!O1655)</f>
        <v/>
      </c>
      <c r="D1725" s="203" t="str">
        <f>IF(DATA!P1655="","",DATA!P1655)</f>
        <v/>
      </c>
      <c r="E1725" s="13"/>
      <c r="F1725" s="5" t="str">
        <f t="shared" si="114"/>
        <v/>
      </c>
      <c r="G1725" s="1"/>
      <c r="H1725" s="77">
        <f>IF(G1725="",0,VLOOKUP(G1725,REFCE!A:D,2,FALSE))</f>
        <v>0</v>
      </c>
      <c r="I1725" s="77" t="str">
        <f t="shared" si="115"/>
        <v/>
      </c>
    </row>
    <row r="1726" spans="1:9" x14ac:dyDescent="0.25">
      <c r="A1726" s="203" t="str">
        <f>IF(DATA!M1656="","",DATA!M1656)</f>
        <v/>
      </c>
      <c r="B1726" s="203" t="str">
        <f>IF(DATA!N1656="","",DATA!N1656)</f>
        <v/>
      </c>
      <c r="C1726" s="203" t="str">
        <f>IF(DATA!O1656="","",DATA!O1656)</f>
        <v/>
      </c>
      <c r="D1726" s="203" t="str">
        <f>IF(DATA!P1656="","",DATA!P1656)</f>
        <v/>
      </c>
      <c r="E1726" s="13"/>
      <c r="F1726" s="5" t="str">
        <f t="shared" si="114"/>
        <v/>
      </c>
      <c r="G1726" s="1"/>
      <c r="H1726" s="77">
        <f>IF(G1726="",0,VLOOKUP(G1726,REFCE!A:D,2,FALSE))</f>
        <v>0</v>
      </c>
      <c r="I1726" s="77" t="str">
        <f t="shared" si="115"/>
        <v/>
      </c>
    </row>
    <row r="1727" spans="1:9" x14ac:dyDescent="0.25">
      <c r="A1727" s="203" t="str">
        <f>IF(DATA!M1657="","",DATA!M1657)</f>
        <v/>
      </c>
      <c r="B1727" s="203" t="str">
        <f>IF(DATA!N1657="","",DATA!N1657)</f>
        <v/>
      </c>
      <c r="C1727" s="203" t="str">
        <f>IF(DATA!O1657="","",DATA!O1657)</f>
        <v/>
      </c>
      <c r="D1727" s="203" t="str">
        <f>IF(DATA!P1657="","",DATA!P1657)</f>
        <v/>
      </c>
      <c r="E1727" s="13"/>
      <c r="F1727" s="5" t="str">
        <f t="shared" si="114"/>
        <v/>
      </c>
      <c r="G1727" s="1"/>
      <c r="H1727" s="77">
        <f>IF(G1727="",0,VLOOKUP(G1727,REFCE!A:D,2,FALSE))</f>
        <v>0</v>
      </c>
      <c r="I1727" s="77" t="str">
        <f t="shared" si="115"/>
        <v/>
      </c>
    </row>
    <row r="1728" spans="1:9" x14ac:dyDescent="0.25">
      <c r="A1728" s="203" t="str">
        <f>IF(DATA!M1658="","",DATA!M1658)</f>
        <v/>
      </c>
      <c r="B1728" s="203" t="str">
        <f>IF(DATA!N1658="","",DATA!N1658)</f>
        <v/>
      </c>
      <c r="C1728" s="203" t="str">
        <f>IF(DATA!O1658="","",DATA!O1658)</f>
        <v/>
      </c>
      <c r="D1728" s="203" t="str">
        <f>IF(DATA!P1658="","",DATA!P1658)</f>
        <v/>
      </c>
      <c r="E1728" s="13"/>
      <c r="F1728" s="5" t="str">
        <f t="shared" si="114"/>
        <v/>
      </c>
      <c r="G1728" s="1"/>
      <c r="H1728" s="77">
        <f>IF(G1728="",0,VLOOKUP(G1728,REFCE!A:D,2,FALSE))</f>
        <v>0</v>
      </c>
      <c r="I1728" s="77" t="str">
        <f t="shared" si="115"/>
        <v/>
      </c>
    </row>
    <row r="1729" spans="1:9" x14ac:dyDescent="0.25">
      <c r="A1729" s="203" t="str">
        <f>IF(DATA!M1659="","",DATA!M1659)</f>
        <v/>
      </c>
      <c r="B1729" s="203" t="str">
        <f>IF(DATA!N1659="","",DATA!N1659)</f>
        <v/>
      </c>
      <c r="C1729" s="203" t="str">
        <f>IF(DATA!O1659="","",DATA!O1659)</f>
        <v/>
      </c>
      <c r="D1729" s="203" t="str">
        <f>IF(DATA!P1659="","",DATA!P1659)</f>
        <v/>
      </c>
      <c r="E1729" s="13"/>
      <c r="F1729" s="5" t="str">
        <f t="shared" si="114"/>
        <v/>
      </c>
      <c r="G1729" s="1"/>
      <c r="H1729" s="77">
        <f>IF(G1729="",0,VLOOKUP(G1729,REFCE!A:D,2,FALSE))</f>
        <v>0</v>
      </c>
      <c r="I1729" s="77" t="str">
        <f t="shared" si="115"/>
        <v/>
      </c>
    </row>
    <row r="1730" spans="1:9" x14ac:dyDescent="0.25">
      <c r="A1730" s="203" t="str">
        <f>IF(DATA!M1660="","",DATA!M1660)</f>
        <v/>
      </c>
      <c r="B1730" s="203" t="str">
        <f>IF(DATA!N1660="","",DATA!N1660)</f>
        <v/>
      </c>
      <c r="C1730" s="203" t="str">
        <f>IF(DATA!O1660="","",DATA!O1660)</f>
        <v/>
      </c>
      <c r="D1730" s="203" t="str">
        <f>IF(DATA!P1660="","",DATA!P1660)</f>
        <v/>
      </c>
      <c r="E1730" s="13"/>
      <c r="F1730" s="5" t="str">
        <f t="shared" si="114"/>
        <v/>
      </c>
      <c r="G1730" s="1"/>
      <c r="H1730" s="77">
        <f>IF(G1730="",0,VLOOKUP(G1730,REFCE!A:D,2,FALSE))</f>
        <v>0</v>
      </c>
      <c r="I1730" s="77" t="str">
        <f t="shared" si="115"/>
        <v/>
      </c>
    </row>
    <row r="1731" spans="1:9" x14ac:dyDescent="0.25">
      <c r="A1731" s="203" t="str">
        <f>IF(DATA!M1661="","",DATA!M1661)</f>
        <v/>
      </c>
      <c r="B1731" s="203" t="str">
        <f>IF(DATA!N1661="","",DATA!N1661)</f>
        <v/>
      </c>
      <c r="C1731" s="203" t="str">
        <f>IF(DATA!O1661="","",DATA!O1661)</f>
        <v/>
      </c>
      <c r="D1731" s="203" t="str">
        <f>IF(DATA!P1661="","",DATA!P1661)</f>
        <v/>
      </c>
      <c r="E1731" s="13"/>
      <c r="F1731" s="5" t="str">
        <f t="shared" si="114"/>
        <v/>
      </c>
      <c r="G1731" s="1"/>
      <c r="H1731" s="77">
        <f>IF(G1731="",0,VLOOKUP(G1731,REFCE!A:D,2,FALSE))</f>
        <v>0</v>
      </c>
      <c r="I1731" s="77" t="str">
        <f t="shared" si="115"/>
        <v/>
      </c>
    </row>
    <row r="1732" spans="1:9" x14ac:dyDescent="0.25">
      <c r="A1732" s="203" t="str">
        <f>IF(DATA!M1662="","",DATA!M1662)</f>
        <v/>
      </c>
      <c r="B1732" s="203" t="str">
        <f>IF(DATA!N1662="","",DATA!N1662)</f>
        <v/>
      </c>
      <c r="C1732" s="203" t="str">
        <f>IF(DATA!O1662="","",DATA!O1662)</f>
        <v/>
      </c>
      <c r="D1732" s="203" t="str">
        <f>IF(DATA!P1662="","",DATA!P1662)</f>
        <v/>
      </c>
      <c r="E1732" s="13"/>
      <c r="F1732" s="5" t="str">
        <f t="shared" si="114"/>
        <v/>
      </c>
      <c r="G1732" s="1"/>
      <c r="H1732" s="77">
        <f>IF(G1732="",0,VLOOKUP(G1732,REFCE!A:D,2,FALSE))</f>
        <v>0</v>
      </c>
      <c r="I1732" s="77" t="str">
        <f t="shared" si="115"/>
        <v/>
      </c>
    </row>
    <row r="1733" spans="1:9" x14ac:dyDescent="0.25">
      <c r="A1733" s="203" t="str">
        <f>IF(DATA!M1663="","",DATA!M1663)</f>
        <v/>
      </c>
      <c r="B1733" s="203" t="str">
        <f>IF(DATA!N1663="","",DATA!N1663)</f>
        <v/>
      </c>
      <c r="C1733" s="203" t="str">
        <f>IF(DATA!O1663="","",DATA!O1663)</f>
        <v/>
      </c>
      <c r="D1733" s="203" t="str">
        <f>IF(DATA!P1663="","",DATA!P1663)</f>
        <v/>
      </c>
      <c r="E1733" s="13"/>
      <c r="F1733" s="5" t="str">
        <f t="shared" si="114"/>
        <v/>
      </c>
      <c r="G1733" s="1"/>
      <c r="H1733" s="77">
        <f>IF(G1733="",0,VLOOKUP(G1733,REFCE!A:D,2,FALSE))</f>
        <v>0</v>
      </c>
      <c r="I1733" s="77" t="str">
        <f t="shared" si="115"/>
        <v/>
      </c>
    </row>
    <row r="1734" spans="1:9" x14ac:dyDescent="0.25">
      <c r="A1734" s="203" t="str">
        <f>IF(DATA!M1664="","",DATA!M1664)</f>
        <v/>
      </c>
      <c r="B1734" s="203" t="str">
        <f>IF(DATA!N1664="","",DATA!N1664)</f>
        <v/>
      </c>
      <c r="C1734" s="203" t="str">
        <f>IF(DATA!O1664="","",DATA!O1664)</f>
        <v/>
      </c>
      <c r="D1734" s="203" t="str">
        <f>IF(DATA!P1664="","",DATA!P1664)</f>
        <v/>
      </c>
      <c r="E1734" s="13"/>
      <c r="F1734" s="5" t="str">
        <f t="shared" si="114"/>
        <v/>
      </c>
      <c r="G1734" s="1"/>
      <c r="H1734" s="77">
        <f>IF(G1734="",0,VLOOKUP(G1734,REFCE!A:D,2,FALSE))</f>
        <v>0</v>
      </c>
      <c r="I1734" s="77" t="str">
        <f t="shared" si="115"/>
        <v/>
      </c>
    </row>
    <row r="1735" spans="1:9" x14ac:dyDescent="0.25">
      <c r="A1735" s="203" t="str">
        <f>IF(DATA!M1665="","",DATA!M1665)</f>
        <v/>
      </c>
      <c r="B1735" s="203" t="str">
        <f>IF(DATA!N1665="","",DATA!N1665)</f>
        <v/>
      </c>
      <c r="C1735" s="203" t="str">
        <f>IF(DATA!O1665="","",DATA!O1665)</f>
        <v/>
      </c>
      <c r="D1735" s="203" t="str">
        <f>IF(DATA!P1665="","",DATA!P1665)</f>
        <v/>
      </c>
      <c r="E1735" s="13"/>
      <c r="F1735" s="5" t="str">
        <f t="shared" si="114"/>
        <v/>
      </c>
      <c r="G1735" s="1"/>
      <c r="H1735" s="77">
        <f>IF(G1735="",0,VLOOKUP(G1735,REFCE!A:D,2,FALSE))</f>
        <v>0</v>
      </c>
      <c r="I1735" s="77" t="str">
        <f t="shared" si="115"/>
        <v/>
      </c>
    </row>
    <row r="1736" spans="1:9" x14ac:dyDescent="0.25">
      <c r="A1736" s="203" t="str">
        <f>IF(DATA!M1666="","",DATA!M1666)</f>
        <v/>
      </c>
      <c r="B1736" s="203" t="str">
        <f>IF(DATA!N1666="","",DATA!N1666)</f>
        <v/>
      </c>
      <c r="C1736" s="203" t="str">
        <f>IF(DATA!O1666="","",DATA!O1666)</f>
        <v/>
      </c>
      <c r="D1736" s="203" t="str">
        <f>IF(DATA!P1666="","",DATA!P1666)</f>
        <v/>
      </c>
      <c r="E1736" s="13"/>
      <c r="F1736" s="5" t="str">
        <f t="shared" si="114"/>
        <v/>
      </c>
      <c r="G1736" s="1"/>
      <c r="H1736" s="77">
        <f>IF(G1736="",0,VLOOKUP(G1736,REFCE!A:D,2,FALSE))</f>
        <v>0</v>
      </c>
      <c r="I1736" s="77" t="str">
        <f t="shared" si="115"/>
        <v/>
      </c>
    </row>
    <row r="1737" spans="1:9" x14ac:dyDescent="0.25">
      <c r="A1737" s="203" t="str">
        <f>IF(DATA!M1667="","",DATA!M1667)</f>
        <v/>
      </c>
      <c r="B1737" s="203" t="str">
        <f>IF(DATA!N1667="","",DATA!N1667)</f>
        <v/>
      </c>
      <c r="C1737" s="203" t="str">
        <f>IF(DATA!O1667="","",DATA!O1667)</f>
        <v/>
      </c>
      <c r="D1737" s="203" t="str">
        <f>IF(DATA!P1667="","",DATA!P1667)</f>
        <v/>
      </c>
      <c r="E1737" s="13"/>
      <c r="F1737" s="5" t="str">
        <f t="shared" si="114"/>
        <v/>
      </c>
      <c r="G1737" s="1"/>
      <c r="H1737" s="77">
        <f>IF(G1737="",0,VLOOKUP(G1737,REFCE!A:D,2,FALSE))</f>
        <v>0</v>
      </c>
      <c r="I1737" s="77" t="str">
        <f t="shared" si="115"/>
        <v/>
      </c>
    </row>
    <row r="1738" spans="1:9" x14ac:dyDescent="0.25">
      <c r="A1738" s="203" t="str">
        <f>IF(DATA!M1668="","",DATA!M1668)</f>
        <v/>
      </c>
      <c r="B1738" s="203" t="str">
        <f>IF(DATA!N1668="","",DATA!N1668)</f>
        <v/>
      </c>
      <c r="C1738" s="203" t="str">
        <f>IF(DATA!O1668="","",DATA!O1668)</f>
        <v/>
      </c>
      <c r="D1738" s="203" t="str">
        <f>IF(DATA!P1668="","",DATA!P1668)</f>
        <v/>
      </c>
      <c r="E1738" s="13"/>
      <c r="F1738" s="5" t="str">
        <f t="shared" si="114"/>
        <v/>
      </c>
      <c r="G1738" s="1"/>
      <c r="H1738" s="77">
        <f>IF(G1738="",0,VLOOKUP(G1738,REFCE!A:D,2,FALSE))</f>
        <v>0</v>
      </c>
      <c r="I1738" s="77" t="str">
        <f t="shared" si="115"/>
        <v/>
      </c>
    </row>
    <row r="1739" spans="1:9" x14ac:dyDescent="0.25">
      <c r="A1739" s="203" t="str">
        <f>IF(DATA!M1669="","",DATA!M1669)</f>
        <v/>
      </c>
      <c r="B1739" s="203" t="str">
        <f>IF(DATA!N1669="","",DATA!N1669)</f>
        <v/>
      </c>
      <c r="C1739" s="203" t="str">
        <f>IF(DATA!O1669="","",DATA!O1669)</f>
        <v/>
      </c>
      <c r="D1739" s="203" t="str">
        <f>IF(DATA!P1669="","",DATA!P1669)</f>
        <v/>
      </c>
      <c r="E1739" s="13"/>
      <c r="F1739" s="5" t="str">
        <f t="shared" si="114"/>
        <v/>
      </c>
      <c r="G1739" s="1"/>
      <c r="H1739" s="77">
        <f>IF(G1739="",0,VLOOKUP(G1739,REFCE!A:D,2,FALSE))</f>
        <v>0</v>
      </c>
      <c r="I1739" s="77" t="str">
        <f t="shared" si="115"/>
        <v/>
      </c>
    </row>
    <row r="1740" spans="1:9" x14ac:dyDescent="0.25">
      <c r="A1740" s="203" t="str">
        <f>IF(DATA!M1670="","",DATA!M1670)</f>
        <v/>
      </c>
      <c r="B1740" s="203" t="str">
        <f>IF(DATA!N1670="","",DATA!N1670)</f>
        <v/>
      </c>
      <c r="C1740" s="203" t="str">
        <f>IF(DATA!O1670="","",DATA!O1670)</f>
        <v/>
      </c>
      <c r="D1740" s="203" t="str">
        <f>IF(DATA!P1670="","",DATA!P1670)</f>
        <v/>
      </c>
      <c r="E1740" s="13"/>
      <c r="F1740" s="5" t="str">
        <f t="shared" si="114"/>
        <v/>
      </c>
      <c r="G1740" s="1"/>
      <c r="H1740" s="77">
        <f>IF(G1740="",0,VLOOKUP(G1740,REFCE!A:D,2,FALSE))</f>
        <v>0</v>
      </c>
      <c r="I1740" s="77" t="str">
        <f t="shared" si="115"/>
        <v/>
      </c>
    </row>
    <row r="1741" spans="1:9" x14ac:dyDescent="0.25">
      <c r="A1741" s="203" t="str">
        <f>IF(DATA!M1671="","",DATA!M1671)</f>
        <v/>
      </c>
      <c r="B1741" s="203" t="str">
        <f>IF(DATA!N1671="","",DATA!N1671)</f>
        <v/>
      </c>
      <c r="C1741" s="203" t="str">
        <f>IF(DATA!O1671="","",DATA!O1671)</f>
        <v/>
      </c>
      <c r="D1741" s="203" t="str">
        <f>IF(DATA!P1671="","",DATA!P1671)</f>
        <v/>
      </c>
      <c r="E1741" s="13"/>
      <c r="F1741" s="5" t="str">
        <f t="shared" si="114"/>
        <v/>
      </c>
      <c r="G1741" s="1"/>
      <c r="H1741" s="77">
        <f>IF(G1741="",0,VLOOKUP(G1741,REFCE!A:D,2,FALSE))</f>
        <v>0</v>
      </c>
      <c r="I1741" s="77" t="str">
        <f t="shared" si="115"/>
        <v/>
      </c>
    </row>
    <row r="1742" spans="1:9" x14ac:dyDescent="0.25">
      <c r="A1742" s="203" t="str">
        <f>IF(DATA!M1672="","",DATA!M1672)</f>
        <v/>
      </c>
      <c r="B1742" s="203" t="str">
        <f>IF(DATA!N1672="","",DATA!N1672)</f>
        <v/>
      </c>
      <c r="C1742" s="203" t="str">
        <f>IF(DATA!O1672="","",DATA!O1672)</f>
        <v/>
      </c>
      <c r="D1742" s="203" t="str">
        <f>IF(DATA!P1672="","",DATA!P1672)</f>
        <v/>
      </c>
      <c r="E1742" s="13"/>
      <c r="F1742" s="5" t="str">
        <f t="shared" ref="F1742:F1805" si="116">IF(D1742="","",D1742*E1742)</f>
        <v/>
      </c>
      <c r="G1742" s="1"/>
      <c r="H1742" s="77">
        <f>IF(G1742="",0,VLOOKUP(G1742,REFCE!A:D,2,FALSE))</f>
        <v>0</v>
      </c>
      <c r="I1742" s="77" t="str">
        <f t="shared" ref="I1742:I1805" si="117">IF(F1742="","",F1742*H1742)</f>
        <v/>
      </c>
    </row>
    <row r="1743" spans="1:9" x14ac:dyDescent="0.25">
      <c r="A1743" s="203" t="str">
        <f>IF(DATA!M1673="","",DATA!M1673)</f>
        <v/>
      </c>
      <c r="B1743" s="203" t="str">
        <f>IF(DATA!N1673="","",DATA!N1673)</f>
        <v/>
      </c>
      <c r="C1743" s="203" t="str">
        <f>IF(DATA!O1673="","",DATA!O1673)</f>
        <v/>
      </c>
      <c r="D1743" s="203" t="str">
        <f>IF(DATA!P1673="","",DATA!P1673)</f>
        <v/>
      </c>
      <c r="E1743" s="13"/>
      <c r="F1743" s="5" t="str">
        <f t="shared" si="116"/>
        <v/>
      </c>
      <c r="G1743" s="1"/>
      <c r="H1743" s="77">
        <f>IF(G1743="",0,VLOOKUP(G1743,REFCE!A:D,2,FALSE))</f>
        <v>0</v>
      </c>
      <c r="I1743" s="77" t="str">
        <f t="shared" si="117"/>
        <v/>
      </c>
    </row>
    <row r="1744" spans="1:9" x14ac:dyDescent="0.25">
      <c r="A1744" s="203" t="str">
        <f>IF(DATA!M1674="","",DATA!M1674)</f>
        <v/>
      </c>
      <c r="B1744" s="203" t="str">
        <f>IF(DATA!N1674="","",DATA!N1674)</f>
        <v/>
      </c>
      <c r="C1744" s="203" t="str">
        <f>IF(DATA!O1674="","",DATA!O1674)</f>
        <v/>
      </c>
      <c r="D1744" s="203" t="str">
        <f>IF(DATA!P1674="","",DATA!P1674)</f>
        <v/>
      </c>
      <c r="E1744" s="13"/>
      <c r="F1744" s="5" t="str">
        <f t="shared" si="116"/>
        <v/>
      </c>
      <c r="G1744" s="1"/>
      <c r="H1744" s="77">
        <f>IF(G1744="",0,VLOOKUP(G1744,REFCE!A:D,2,FALSE))</f>
        <v>0</v>
      </c>
      <c r="I1744" s="77" t="str">
        <f t="shared" si="117"/>
        <v/>
      </c>
    </row>
    <row r="1745" spans="1:9" x14ac:dyDescent="0.25">
      <c r="A1745" s="203" t="str">
        <f>IF(DATA!M1675="","",DATA!M1675)</f>
        <v/>
      </c>
      <c r="B1745" s="203" t="str">
        <f>IF(DATA!N1675="","",DATA!N1675)</f>
        <v/>
      </c>
      <c r="C1745" s="203" t="str">
        <f>IF(DATA!O1675="","",DATA!O1675)</f>
        <v/>
      </c>
      <c r="D1745" s="203" t="str">
        <f>IF(DATA!P1675="","",DATA!P1675)</f>
        <v/>
      </c>
      <c r="E1745" s="13"/>
      <c r="F1745" s="5" t="str">
        <f t="shared" si="116"/>
        <v/>
      </c>
      <c r="G1745" s="1"/>
      <c r="H1745" s="77">
        <f>IF(G1745="",0,VLOOKUP(G1745,REFCE!A:D,2,FALSE))</f>
        <v>0</v>
      </c>
      <c r="I1745" s="77" t="str">
        <f t="shared" si="117"/>
        <v/>
      </c>
    </row>
    <row r="1746" spans="1:9" x14ac:dyDescent="0.25">
      <c r="A1746" s="203" t="str">
        <f>IF(DATA!M1676="","",DATA!M1676)</f>
        <v/>
      </c>
      <c r="B1746" s="203" t="str">
        <f>IF(DATA!N1676="","",DATA!N1676)</f>
        <v/>
      </c>
      <c r="C1746" s="203" t="str">
        <f>IF(DATA!O1676="","",DATA!O1676)</f>
        <v/>
      </c>
      <c r="D1746" s="203" t="str">
        <f>IF(DATA!P1676="","",DATA!P1676)</f>
        <v/>
      </c>
      <c r="E1746" s="13"/>
      <c r="F1746" s="5" t="str">
        <f t="shared" si="116"/>
        <v/>
      </c>
      <c r="G1746" s="1"/>
      <c r="H1746" s="77">
        <f>IF(G1746="",0,VLOOKUP(G1746,REFCE!A:D,2,FALSE))</f>
        <v>0</v>
      </c>
      <c r="I1746" s="77" t="str">
        <f t="shared" si="117"/>
        <v/>
      </c>
    </row>
    <row r="1747" spans="1:9" x14ac:dyDescent="0.25">
      <c r="A1747" s="203" t="str">
        <f>IF(DATA!M1677="","",DATA!M1677)</f>
        <v/>
      </c>
      <c r="B1747" s="203" t="str">
        <f>IF(DATA!N1677="","",DATA!N1677)</f>
        <v/>
      </c>
      <c r="C1747" s="203" t="str">
        <f>IF(DATA!O1677="","",DATA!O1677)</f>
        <v/>
      </c>
      <c r="D1747" s="203" t="str">
        <f>IF(DATA!P1677="","",DATA!P1677)</f>
        <v/>
      </c>
      <c r="E1747" s="13"/>
      <c r="F1747" s="5" t="str">
        <f t="shared" si="116"/>
        <v/>
      </c>
      <c r="G1747" s="1"/>
      <c r="H1747" s="77">
        <f>IF(G1747="",0,VLOOKUP(G1747,REFCE!A:D,2,FALSE))</f>
        <v>0</v>
      </c>
      <c r="I1747" s="77" t="str">
        <f t="shared" si="117"/>
        <v/>
      </c>
    </row>
    <row r="1748" spans="1:9" x14ac:dyDescent="0.25">
      <c r="A1748" s="203" t="str">
        <f>IF(DATA!M1678="","",DATA!M1678)</f>
        <v/>
      </c>
      <c r="B1748" s="203" t="str">
        <f>IF(DATA!N1678="","",DATA!N1678)</f>
        <v/>
      </c>
      <c r="C1748" s="203" t="str">
        <f>IF(DATA!O1678="","",DATA!O1678)</f>
        <v/>
      </c>
      <c r="D1748" s="203" t="str">
        <f>IF(DATA!P1678="","",DATA!P1678)</f>
        <v/>
      </c>
      <c r="E1748" s="13"/>
      <c r="F1748" s="5" t="str">
        <f t="shared" si="116"/>
        <v/>
      </c>
      <c r="G1748" s="1"/>
      <c r="H1748" s="77">
        <f>IF(G1748="",0,VLOOKUP(G1748,REFCE!A:D,2,FALSE))</f>
        <v>0</v>
      </c>
      <c r="I1748" s="77" t="str">
        <f t="shared" si="117"/>
        <v/>
      </c>
    </row>
    <row r="1749" spans="1:9" x14ac:dyDescent="0.25">
      <c r="A1749" s="203" t="str">
        <f>IF(DATA!M1679="","",DATA!M1679)</f>
        <v/>
      </c>
      <c r="B1749" s="203" t="str">
        <f>IF(DATA!N1679="","",DATA!N1679)</f>
        <v/>
      </c>
      <c r="C1749" s="203" t="str">
        <f>IF(DATA!O1679="","",DATA!O1679)</f>
        <v/>
      </c>
      <c r="D1749" s="203" t="str">
        <f>IF(DATA!P1679="","",DATA!P1679)</f>
        <v/>
      </c>
      <c r="E1749" s="13"/>
      <c r="F1749" s="5" t="str">
        <f t="shared" si="116"/>
        <v/>
      </c>
      <c r="G1749" s="1"/>
      <c r="H1749" s="77">
        <f>IF(G1749="",0,VLOOKUP(G1749,REFCE!A:D,2,FALSE))</f>
        <v>0</v>
      </c>
      <c r="I1749" s="77" t="str">
        <f t="shared" si="117"/>
        <v/>
      </c>
    </row>
    <row r="1750" spans="1:9" x14ac:dyDescent="0.25">
      <c r="A1750" s="203" t="str">
        <f>IF(DATA!M1680="","",DATA!M1680)</f>
        <v/>
      </c>
      <c r="B1750" s="203" t="str">
        <f>IF(DATA!N1680="","",DATA!N1680)</f>
        <v/>
      </c>
      <c r="C1750" s="203" t="str">
        <f>IF(DATA!O1680="","",DATA!O1680)</f>
        <v/>
      </c>
      <c r="D1750" s="203" t="str">
        <f>IF(DATA!P1680="","",DATA!P1680)</f>
        <v/>
      </c>
      <c r="E1750" s="13"/>
      <c r="F1750" s="5" t="str">
        <f t="shared" si="116"/>
        <v/>
      </c>
      <c r="G1750" s="1"/>
      <c r="H1750" s="77">
        <f>IF(G1750="",0,VLOOKUP(G1750,REFCE!A:D,2,FALSE))</f>
        <v>0</v>
      </c>
      <c r="I1750" s="77" t="str">
        <f t="shared" si="117"/>
        <v/>
      </c>
    </row>
    <row r="1751" spans="1:9" x14ac:dyDescent="0.25">
      <c r="A1751" s="203" t="str">
        <f>IF(DATA!M1681="","",DATA!M1681)</f>
        <v/>
      </c>
      <c r="B1751" s="203" t="str">
        <f>IF(DATA!N1681="","",DATA!N1681)</f>
        <v/>
      </c>
      <c r="C1751" s="203" t="str">
        <f>IF(DATA!O1681="","",DATA!O1681)</f>
        <v/>
      </c>
      <c r="D1751" s="203" t="str">
        <f>IF(DATA!P1681="","",DATA!P1681)</f>
        <v/>
      </c>
      <c r="E1751" s="13"/>
      <c r="F1751" s="5" t="str">
        <f t="shared" si="116"/>
        <v/>
      </c>
      <c r="G1751" s="1"/>
      <c r="H1751" s="77">
        <f>IF(G1751="",0,VLOOKUP(G1751,REFCE!A:D,2,FALSE))</f>
        <v>0</v>
      </c>
      <c r="I1751" s="77" t="str">
        <f t="shared" si="117"/>
        <v/>
      </c>
    </row>
    <row r="1752" spans="1:9" x14ac:dyDescent="0.25">
      <c r="A1752" s="203" t="str">
        <f>IF(DATA!M1682="","",DATA!M1682)</f>
        <v/>
      </c>
      <c r="B1752" s="203" t="str">
        <f>IF(DATA!N1682="","",DATA!N1682)</f>
        <v/>
      </c>
      <c r="C1752" s="203" t="str">
        <f>IF(DATA!O1682="","",DATA!O1682)</f>
        <v/>
      </c>
      <c r="D1752" s="203" t="str">
        <f>IF(DATA!P1682="","",DATA!P1682)</f>
        <v/>
      </c>
      <c r="E1752" s="13"/>
      <c r="F1752" s="5" t="str">
        <f t="shared" si="116"/>
        <v/>
      </c>
      <c r="G1752" s="1"/>
      <c r="H1752" s="77">
        <f>IF(G1752="",0,VLOOKUP(G1752,REFCE!A:D,2,FALSE))</f>
        <v>0</v>
      </c>
      <c r="I1752" s="77" t="str">
        <f t="shared" si="117"/>
        <v/>
      </c>
    </row>
    <row r="1753" spans="1:9" x14ac:dyDescent="0.25">
      <c r="A1753" s="203" t="str">
        <f>IF(DATA!M1683="","",DATA!M1683)</f>
        <v/>
      </c>
      <c r="B1753" s="203" t="str">
        <f>IF(DATA!N1683="","",DATA!N1683)</f>
        <v/>
      </c>
      <c r="C1753" s="203" t="str">
        <f>IF(DATA!O1683="","",DATA!O1683)</f>
        <v/>
      </c>
      <c r="D1753" s="203" t="str">
        <f>IF(DATA!P1683="","",DATA!P1683)</f>
        <v/>
      </c>
      <c r="E1753" s="13"/>
      <c r="F1753" s="5" t="str">
        <f t="shared" si="116"/>
        <v/>
      </c>
      <c r="G1753" s="1"/>
      <c r="H1753" s="77">
        <f>IF(G1753="",0,VLOOKUP(G1753,REFCE!A:D,2,FALSE))</f>
        <v>0</v>
      </c>
      <c r="I1753" s="77" t="str">
        <f t="shared" si="117"/>
        <v/>
      </c>
    </row>
    <row r="1754" spans="1:9" x14ac:dyDescent="0.25">
      <c r="A1754" s="203" t="str">
        <f>IF(DATA!M1684="","",DATA!M1684)</f>
        <v/>
      </c>
      <c r="B1754" s="203" t="str">
        <f>IF(DATA!N1684="","",DATA!N1684)</f>
        <v/>
      </c>
      <c r="C1754" s="203" t="str">
        <f>IF(DATA!O1684="","",DATA!O1684)</f>
        <v/>
      </c>
      <c r="D1754" s="203" t="str">
        <f>IF(DATA!P1684="","",DATA!P1684)</f>
        <v/>
      </c>
      <c r="E1754" s="13"/>
      <c r="F1754" s="5" t="str">
        <f t="shared" si="116"/>
        <v/>
      </c>
      <c r="G1754" s="1"/>
      <c r="H1754" s="77">
        <f>IF(G1754="",0,VLOOKUP(G1754,REFCE!A:D,2,FALSE))</f>
        <v>0</v>
      </c>
      <c r="I1754" s="77" t="str">
        <f t="shared" si="117"/>
        <v/>
      </c>
    </row>
    <row r="1755" spans="1:9" x14ac:dyDescent="0.25">
      <c r="A1755" s="203" t="str">
        <f>IF(DATA!M1685="","",DATA!M1685)</f>
        <v/>
      </c>
      <c r="B1755" s="203" t="str">
        <f>IF(DATA!N1685="","",DATA!N1685)</f>
        <v/>
      </c>
      <c r="C1755" s="203" t="str">
        <f>IF(DATA!O1685="","",DATA!O1685)</f>
        <v/>
      </c>
      <c r="D1755" s="203" t="str">
        <f>IF(DATA!P1685="","",DATA!P1685)</f>
        <v/>
      </c>
      <c r="E1755" s="13"/>
      <c r="F1755" s="5" t="str">
        <f t="shared" si="116"/>
        <v/>
      </c>
      <c r="G1755" s="1"/>
      <c r="H1755" s="77">
        <f>IF(G1755="",0,VLOOKUP(G1755,REFCE!A:D,2,FALSE))</f>
        <v>0</v>
      </c>
      <c r="I1755" s="77" t="str">
        <f t="shared" si="117"/>
        <v/>
      </c>
    </row>
    <row r="1756" spans="1:9" x14ac:dyDescent="0.25">
      <c r="A1756" s="203" t="str">
        <f>IF(DATA!M1686="","",DATA!M1686)</f>
        <v/>
      </c>
      <c r="B1756" s="203" t="str">
        <f>IF(DATA!N1686="","",DATA!N1686)</f>
        <v/>
      </c>
      <c r="C1756" s="203" t="str">
        <f>IF(DATA!O1686="","",DATA!O1686)</f>
        <v/>
      </c>
      <c r="D1756" s="203" t="str">
        <f>IF(DATA!P1686="","",DATA!P1686)</f>
        <v/>
      </c>
      <c r="E1756" s="13"/>
      <c r="F1756" s="5" t="str">
        <f t="shared" si="116"/>
        <v/>
      </c>
      <c r="G1756" s="1"/>
      <c r="H1756" s="77">
        <f>IF(G1756="",0,VLOOKUP(G1756,REFCE!A:D,2,FALSE))</f>
        <v>0</v>
      </c>
      <c r="I1756" s="77" t="str">
        <f t="shared" si="117"/>
        <v/>
      </c>
    </row>
    <row r="1757" spans="1:9" x14ac:dyDescent="0.25">
      <c r="A1757" s="203" t="str">
        <f>IF(DATA!M1687="","",DATA!M1687)</f>
        <v/>
      </c>
      <c r="B1757" s="203" t="str">
        <f>IF(DATA!N1687="","",DATA!N1687)</f>
        <v/>
      </c>
      <c r="C1757" s="203" t="str">
        <f>IF(DATA!O1687="","",DATA!O1687)</f>
        <v/>
      </c>
      <c r="D1757" s="203" t="str">
        <f>IF(DATA!P1687="","",DATA!P1687)</f>
        <v/>
      </c>
      <c r="E1757" s="13"/>
      <c r="F1757" s="5" t="str">
        <f t="shared" si="116"/>
        <v/>
      </c>
      <c r="G1757" s="1"/>
      <c r="H1757" s="77">
        <f>IF(G1757="",0,VLOOKUP(G1757,REFCE!A:D,2,FALSE))</f>
        <v>0</v>
      </c>
      <c r="I1757" s="77" t="str">
        <f t="shared" si="117"/>
        <v/>
      </c>
    </row>
    <row r="1758" spans="1:9" x14ac:dyDescent="0.25">
      <c r="A1758" s="203" t="str">
        <f>IF(DATA!M1688="","",DATA!M1688)</f>
        <v/>
      </c>
      <c r="B1758" s="203" t="str">
        <f>IF(DATA!N1688="","",DATA!N1688)</f>
        <v/>
      </c>
      <c r="C1758" s="203" t="str">
        <f>IF(DATA!O1688="","",DATA!O1688)</f>
        <v/>
      </c>
      <c r="D1758" s="203" t="str">
        <f>IF(DATA!P1688="","",DATA!P1688)</f>
        <v/>
      </c>
      <c r="E1758" s="13"/>
      <c r="F1758" s="5" t="str">
        <f t="shared" si="116"/>
        <v/>
      </c>
      <c r="G1758" s="1"/>
      <c r="H1758" s="77">
        <f>IF(G1758="",0,VLOOKUP(G1758,REFCE!A:D,2,FALSE))</f>
        <v>0</v>
      </c>
      <c r="I1758" s="77" t="str">
        <f t="shared" si="117"/>
        <v/>
      </c>
    </row>
    <row r="1759" spans="1:9" x14ac:dyDescent="0.25">
      <c r="A1759" s="203" t="str">
        <f>IF(DATA!M1689="","",DATA!M1689)</f>
        <v/>
      </c>
      <c r="B1759" s="203" t="str">
        <f>IF(DATA!N1689="","",DATA!N1689)</f>
        <v/>
      </c>
      <c r="C1759" s="203" t="str">
        <f>IF(DATA!O1689="","",DATA!O1689)</f>
        <v/>
      </c>
      <c r="D1759" s="203" t="str">
        <f>IF(DATA!P1689="","",DATA!P1689)</f>
        <v/>
      </c>
      <c r="E1759" s="13"/>
      <c r="F1759" s="5" t="str">
        <f t="shared" si="116"/>
        <v/>
      </c>
      <c r="G1759" s="1"/>
      <c r="H1759" s="77">
        <f>IF(G1759="",0,VLOOKUP(G1759,REFCE!A:D,2,FALSE))</f>
        <v>0</v>
      </c>
      <c r="I1759" s="77" t="str">
        <f t="shared" si="117"/>
        <v/>
      </c>
    </row>
    <row r="1760" spans="1:9" x14ac:dyDescent="0.25">
      <c r="A1760" s="203" t="str">
        <f>IF(DATA!M1690="","",DATA!M1690)</f>
        <v/>
      </c>
      <c r="B1760" s="203" t="str">
        <f>IF(DATA!N1690="","",DATA!N1690)</f>
        <v/>
      </c>
      <c r="C1760" s="203" t="str">
        <f>IF(DATA!O1690="","",DATA!O1690)</f>
        <v/>
      </c>
      <c r="D1760" s="203" t="str">
        <f>IF(DATA!P1690="","",DATA!P1690)</f>
        <v/>
      </c>
      <c r="E1760" s="13"/>
      <c r="F1760" s="5" t="str">
        <f t="shared" si="116"/>
        <v/>
      </c>
      <c r="G1760" s="1"/>
      <c r="H1760" s="77">
        <f>IF(G1760="",0,VLOOKUP(G1760,REFCE!A:D,2,FALSE))</f>
        <v>0</v>
      </c>
      <c r="I1760" s="77" t="str">
        <f t="shared" si="117"/>
        <v/>
      </c>
    </row>
    <row r="1761" spans="1:9" x14ac:dyDescent="0.25">
      <c r="A1761" s="203" t="str">
        <f>IF(DATA!M1691="","",DATA!M1691)</f>
        <v/>
      </c>
      <c r="B1761" s="203" t="str">
        <f>IF(DATA!N1691="","",DATA!N1691)</f>
        <v/>
      </c>
      <c r="C1761" s="203" t="str">
        <f>IF(DATA!O1691="","",DATA!O1691)</f>
        <v/>
      </c>
      <c r="D1761" s="203" t="str">
        <f>IF(DATA!P1691="","",DATA!P1691)</f>
        <v/>
      </c>
      <c r="E1761" s="13"/>
      <c r="F1761" s="5" t="str">
        <f t="shared" si="116"/>
        <v/>
      </c>
      <c r="G1761" s="1"/>
      <c r="H1761" s="77">
        <f>IF(G1761="",0,VLOOKUP(G1761,REFCE!A:D,2,FALSE))</f>
        <v>0</v>
      </c>
      <c r="I1761" s="77" t="str">
        <f t="shared" si="117"/>
        <v/>
      </c>
    </row>
    <row r="1762" spans="1:9" x14ac:dyDescent="0.25">
      <c r="A1762" s="203" t="str">
        <f>IF(DATA!M1692="","",DATA!M1692)</f>
        <v/>
      </c>
      <c r="B1762" s="203" t="str">
        <f>IF(DATA!N1692="","",DATA!N1692)</f>
        <v/>
      </c>
      <c r="C1762" s="203" t="str">
        <f>IF(DATA!O1692="","",DATA!O1692)</f>
        <v/>
      </c>
      <c r="D1762" s="203" t="str">
        <f>IF(DATA!P1692="","",DATA!P1692)</f>
        <v/>
      </c>
      <c r="E1762" s="13"/>
      <c r="F1762" s="5" t="str">
        <f t="shared" si="116"/>
        <v/>
      </c>
      <c r="G1762" s="1"/>
      <c r="H1762" s="77">
        <f>IF(G1762="",0,VLOOKUP(G1762,REFCE!A:D,2,FALSE))</f>
        <v>0</v>
      </c>
      <c r="I1762" s="77" t="str">
        <f t="shared" si="117"/>
        <v/>
      </c>
    </row>
    <row r="1763" spans="1:9" x14ac:dyDescent="0.25">
      <c r="A1763" s="203" t="str">
        <f>IF(DATA!M1693="","",DATA!M1693)</f>
        <v/>
      </c>
      <c r="B1763" s="203" t="str">
        <f>IF(DATA!N1693="","",DATA!N1693)</f>
        <v/>
      </c>
      <c r="C1763" s="203" t="str">
        <f>IF(DATA!O1693="","",DATA!O1693)</f>
        <v/>
      </c>
      <c r="D1763" s="203" t="str">
        <f>IF(DATA!P1693="","",DATA!P1693)</f>
        <v/>
      </c>
      <c r="E1763" s="13"/>
      <c r="F1763" s="5" t="str">
        <f t="shared" si="116"/>
        <v/>
      </c>
      <c r="G1763" s="1"/>
      <c r="H1763" s="77">
        <f>IF(G1763="",0,VLOOKUP(G1763,REFCE!A:D,2,FALSE))</f>
        <v>0</v>
      </c>
      <c r="I1763" s="77" t="str">
        <f t="shared" si="117"/>
        <v/>
      </c>
    </row>
    <row r="1764" spans="1:9" x14ac:dyDescent="0.25">
      <c r="A1764" s="203" t="str">
        <f>IF(DATA!M1694="","",DATA!M1694)</f>
        <v/>
      </c>
      <c r="B1764" s="203" t="str">
        <f>IF(DATA!N1694="","",DATA!N1694)</f>
        <v/>
      </c>
      <c r="C1764" s="203" t="str">
        <f>IF(DATA!O1694="","",DATA!O1694)</f>
        <v/>
      </c>
      <c r="D1764" s="203" t="str">
        <f>IF(DATA!P1694="","",DATA!P1694)</f>
        <v/>
      </c>
      <c r="E1764" s="13"/>
      <c r="F1764" s="5" t="str">
        <f t="shared" si="116"/>
        <v/>
      </c>
      <c r="G1764" s="1"/>
      <c r="H1764" s="77">
        <f>IF(G1764="",0,VLOOKUP(G1764,REFCE!A:D,2,FALSE))</f>
        <v>0</v>
      </c>
      <c r="I1764" s="77" t="str">
        <f t="shared" si="117"/>
        <v/>
      </c>
    </row>
    <row r="1765" spans="1:9" x14ac:dyDescent="0.25">
      <c r="A1765" s="203" t="str">
        <f>IF(DATA!M1695="","",DATA!M1695)</f>
        <v/>
      </c>
      <c r="B1765" s="203" t="str">
        <f>IF(DATA!N1695="","",DATA!N1695)</f>
        <v/>
      </c>
      <c r="C1765" s="203" t="str">
        <f>IF(DATA!O1695="","",DATA!O1695)</f>
        <v/>
      </c>
      <c r="D1765" s="203" t="str">
        <f>IF(DATA!P1695="","",DATA!P1695)</f>
        <v/>
      </c>
      <c r="E1765" s="13"/>
      <c r="F1765" s="5" t="str">
        <f t="shared" si="116"/>
        <v/>
      </c>
      <c r="G1765" s="1"/>
      <c r="H1765" s="77">
        <f>IF(G1765="",0,VLOOKUP(G1765,REFCE!A:D,2,FALSE))</f>
        <v>0</v>
      </c>
      <c r="I1765" s="77" t="str">
        <f t="shared" si="117"/>
        <v/>
      </c>
    </row>
    <row r="1766" spans="1:9" x14ac:dyDescent="0.25">
      <c r="A1766" s="203" t="str">
        <f>IF(DATA!M1696="","",DATA!M1696)</f>
        <v/>
      </c>
      <c r="B1766" s="203" t="str">
        <f>IF(DATA!N1696="","",DATA!N1696)</f>
        <v/>
      </c>
      <c r="C1766" s="203" t="str">
        <f>IF(DATA!O1696="","",DATA!O1696)</f>
        <v/>
      </c>
      <c r="D1766" s="203" t="str">
        <f>IF(DATA!P1696="","",DATA!P1696)</f>
        <v/>
      </c>
      <c r="E1766" s="13"/>
      <c r="F1766" s="5" t="str">
        <f t="shared" si="116"/>
        <v/>
      </c>
      <c r="G1766" s="1"/>
      <c r="H1766" s="77">
        <f>IF(G1766="",0,VLOOKUP(G1766,REFCE!A:D,2,FALSE))</f>
        <v>0</v>
      </c>
      <c r="I1766" s="77" t="str">
        <f t="shared" si="117"/>
        <v/>
      </c>
    </row>
    <row r="1767" spans="1:9" x14ac:dyDescent="0.25">
      <c r="A1767" s="203" t="str">
        <f>IF(DATA!M1697="","",DATA!M1697)</f>
        <v/>
      </c>
      <c r="B1767" s="203" t="str">
        <f>IF(DATA!N1697="","",DATA!N1697)</f>
        <v/>
      </c>
      <c r="C1767" s="203" t="str">
        <f>IF(DATA!O1697="","",DATA!O1697)</f>
        <v/>
      </c>
      <c r="D1767" s="203" t="str">
        <f>IF(DATA!P1697="","",DATA!P1697)</f>
        <v/>
      </c>
      <c r="E1767" s="13"/>
      <c r="F1767" s="5" t="str">
        <f t="shared" si="116"/>
        <v/>
      </c>
      <c r="G1767" s="1"/>
      <c r="H1767" s="77">
        <f>IF(G1767="",0,VLOOKUP(G1767,REFCE!A:D,2,FALSE))</f>
        <v>0</v>
      </c>
      <c r="I1767" s="77" t="str">
        <f t="shared" si="117"/>
        <v/>
      </c>
    </row>
    <row r="1768" spans="1:9" x14ac:dyDescent="0.25">
      <c r="A1768" s="203" t="str">
        <f>IF(DATA!M1698="","",DATA!M1698)</f>
        <v/>
      </c>
      <c r="B1768" s="203" t="str">
        <f>IF(DATA!N1698="","",DATA!N1698)</f>
        <v/>
      </c>
      <c r="C1768" s="203" t="str">
        <f>IF(DATA!O1698="","",DATA!O1698)</f>
        <v/>
      </c>
      <c r="D1768" s="203" t="str">
        <f>IF(DATA!P1698="","",DATA!P1698)</f>
        <v/>
      </c>
      <c r="E1768" s="13"/>
      <c r="F1768" s="5" t="str">
        <f t="shared" si="116"/>
        <v/>
      </c>
      <c r="G1768" s="1"/>
      <c r="H1768" s="77">
        <f>IF(G1768="",0,VLOOKUP(G1768,REFCE!A:D,2,FALSE))</f>
        <v>0</v>
      </c>
      <c r="I1768" s="77" t="str">
        <f t="shared" si="117"/>
        <v/>
      </c>
    </row>
    <row r="1769" spans="1:9" x14ac:dyDescent="0.25">
      <c r="A1769" s="203" t="str">
        <f>IF(DATA!M1699="","",DATA!M1699)</f>
        <v/>
      </c>
      <c r="B1769" s="203" t="str">
        <f>IF(DATA!N1699="","",DATA!N1699)</f>
        <v/>
      </c>
      <c r="C1769" s="203" t="str">
        <f>IF(DATA!O1699="","",DATA!O1699)</f>
        <v/>
      </c>
      <c r="D1769" s="203" t="str">
        <f>IF(DATA!P1699="","",DATA!P1699)</f>
        <v/>
      </c>
      <c r="E1769" s="13"/>
      <c r="F1769" s="5" t="str">
        <f t="shared" si="116"/>
        <v/>
      </c>
      <c r="G1769" s="1"/>
      <c r="H1769" s="77">
        <f>IF(G1769="",0,VLOOKUP(G1769,REFCE!A:D,2,FALSE))</f>
        <v>0</v>
      </c>
      <c r="I1769" s="77" t="str">
        <f t="shared" si="117"/>
        <v/>
      </c>
    </row>
    <row r="1770" spans="1:9" x14ac:dyDescent="0.25">
      <c r="A1770" s="203" t="str">
        <f>IF(DATA!M1700="","",DATA!M1700)</f>
        <v/>
      </c>
      <c r="B1770" s="203" t="str">
        <f>IF(DATA!N1700="","",DATA!N1700)</f>
        <v/>
      </c>
      <c r="C1770" s="203" t="str">
        <f>IF(DATA!O1700="","",DATA!O1700)</f>
        <v/>
      </c>
      <c r="D1770" s="203" t="str">
        <f>IF(DATA!P1700="","",DATA!P1700)</f>
        <v/>
      </c>
      <c r="E1770" s="13"/>
      <c r="F1770" s="5" t="str">
        <f t="shared" si="116"/>
        <v/>
      </c>
      <c r="G1770" s="1"/>
      <c r="H1770" s="77">
        <f>IF(G1770="",0,VLOOKUP(G1770,REFCE!A:D,2,FALSE))</f>
        <v>0</v>
      </c>
      <c r="I1770" s="77" t="str">
        <f t="shared" si="117"/>
        <v/>
      </c>
    </row>
    <row r="1771" spans="1:9" x14ac:dyDescent="0.25">
      <c r="A1771" s="203" t="str">
        <f>IF(DATA!M1701="","",DATA!M1701)</f>
        <v/>
      </c>
      <c r="B1771" s="203" t="str">
        <f>IF(DATA!N1701="","",DATA!N1701)</f>
        <v/>
      </c>
      <c r="C1771" s="203" t="str">
        <f>IF(DATA!O1701="","",DATA!O1701)</f>
        <v/>
      </c>
      <c r="D1771" s="203" t="str">
        <f>IF(DATA!P1701="","",DATA!P1701)</f>
        <v/>
      </c>
      <c r="E1771" s="13"/>
      <c r="F1771" s="5" t="str">
        <f t="shared" si="116"/>
        <v/>
      </c>
      <c r="G1771" s="1"/>
      <c r="H1771" s="77">
        <f>IF(G1771="",0,VLOOKUP(G1771,REFCE!A:D,2,FALSE))</f>
        <v>0</v>
      </c>
      <c r="I1771" s="77" t="str">
        <f t="shared" si="117"/>
        <v/>
      </c>
    </row>
    <row r="1772" spans="1:9" x14ac:dyDescent="0.25">
      <c r="A1772" s="203" t="str">
        <f>IF(DATA!M1702="","",DATA!M1702)</f>
        <v/>
      </c>
      <c r="B1772" s="203" t="str">
        <f>IF(DATA!N1702="","",DATA!N1702)</f>
        <v/>
      </c>
      <c r="C1772" s="203" t="str">
        <f>IF(DATA!O1702="","",DATA!O1702)</f>
        <v/>
      </c>
      <c r="D1772" s="203" t="str">
        <f>IF(DATA!P1702="","",DATA!P1702)</f>
        <v/>
      </c>
      <c r="E1772" s="13"/>
      <c r="F1772" s="5" t="str">
        <f t="shared" si="116"/>
        <v/>
      </c>
      <c r="G1772" s="1"/>
      <c r="H1772" s="77">
        <f>IF(G1772="",0,VLOOKUP(G1772,REFCE!A:D,2,FALSE))</f>
        <v>0</v>
      </c>
      <c r="I1772" s="77" t="str">
        <f t="shared" si="117"/>
        <v/>
      </c>
    </row>
    <row r="1773" spans="1:9" x14ac:dyDescent="0.25">
      <c r="A1773" s="203" t="str">
        <f>IF(DATA!M1703="","",DATA!M1703)</f>
        <v/>
      </c>
      <c r="B1773" s="203" t="str">
        <f>IF(DATA!N1703="","",DATA!N1703)</f>
        <v/>
      </c>
      <c r="C1773" s="203" t="str">
        <f>IF(DATA!O1703="","",DATA!O1703)</f>
        <v/>
      </c>
      <c r="D1773" s="203" t="str">
        <f>IF(DATA!P1703="","",DATA!P1703)</f>
        <v/>
      </c>
      <c r="E1773" s="13"/>
      <c r="F1773" s="5" t="str">
        <f t="shared" si="116"/>
        <v/>
      </c>
      <c r="G1773" s="1"/>
      <c r="H1773" s="77">
        <f>IF(G1773="",0,VLOOKUP(G1773,REFCE!A:D,2,FALSE))</f>
        <v>0</v>
      </c>
      <c r="I1773" s="77" t="str">
        <f t="shared" si="117"/>
        <v/>
      </c>
    </row>
    <row r="1774" spans="1:9" x14ac:dyDescent="0.25">
      <c r="A1774" s="203" t="str">
        <f>IF(DATA!M1704="","",DATA!M1704)</f>
        <v/>
      </c>
      <c r="B1774" s="203" t="str">
        <f>IF(DATA!N1704="","",DATA!N1704)</f>
        <v/>
      </c>
      <c r="C1774" s="203" t="str">
        <f>IF(DATA!O1704="","",DATA!O1704)</f>
        <v/>
      </c>
      <c r="D1774" s="203" t="str">
        <f>IF(DATA!P1704="","",DATA!P1704)</f>
        <v/>
      </c>
      <c r="E1774" s="13"/>
      <c r="F1774" s="5" t="str">
        <f t="shared" si="116"/>
        <v/>
      </c>
      <c r="G1774" s="1"/>
      <c r="H1774" s="77">
        <f>IF(G1774="",0,VLOOKUP(G1774,REFCE!A:D,2,FALSE))</f>
        <v>0</v>
      </c>
      <c r="I1774" s="77" t="str">
        <f t="shared" si="117"/>
        <v/>
      </c>
    </row>
    <row r="1775" spans="1:9" x14ac:dyDescent="0.25">
      <c r="A1775" s="203" t="str">
        <f>IF(DATA!M1705="","",DATA!M1705)</f>
        <v/>
      </c>
      <c r="B1775" s="203" t="str">
        <f>IF(DATA!N1705="","",DATA!N1705)</f>
        <v/>
      </c>
      <c r="C1775" s="203" t="str">
        <f>IF(DATA!O1705="","",DATA!O1705)</f>
        <v/>
      </c>
      <c r="D1775" s="203" t="str">
        <f>IF(DATA!P1705="","",DATA!P1705)</f>
        <v/>
      </c>
      <c r="E1775" s="13"/>
      <c r="F1775" s="5" t="str">
        <f t="shared" si="116"/>
        <v/>
      </c>
      <c r="G1775" s="1"/>
      <c r="H1775" s="77">
        <f>IF(G1775="",0,VLOOKUP(G1775,REFCE!A:D,2,FALSE))</f>
        <v>0</v>
      </c>
      <c r="I1775" s="77" t="str">
        <f t="shared" si="117"/>
        <v/>
      </c>
    </row>
    <row r="1776" spans="1:9" x14ac:dyDescent="0.25">
      <c r="A1776" s="203" t="str">
        <f>IF(DATA!M1706="","",DATA!M1706)</f>
        <v/>
      </c>
      <c r="B1776" s="203" t="str">
        <f>IF(DATA!N1706="","",DATA!N1706)</f>
        <v/>
      </c>
      <c r="C1776" s="203" t="str">
        <f>IF(DATA!O1706="","",DATA!O1706)</f>
        <v/>
      </c>
      <c r="D1776" s="203" t="str">
        <f>IF(DATA!P1706="","",DATA!P1706)</f>
        <v/>
      </c>
      <c r="E1776" s="13"/>
      <c r="F1776" s="5" t="str">
        <f t="shared" si="116"/>
        <v/>
      </c>
      <c r="G1776" s="1"/>
      <c r="H1776" s="77">
        <f>IF(G1776="",0,VLOOKUP(G1776,REFCE!A:D,2,FALSE))</f>
        <v>0</v>
      </c>
      <c r="I1776" s="77" t="str">
        <f t="shared" si="117"/>
        <v/>
      </c>
    </row>
    <row r="1777" spans="1:9" x14ac:dyDescent="0.25">
      <c r="A1777" s="203" t="str">
        <f>IF(DATA!M1707="","",DATA!M1707)</f>
        <v/>
      </c>
      <c r="B1777" s="203" t="str">
        <f>IF(DATA!N1707="","",DATA!N1707)</f>
        <v/>
      </c>
      <c r="C1777" s="203" t="str">
        <f>IF(DATA!O1707="","",DATA!O1707)</f>
        <v/>
      </c>
      <c r="D1777" s="203" t="str">
        <f>IF(DATA!P1707="","",DATA!P1707)</f>
        <v/>
      </c>
      <c r="E1777" s="13"/>
      <c r="F1777" s="5" t="str">
        <f t="shared" si="116"/>
        <v/>
      </c>
      <c r="G1777" s="1"/>
      <c r="H1777" s="77">
        <f>IF(G1777="",0,VLOOKUP(G1777,REFCE!A:D,2,FALSE))</f>
        <v>0</v>
      </c>
      <c r="I1777" s="77" t="str">
        <f t="shared" si="117"/>
        <v/>
      </c>
    </row>
    <row r="1778" spans="1:9" x14ac:dyDescent="0.25">
      <c r="A1778" s="203" t="str">
        <f>IF(DATA!M1708="","",DATA!M1708)</f>
        <v/>
      </c>
      <c r="B1778" s="203" t="str">
        <f>IF(DATA!N1708="","",DATA!N1708)</f>
        <v/>
      </c>
      <c r="C1778" s="203" t="str">
        <f>IF(DATA!O1708="","",DATA!O1708)</f>
        <v/>
      </c>
      <c r="D1778" s="203" t="str">
        <f>IF(DATA!P1708="","",DATA!P1708)</f>
        <v/>
      </c>
      <c r="E1778" s="13"/>
      <c r="F1778" s="5" t="str">
        <f t="shared" si="116"/>
        <v/>
      </c>
      <c r="G1778" s="1"/>
      <c r="H1778" s="77">
        <f>IF(G1778="",0,VLOOKUP(G1778,REFCE!A:D,2,FALSE))</f>
        <v>0</v>
      </c>
      <c r="I1778" s="77" t="str">
        <f t="shared" si="117"/>
        <v/>
      </c>
    </row>
    <row r="1779" spans="1:9" x14ac:dyDescent="0.25">
      <c r="A1779" s="203" t="str">
        <f>IF(DATA!M1709="","",DATA!M1709)</f>
        <v/>
      </c>
      <c r="B1779" s="203" t="str">
        <f>IF(DATA!N1709="","",DATA!N1709)</f>
        <v/>
      </c>
      <c r="C1779" s="203" t="str">
        <f>IF(DATA!O1709="","",DATA!O1709)</f>
        <v/>
      </c>
      <c r="D1779" s="203" t="str">
        <f>IF(DATA!P1709="","",DATA!P1709)</f>
        <v/>
      </c>
      <c r="E1779" s="13"/>
      <c r="F1779" s="5" t="str">
        <f t="shared" si="116"/>
        <v/>
      </c>
      <c r="G1779" s="1"/>
      <c r="H1779" s="77">
        <f>IF(G1779="",0,VLOOKUP(G1779,REFCE!A:D,2,FALSE))</f>
        <v>0</v>
      </c>
      <c r="I1779" s="77" t="str">
        <f t="shared" si="117"/>
        <v/>
      </c>
    </row>
    <row r="1780" spans="1:9" x14ac:dyDescent="0.25">
      <c r="A1780" s="203" t="str">
        <f>IF(DATA!M1710="","",DATA!M1710)</f>
        <v/>
      </c>
      <c r="B1780" s="203" t="str">
        <f>IF(DATA!N1710="","",DATA!N1710)</f>
        <v/>
      </c>
      <c r="C1780" s="203" t="str">
        <f>IF(DATA!O1710="","",DATA!O1710)</f>
        <v/>
      </c>
      <c r="D1780" s="203" t="str">
        <f>IF(DATA!P1710="","",DATA!P1710)</f>
        <v/>
      </c>
      <c r="E1780" s="13"/>
      <c r="F1780" s="5" t="str">
        <f t="shared" si="116"/>
        <v/>
      </c>
      <c r="G1780" s="1"/>
      <c r="H1780" s="77">
        <f>IF(G1780="",0,VLOOKUP(G1780,REFCE!A:D,2,FALSE))</f>
        <v>0</v>
      </c>
      <c r="I1780" s="77" t="str">
        <f t="shared" si="117"/>
        <v/>
      </c>
    </row>
    <row r="1781" spans="1:9" x14ac:dyDescent="0.25">
      <c r="A1781" s="203" t="str">
        <f>IF(DATA!M1711="","",DATA!M1711)</f>
        <v/>
      </c>
      <c r="B1781" s="203" t="str">
        <f>IF(DATA!N1711="","",DATA!N1711)</f>
        <v/>
      </c>
      <c r="C1781" s="203" t="str">
        <f>IF(DATA!O1711="","",DATA!O1711)</f>
        <v/>
      </c>
      <c r="D1781" s="203" t="str">
        <f>IF(DATA!P1711="","",DATA!P1711)</f>
        <v/>
      </c>
      <c r="E1781" s="13"/>
      <c r="F1781" s="5" t="str">
        <f t="shared" si="116"/>
        <v/>
      </c>
      <c r="G1781" s="1"/>
      <c r="H1781" s="77">
        <f>IF(G1781="",0,VLOOKUP(G1781,REFCE!A:D,2,FALSE))</f>
        <v>0</v>
      </c>
      <c r="I1781" s="77" t="str">
        <f t="shared" si="117"/>
        <v/>
      </c>
    </row>
    <row r="1782" spans="1:9" x14ac:dyDescent="0.25">
      <c r="A1782" s="203" t="str">
        <f>IF(DATA!M1712="","",DATA!M1712)</f>
        <v/>
      </c>
      <c r="B1782" s="203" t="str">
        <f>IF(DATA!N1712="","",DATA!N1712)</f>
        <v/>
      </c>
      <c r="C1782" s="203" t="str">
        <f>IF(DATA!O1712="","",DATA!O1712)</f>
        <v/>
      </c>
      <c r="D1782" s="203" t="str">
        <f>IF(DATA!P1712="","",DATA!P1712)</f>
        <v/>
      </c>
      <c r="E1782" s="13"/>
      <c r="F1782" s="5" t="str">
        <f t="shared" si="116"/>
        <v/>
      </c>
      <c r="G1782" s="1"/>
      <c r="H1782" s="77">
        <f>IF(G1782="",0,VLOOKUP(G1782,REFCE!A:D,2,FALSE))</f>
        <v>0</v>
      </c>
      <c r="I1782" s="77" t="str">
        <f t="shared" si="117"/>
        <v/>
      </c>
    </row>
    <row r="1783" spans="1:9" x14ac:dyDescent="0.25">
      <c r="A1783" s="203" t="str">
        <f>IF(DATA!M1713="","",DATA!M1713)</f>
        <v/>
      </c>
      <c r="B1783" s="203" t="str">
        <f>IF(DATA!N1713="","",DATA!N1713)</f>
        <v/>
      </c>
      <c r="C1783" s="203" t="str">
        <f>IF(DATA!O1713="","",DATA!O1713)</f>
        <v/>
      </c>
      <c r="D1783" s="203" t="str">
        <f>IF(DATA!P1713="","",DATA!P1713)</f>
        <v/>
      </c>
      <c r="E1783" s="13"/>
      <c r="F1783" s="5" t="str">
        <f t="shared" si="116"/>
        <v/>
      </c>
      <c r="G1783" s="1"/>
      <c r="H1783" s="77">
        <f>IF(G1783="",0,VLOOKUP(G1783,REFCE!A:D,2,FALSE))</f>
        <v>0</v>
      </c>
      <c r="I1783" s="77" t="str">
        <f t="shared" si="117"/>
        <v/>
      </c>
    </row>
    <row r="1784" spans="1:9" x14ac:dyDescent="0.25">
      <c r="A1784" s="203" t="str">
        <f>IF(DATA!M1714="","",DATA!M1714)</f>
        <v/>
      </c>
      <c r="B1784" s="203" t="str">
        <f>IF(DATA!N1714="","",DATA!N1714)</f>
        <v/>
      </c>
      <c r="C1784" s="203" t="str">
        <f>IF(DATA!O1714="","",DATA!O1714)</f>
        <v/>
      </c>
      <c r="D1784" s="203" t="str">
        <f>IF(DATA!P1714="","",DATA!P1714)</f>
        <v/>
      </c>
      <c r="E1784" s="13"/>
      <c r="F1784" s="5" t="str">
        <f t="shared" si="116"/>
        <v/>
      </c>
      <c r="G1784" s="1"/>
      <c r="H1784" s="77">
        <f>IF(G1784="",0,VLOOKUP(G1784,REFCE!A:D,2,FALSE))</f>
        <v>0</v>
      </c>
      <c r="I1784" s="77" t="str">
        <f t="shared" si="117"/>
        <v/>
      </c>
    </row>
    <row r="1785" spans="1:9" x14ac:dyDescent="0.25">
      <c r="A1785" s="203" t="str">
        <f>IF(DATA!M1715="","",DATA!M1715)</f>
        <v/>
      </c>
      <c r="B1785" s="203" t="str">
        <f>IF(DATA!N1715="","",DATA!N1715)</f>
        <v/>
      </c>
      <c r="C1785" s="203" t="str">
        <f>IF(DATA!O1715="","",DATA!O1715)</f>
        <v/>
      </c>
      <c r="D1785" s="203" t="str">
        <f>IF(DATA!P1715="","",DATA!P1715)</f>
        <v/>
      </c>
      <c r="E1785" s="13"/>
      <c r="F1785" s="5" t="str">
        <f t="shared" si="116"/>
        <v/>
      </c>
      <c r="G1785" s="1"/>
      <c r="H1785" s="77">
        <f>IF(G1785="",0,VLOOKUP(G1785,REFCE!A:D,2,FALSE))</f>
        <v>0</v>
      </c>
      <c r="I1785" s="77" t="str">
        <f t="shared" si="117"/>
        <v/>
      </c>
    </row>
    <row r="1786" spans="1:9" x14ac:dyDescent="0.25">
      <c r="A1786" s="203" t="str">
        <f>IF(DATA!M1716="","",DATA!M1716)</f>
        <v/>
      </c>
      <c r="B1786" s="203" t="str">
        <f>IF(DATA!N1716="","",DATA!N1716)</f>
        <v/>
      </c>
      <c r="C1786" s="203" t="str">
        <f>IF(DATA!O1716="","",DATA!O1716)</f>
        <v/>
      </c>
      <c r="D1786" s="203" t="str">
        <f>IF(DATA!P1716="","",DATA!P1716)</f>
        <v/>
      </c>
      <c r="E1786" s="13"/>
      <c r="F1786" s="5" t="str">
        <f t="shared" si="116"/>
        <v/>
      </c>
      <c r="G1786" s="1"/>
      <c r="H1786" s="77">
        <f>IF(G1786="",0,VLOOKUP(G1786,REFCE!A:D,2,FALSE))</f>
        <v>0</v>
      </c>
      <c r="I1786" s="77" t="str">
        <f t="shared" si="117"/>
        <v/>
      </c>
    </row>
    <row r="1787" spans="1:9" x14ac:dyDescent="0.25">
      <c r="A1787" s="203" t="str">
        <f>IF(DATA!M1717="","",DATA!M1717)</f>
        <v/>
      </c>
      <c r="B1787" s="203" t="str">
        <f>IF(DATA!N1717="","",DATA!N1717)</f>
        <v/>
      </c>
      <c r="C1787" s="203" t="str">
        <f>IF(DATA!O1717="","",DATA!O1717)</f>
        <v/>
      </c>
      <c r="D1787" s="203" t="str">
        <f>IF(DATA!P1717="","",DATA!P1717)</f>
        <v/>
      </c>
      <c r="E1787" s="13"/>
      <c r="F1787" s="5" t="str">
        <f t="shared" si="116"/>
        <v/>
      </c>
      <c r="G1787" s="1"/>
      <c r="H1787" s="77">
        <f>IF(G1787="",0,VLOOKUP(G1787,REFCE!A:D,2,FALSE))</f>
        <v>0</v>
      </c>
      <c r="I1787" s="77" t="str">
        <f t="shared" si="117"/>
        <v/>
      </c>
    </row>
    <row r="1788" spans="1:9" x14ac:dyDescent="0.25">
      <c r="A1788" s="203" t="str">
        <f>IF(DATA!M1718="","",DATA!M1718)</f>
        <v/>
      </c>
      <c r="B1788" s="203" t="str">
        <f>IF(DATA!N1718="","",DATA!N1718)</f>
        <v/>
      </c>
      <c r="C1788" s="203" t="str">
        <f>IF(DATA!O1718="","",DATA!O1718)</f>
        <v/>
      </c>
      <c r="D1788" s="203" t="str">
        <f>IF(DATA!P1718="","",DATA!P1718)</f>
        <v/>
      </c>
      <c r="E1788" s="13"/>
      <c r="F1788" s="5" t="str">
        <f t="shared" si="116"/>
        <v/>
      </c>
      <c r="G1788" s="1"/>
      <c r="H1788" s="77">
        <f>IF(G1788="",0,VLOOKUP(G1788,REFCE!A:D,2,FALSE))</f>
        <v>0</v>
      </c>
      <c r="I1788" s="77" t="str">
        <f t="shared" si="117"/>
        <v/>
      </c>
    </row>
    <row r="1789" spans="1:9" x14ac:dyDescent="0.25">
      <c r="A1789" s="203" t="str">
        <f>IF(DATA!M1719="","",DATA!M1719)</f>
        <v/>
      </c>
      <c r="B1789" s="203" t="str">
        <f>IF(DATA!N1719="","",DATA!N1719)</f>
        <v/>
      </c>
      <c r="C1789" s="203" t="str">
        <f>IF(DATA!O1719="","",DATA!O1719)</f>
        <v/>
      </c>
      <c r="D1789" s="203" t="str">
        <f>IF(DATA!P1719="","",DATA!P1719)</f>
        <v/>
      </c>
      <c r="E1789" s="13"/>
      <c r="F1789" s="5" t="str">
        <f t="shared" si="116"/>
        <v/>
      </c>
      <c r="G1789" s="1"/>
      <c r="H1789" s="77">
        <f>IF(G1789="",0,VLOOKUP(G1789,REFCE!A:D,2,FALSE))</f>
        <v>0</v>
      </c>
      <c r="I1789" s="77" t="str">
        <f t="shared" si="117"/>
        <v/>
      </c>
    </row>
    <row r="1790" spans="1:9" x14ac:dyDescent="0.25">
      <c r="A1790" s="203" t="str">
        <f>IF(DATA!M1720="","",DATA!M1720)</f>
        <v/>
      </c>
      <c r="B1790" s="203" t="str">
        <f>IF(DATA!N1720="","",DATA!N1720)</f>
        <v/>
      </c>
      <c r="C1790" s="203" t="str">
        <f>IF(DATA!O1720="","",DATA!O1720)</f>
        <v/>
      </c>
      <c r="D1790" s="203" t="str">
        <f>IF(DATA!P1720="","",DATA!P1720)</f>
        <v/>
      </c>
      <c r="E1790" s="13"/>
      <c r="F1790" s="5" t="str">
        <f t="shared" si="116"/>
        <v/>
      </c>
      <c r="G1790" s="1"/>
      <c r="H1790" s="77">
        <f>IF(G1790="",0,VLOOKUP(G1790,REFCE!A:D,2,FALSE))</f>
        <v>0</v>
      </c>
      <c r="I1790" s="77" t="str">
        <f t="shared" si="117"/>
        <v/>
      </c>
    </row>
    <row r="1791" spans="1:9" x14ac:dyDescent="0.25">
      <c r="A1791" s="203" t="str">
        <f>IF(DATA!M1721="","",DATA!M1721)</f>
        <v/>
      </c>
      <c r="B1791" s="203" t="str">
        <f>IF(DATA!N1721="","",DATA!N1721)</f>
        <v/>
      </c>
      <c r="C1791" s="203" t="str">
        <f>IF(DATA!O1721="","",DATA!O1721)</f>
        <v/>
      </c>
      <c r="D1791" s="203" t="str">
        <f>IF(DATA!P1721="","",DATA!P1721)</f>
        <v/>
      </c>
      <c r="E1791" s="13"/>
      <c r="F1791" s="5" t="str">
        <f t="shared" si="116"/>
        <v/>
      </c>
      <c r="G1791" s="1"/>
      <c r="H1791" s="77">
        <f>IF(G1791="",0,VLOOKUP(G1791,REFCE!A:D,2,FALSE))</f>
        <v>0</v>
      </c>
      <c r="I1791" s="77" t="str">
        <f t="shared" si="117"/>
        <v/>
      </c>
    </row>
    <row r="1792" spans="1:9" x14ac:dyDescent="0.25">
      <c r="A1792" s="203" t="str">
        <f>IF(DATA!M1722="","",DATA!M1722)</f>
        <v/>
      </c>
      <c r="B1792" s="203" t="str">
        <f>IF(DATA!N1722="","",DATA!N1722)</f>
        <v/>
      </c>
      <c r="C1792" s="203" t="str">
        <f>IF(DATA!O1722="","",DATA!O1722)</f>
        <v/>
      </c>
      <c r="D1792" s="203" t="str">
        <f>IF(DATA!P1722="","",DATA!P1722)</f>
        <v/>
      </c>
      <c r="E1792" s="13"/>
      <c r="F1792" s="5" t="str">
        <f t="shared" si="116"/>
        <v/>
      </c>
      <c r="G1792" s="1"/>
      <c r="H1792" s="77">
        <f>IF(G1792="",0,VLOOKUP(G1792,REFCE!A:D,2,FALSE))</f>
        <v>0</v>
      </c>
      <c r="I1792" s="77" t="str">
        <f t="shared" si="117"/>
        <v/>
      </c>
    </row>
    <row r="1793" spans="1:9" x14ac:dyDescent="0.25">
      <c r="A1793" s="203" t="str">
        <f>IF(DATA!M1723="","",DATA!M1723)</f>
        <v/>
      </c>
      <c r="B1793" s="203" t="str">
        <f>IF(DATA!N1723="","",DATA!N1723)</f>
        <v/>
      </c>
      <c r="C1793" s="203" t="str">
        <f>IF(DATA!O1723="","",DATA!O1723)</f>
        <v/>
      </c>
      <c r="D1793" s="203" t="str">
        <f>IF(DATA!P1723="","",DATA!P1723)</f>
        <v/>
      </c>
      <c r="E1793" s="13"/>
      <c r="F1793" s="5" t="str">
        <f t="shared" si="116"/>
        <v/>
      </c>
      <c r="G1793" s="1"/>
      <c r="H1793" s="77">
        <f>IF(G1793="",0,VLOOKUP(G1793,REFCE!A:D,2,FALSE))</f>
        <v>0</v>
      </c>
      <c r="I1793" s="77" t="str">
        <f t="shared" si="117"/>
        <v/>
      </c>
    </row>
    <row r="1794" spans="1:9" x14ac:dyDescent="0.25">
      <c r="A1794" s="203" t="str">
        <f>IF(DATA!M1724="","",DATA!M1724)</f>
        <v/>
      </c>
      <c r="B1794" s="203" t="str">
        <f>IF(DATA!N1724="","",DATA!N1724)</f>
        <v/>
      </c>
      <c r="C1794" s="203" t="str">
        <f>IF(DATA!O1724="","",DATA!O1724)</f>
        <v/>
      </c>
      <c r="D1794" s="203" t="str">
        <f>IF(DATA!P1724="","",DATA!P1724)</f>
        <v/>
      </c>
      <c r="E1794" s="13"/>
      <c r="F1794" s="5" t="str">
        <f t="shared" si="116"/>
        <v/>
      </c>
      <c r="G1794" s="1"/>
      <c r="H1794" s="77">
        <f>IF(G1794="",0,VLOOKUP(G1794,REFCE!A:D,2,FALSE))</f>
        <v>0</v>
      </c>
      <c r="I1794" s="77" t="str">
        <f t="shared" si="117"/>
        <v/>
      </c>
    </row>
    <row r="1795" spans="1:9" x14ac:dyDescent="0.25">
      <c r="A1795" s="203" t="str">
        <f>IF(DATA!M1725="","",DATA!M1725)</f>
        <v/>
      </c>
      <c r="B1795" s="203" t="str">
        <f>IF(DATA!N1725="","",DATA!N1725)</f>
        <v/>
      </c>
      <c r="C1795" s="203" t="str">
        <f>IF(DATA!O1725="","",DATA!O1725)</f>
        <v/>
      </c>
      <c r="D1795" s="203" t="str">
        <f>IF(DATA!P1725="","",DATA!P1725)</f>
        <v/>
      </c>
      <c r="E1795" s="13"/>
      <c r="F1795" s="5" t="str">
        <f t="shared" si="116"/>
        <v/>
      </c>
      <c r="G1795" s="1"/>
      <c r="H1795" s="77">
        <f>IF(G1795="",0,VLOOKUP(G1795,REFCE!A:D,2,FALSE))</f>
        <v>0</v>
      </c>
      <c r="I1795" s="77" t="str">
        <f t="shared" si="117"/>
        <v/>
      </c>
    </row>
    <row r="1796" spans="1:9" x14ac:dyDescent="0.25">
      <c r="A1796" s="203" t="str">
        <f>IF(DATA!M1726="","",DATA!M1726)</f>
        <v/>
      </c>
      <c r="B1796" s="203" t="str">
        <f>IF(DATA!N1726="","",DATA!N1726)</f>
        <v/>
      </c>
      <c r="C1796" s="203" t="str">
        <f>IF(DATA!O1726="","",DATA!O1726)</f>
        <v/>
      </c>
      <c r="D1796" s="203" t="str">
        <f>IF(DATA!P1726="","",DATA!P1726)</f>
        <v/>
      </c>
      <c r="E1796" s="13"/>
      <c r="F1796" s="5" t="str">
        <f t="shared" si="116"/>
        <v/>
      </c>
      <c r="G1796" s="1"/>
      <c r="H1796" s="77">
        <f>IF(G1796="",0,VLOOKUP(G1796,REFCE!A:D,2,FALSE))</f>
        <v>0</v>
      </c>
      <c r="I1796" s="77" t="str">
        <f t="shared" si="117"/>
        <v/>
      </c>
    </row>
    <row r="1797" spans="1:9" x14ac:dyDescent="0.25">
      <c r="A1797" s="203" t="str">
        <f>IF(DATA!M1727="","",DATA!M1727)</f>
        <v/>
      </c>
      <c r="B1797" s="203" t="str">
        <f>IF(DATA!N1727="","",DATA!N1727)</f>
        <v/>
      </c>
      <c r="C1797" s="203" t="str">
        <f>IF(DATA!O1727="","",DATA!O1727)</f>
        <v/>
      </c>
      <c r="D1797" s="203" t="str">
        <f>IF(DATA!P1727="","",DATA!P1727)</f>
        <v/>
      </c>
      <c r="E1797" s="13"/>
      <c r="F1797" s="5" t="str">
        <f t="shared" si="116"/>
        <v/>
      </c>
      <c r="G1797" s="1"/>
      <c r="H1797" s="77">
        <f>IF(G1797="",0,VLOOKUP(G1797,REFCE!A:D,2,FALSE))</f>
        <v>0</v>
      </c>
      <c r="I1797" s="77" t="str">
        <f t="shared" si="117"/>
        <v/>
      </c>
    </row>
    <row r="1798" spans="1:9" x14ac:dyDescent="0.25">
      <c r="A1798" s="203" t="str">
        <f>IF(DATA!M1728="","",DATA!M1728)</f>
        <v/>
      </c>
      <c r="B1798" s="203" t="str">
        <f>IF(DATA!N1728="","",DATA!N1728)</f>
        <v/>
      </c>
      <c r="C1798" s="203" t="str">
        <f>IF(DATA!O1728="","",DATA!O1728)</f>
        <v/>
      </c>
      <c r="D1798" s="203" t="str">
        <f>IF(DATA!P1728="","",DATA!P1728)</f>
        <v/>
      </c>
      <c r="E1798" s="13"/>
      <c r="F1798" s="5" t="str">
        <f t="shared" si="116"/>
        <v/>
      </c>
      <c r="G1798" s="1"/>
      <c r="H1798" s="77">
        <f>IF(G1798="",0,VLOOKUP(G1798,REFCE!A:D,2,FALSE))</f>
        <v>0</v>
      </c>
      <c r="I1798" s="77" t="str">
        <f t="shared" si="117"/>
        <v/>
      </c>
    </row>
    <row r="1799" spans="1:9" x14ac:dyDescent="0.25">
      <c r="A1799" s="203" t="str">
        <f>IF(DATA!M1729="","",DATA!M1729)</f>
        <v/>
      </c>
      <c r="B1799" s="203" t="str">
        <f>IF(DATA!N1729="","",DATA!N1729)</f>
        <v/>
      </c>
      <c r="C1799" s="203" t="str">
        <f>IF(DATA!O1729="","",DATA!O1729)</f>
        <v/>
      </c>
      <c r="D1799" s="203" t="str">
        <f>IF(DATA!P1729="","",DATA!P1729)</f>
        <v/>
      </c>
      <c r="E1799" s="13"/>
      <c r="F1799" s="5" t="str">
        <f t="shared" si="116"/>
        <v/>
      </c>
      <c r="G1799" s="1"/>
      <c r="H1799" s="77">
        <f>IF(G1799="",0,VLOOKUP(G1799,REFCE!A:D,2,FALSE))</f>
        <v>0</v>
      </c>
      <c r="I1799" s="77" t="str">
        <f t="shared" si="117"/>
        <v/>
      </c>
    </row>
    <row r="1800" spans="1:9" x14ac:dyDescent="0.25">
      <c r="A1800" s="203" t="str">
        <f>IF(DATA!M1730="","",DATA!M1730)</f>
        <v/>
      </c>
      <c r="B1800" s="203" t="str">
        <f>IF(DATA!N1730="","",DATA!N1730)</f>
        <v/>
      </c>
      <c r="C1800" s="203" t="str">
        <f>IF(DATA!O1730="","",DATA!O1730)</f>
        <v/>
      </c>
      <c r="D1800" s="203" t="str">
        <f>IF(DATA!P1730="","",DATA!P1730)</f>
        <v/>
      </c>
      <c r="E1800" s="13"/>
      <c r="F1800" s="5" t="str">
        <f t="shared" si="116"/>
        <v/>
      </c>
      <c r="G1800" s="1"/>
      <c r="H1800" s="77">
        <f>IF(G1800="",0,VLOOKUP(G1800,REFCE!A:D,2,FALSE))</f>
        <v>0</v>
      </c>
      <c r="I1800" s="77" t="str">
        <f t="shared" si="117"/>
        <v/>
      </c>
    </row>
    <row r="1801" spans="1:9" x14ac:dyDescent="0.25">
      <c r="A1801" s="203" t="str">
        <f>IF(DATA!M1731="","",DATA!M1731)</f>
        <v/>
      </c>
      <c r="B1801" s="203" t="str">
        <f>IF(DATA!N1731="","",DATA!N1731)</f>
        <v/>
      </c>
      <c r="C1801" s="203" t="str">
        <f>IF(DATA!O1731="","",DATA!O1731)</f>
        <v/>
      </c>
      <c r="D1801" s="203" t="str">
        <f>IF(DATA!P1731="","",DATA!P1731)</f>
        <v/>
      </c>
      <c r="E1801" s="13"/>
      <c r="F1801" s="5" t="str">
        <f t="shared" si="116"/>
        <v/>
      </c>
      <c r="G1801" s="1"/>
      <c r="H1801" s="77">
        <f>IF(G1801="",0,VLOOKUP(G1801,REFCE!A:D,2,FALSE))</f>
        <v>0</v>
      </c>
      <c r="I1801" s="77" t="str">
        <f t="shared" si="117"/>
        <v/>
      </c>
    </row>
    <row r="1802" spans="1:9" x14ac:dyDescent="0.25">
      <c r="A1802" s="203" t="str">
        <f>IF(DATA!M1732="","",DATA!M1732)</f>
        <v/>
      </c>
      <c r="B1802" s="203" t="str">
        <f>IF(DATA!N1732="","",DATA!N1732)</f>
        <v/>
      </c>
      <c r="C1802" s="203" t="str">
        <f>IF(DATA!O1732="","",DATA!O1732)</f>
        <v/>
      </c>
      <c r="D1802" s="203" t="str">
        <f>IF(DATA!P1732="","",DATA!P1732)</f>
        <v/>
      </c>
      <c r="E1802" s="13"/>
      <c r="F1802" s="5" t="str">
        <f t="shared" si="116"/>
        <v/>
      </c>
      <c r="G1802" s="1"/>
      <c r="H1802" s="77">
        <f>IF(G1802="",0,VLOOKUP(G1802,REFCE!A:D,2,FALSE))</f>
        <v>0</v>
      </c>
      <c r="I1802" s="77" t="str">
        <f t="shared" si="117"/>
        <v/>
      </c>
    </row>
    <row r="1803" spans="1:9" x14ac:dyDescent="0.25">
      <c r="A1803" s="203" t="str">
        <f>IF(DATA!M1733="","",DATA!M1733)</f>
        <v/>
      </c>
      <c r="B1803" s="203" t="str">
        <f>IF(DATA!N1733="","",DATA!N1733)</f>
        <v/>
      </c>
      <c r="C1803" s="203" t="str">
        <f>IF(DATA!O1733="","",DATA!O1733)</f>
        <v/>
      </c>
      <c r="D1803" s="203" t="str">
        <f>IF(DATA!P1733="","",DATA!P1733)</f>
        <v/>
      </c>
      <c r="E1803" s="13"/>
      <c r="F1803" s="5" t="str">
        <f t="shared" si="116"/>
        <v/>
      </c>
      <c r="G1803" s="1"/>
      <c r="H1803" s="77">
        <f>IF(G1803="",0,VLOOKUP(G1803,REFCE!A:D,2,FALSE))</f>
        <v>0</v>
      </c>
      <c r="I1803" s="77" t="str">
        <f t="shared" si="117"/>
        <v/>
      </c>
    </row>
    <row r="1804" spans="1:9" x14ac:dyDescent="0.25">
      <c r="A1804" s="203" t="str">
        <f>IF(DATA!M1734="","",DATA!M1734)</f>
        <v/>
      </c>
      <c r="B1804" s="203" t="str">
        <f>IF(DATA!N1734="","",DATA!N1734)</f>
        <v/>
      </c>
      <c r="C1804" s="203" t="str">
        <f>IF(DATA!O1734="","",DATA!O1734)</f>
        <v/>
      </c>
      <c r="D1804" s="203" t="str">
        <f>IF(DATA!P1734="","",DATA!P1734)</f>
        <v/>
      </c>
      <c r="E1804" s="13"/>
      <c r="F1804" s="5" t="str">
        <f t="shared" si="116"/>
        <v/>
      </c>
      <c r="G1804" s="1"/>
      <c r="H1804" s="77">
        <f>IF(G1804="",0,VLOOKUP(G1804,REFCE!A:D,2,FALSE))</f>
        <v>0</v>
      </c>
      <c r="I1804" s="77" t="str">
        <f t="shared" si="117"/>
        <v/>
      </c>
    </row>
    <row r="1805" spans="1:9" x14ac:dyDescent="0.25">
      <c r="A1805" s="203" t="str">
        <f>IF(DATA!M1735="","",DATA!M1735)</f>
        <v/>
      </c>
      <c r="B1805" s="203" t="str">
        <f>IF(DATA!N1735="","",DATA!N1735)</f>
        <v/>
      </c>
      <c r="C1805" s="203" t="str">
        <f>IF(DATA!O1735="","",DATA!O1735)</f>
        <v/>
      </c>
      <c r="D1805" s="203" t="str">
        <f>IF(DATA!P1735="","",DATA!P1735)</f>
        <v/>
      </c>
      <c r="E1805" s="13"/>
      <c r="F1805" s="5" t="str">
        <f t="shared" si="116"/>
        <v/>
      </c>
      <c r="G1805" s="1"/>
      <c r="H1805" s="77">
        <f>IF(G1805="",0,VLOOKUP(G1805,REFCE!A:D,2,FALSE))</f>
        <v>0</v>
      </c>
      <c r="I1805" s="77" t="str">
        <f t="shared" si="117"/>
        <v/>
      </c>
    </row>
    <row r="1806" spans="1:9" x14ac:dyDescent="0.25">
      <c r="A1806" s="203" t="str">
        <f>IF(DATA!M1736="","",DATA!M1736)</f>
        <v/>
      </c>
      <c r="B1806" s="203" t="str">
        <f>IF(DATA!N1736="","",DATA!N1736)</f>
        <v/>
      </c>
      <c r="C1806" s="203" t="str">
        <f>IF(DATA!O1736="","",DATA!O1736)</f>
        <v/>
      </c>
      <c r="D1806" s="203" t="str">
        <f>IF(DATA!P1736="","",DATA!P1736)</f>
        <v/>
      </c>
      <c r="E1806" s="13"/>
      <c r="F1806" s="5" t="str">
        <f t="shared" ref="F1806:F1869" si="118">IF(D1806="","",D1806*E1806)</f>
        <v/>
      </c>
      <c r="G1806" s="1"/>
      <c r="H1806" s="77">
        <f>IF(G1806="",0,VLOOKUP(G1806,REFCE!A:D,2,FALSE))</f>
        <v>0</v>
      </c>
      <c r="I1806" s="77" t="str">
        <f t="shared" ref="I1806:I1869" si="119">IF(F1806="","",F1806*H1806)</f>
        <v/>
      </c>
    </row>
    <row r="1807" spans="1:9" x14ac:dyDescent="0.25">
      <c r="A1807" s="203" t="str">
        <f>IF(DATA!M1737="","",DATA!M1737)</f>
        <v/>
      </c>
      <c r="B1807" s="203" t="str">
        <f>IF(DATA!N1737="","",DATA!N1737)</f>
        <v/>
      </c>
      <c r="C1807" s="203" t="str">
        <f>IF(DATA!O1737="","",DATA!O1737)</f>
        <v/>
      </c>
      <c r="D1807" s="203" t="str">
        <f>IF(DATA!P1737="","",DATA!P1737)</f>
        <v/>
      </c>
      <c r="E1807" s="13"/>
      <c r="F1807" s="5" t="str">
        <f t="shared" si="118"/>
        <v/>
      </c>
      <c r="G1807" s="1"/>
      <c r="H1807" s="77">
        <f>IF(G1807="",0,VLOOKUP(G1807,REFCE!A:D,2,FALSE))</f>
        <v>0</v>
      </c>
      <c r="I1807" s="77" t="str">
        <f t="shared" si="119"/>
        <v/>
      </c>
    </row>
    <row r="1808" spans="1:9" x14ac:dyDescent="0.25">
      <c r="A1808" s="203" t="str">
        <f>IF(DATA!M1738="","",DATA!M1738)</f>
        <v/>
      </c>
      <c r="B1808" s="203" t="str">
        <f>IF(DATA!N1738="","",DATA!N1738)</f>
        <v/>
      </c>
      <c r="C1808" s="203" t="str">
        <f>IF(DATA!O1738="","",DATA!O1738)</f>
        <v/>
      </c>
      <c r="D1808" s="203" t="str">
        <f>IF(DATA!P1738="","",DATA!P1738)</f>
        <v/>
      </c>
      <c r="E1808" s="13"/>
      <c r="F1808" s="5" t="str">
        <f t="shared" si="118"/>
        <v/>
      </c>
      <c r="G1808" s="1"/>
      <c r="H1808" s="77">
        <f>IF(G1808="",0,VLOOKUP(G1808,REFCE!A:D,2,FALSE))</f>
        <v>0</v>
      </c>
      <c r="I1808" s="77" t="str">
        <f t="shared" si="119"/>
        <v/>
      </c>
    </row>
    <row r="1809" spans="1:9" x14ac:dyDescent="0.25">
      <c r="A1809" s="203" t="str">
        <f>IF(DATA!M1739="","",DATA!M1739)</f>
        <v/>
      </c>
      <c r="B1809" s="203" t="str">
        <f>IF(DATA!N1739="","",DATA!N1739)</f>
        <v/>
      </c>
      <c r="C1809" s="203" t="str">
        <f>IF(DATA!O1739="","",DATA!O1739)</f>
        <v/>
      </c>
      <c r="D1809" s="203" t="str">
        <f>IF(DATA!P1739="","",DATA!P1739)</f>
        <v/>
      </c>
      <c r="E1809" s="13"/>
      <c r="F1809" s="5" t="str">
        <f t="shared" si="118"/>
        <v/>
      </c>
      <c r="G1809" s="1"/>
      <c r="H1809" s="77">
        <f>IF(G1809="",0,VLOOKUP(G1809,REFCE!A:D,2,FALSE))</f>
        <v>0</v>
      </c>
      <c r="I1809" s="77" t="str">
        <f t="shared" si="119"/>
        <v/>
      </c>
    </row>
    <row r="1810" spans="1:9" x14ac:dyDescent="0.25">
      <c r="A1810" s="203" t="str">
        <f>IF(DATA!M1740="","",DATA!M1740)</f>
        <v/>
      </c>
      <c r="B1810" s="203" t="str">
        <f>IF(DATA!N1740="","",DATA!N1740)</f>
        <v/>
      </c>
      <c r="C1810" s="203" t="str">
        <f>IF(DATA!O1740="","",DATA!O1740)</f>
        <v/>
      </c>
      <c r="D1810" s="203" t="str">
        <f>IF(DATA!P1740="","",DATA!P1740)</f>
        <v/>
      </c>
      <c r="E1810" s="13"/>
      <c r="F1810" s="5" t="str">
        <f t="shared" si="118"/>
        <v/>
      </c>
      <c r="G1810" s="1"/>
      <c r="H1810" s="77">
        <f>IF(G1810="",0,VLOOKUP(G1810,REFCE!A:D,2,FALSE))</f>
        <v>0</v>
      </c>
      <c r="I1810" s="77" t="str">
        <f t="shared" si="119"/>
        <v/>
      </c>
    </row>
    <row r="1811" spans="1:9" x14ac:dyDescent="0.25">
      <c r="A1811" s="203" t="str">
        <f>IF(DATA!M1741="","",DATA!M1741)</f>
        <v/>
      </c>
      <c r="B1811" s="203" t="str">
        <f>IF(DATA!N1741="","",DATA!N1741)</f>
        <v/>
      </c>
      <c r="C1811" s="203" t="str">
        <f>IF(DATA!O1741="","",DATA!O1741)</f>
        <v/>
      </c>
      <c r="D1811" s="203" t="str">
        <f>IF(DATA!P1741="","",DATA!P1741)</f>
        <v/>
      </c>
      <c r="E1811" s="13"/>
      <c r="F1811" s="5" t="str">
        <f t="shared" si="118"/>
        <v/>
      </c>
      <c r="G1811" s="1"/>
      <c r="H1811" s="77">
        <f>IF(G1811="",0,VLOOKUP(G1811,REFCE!A:D,2,FALSE))</f>
        <v>0</v>
      </c>
      <c r="I1811" s="77" t="str">
        <f t="shared" si="119"/>
        <v/>
      </c>
    </row>
    <row r="1812" spans="1:9" x14ac:dyDescent="0.25">
      <c r="A1812" s="203" t="str">
        <f>IF(DATA!M1742="","",DATA!M1742)</f>
        <v/>
      </c>
      <c r="B1812" s="203" t="str">
        <f>IF(DATA!N1742="","",DATA!N1742)</f>
        <v/>
      </c>
      <c r="C1812" s="203" t="str">
        <f>IF(DATA!O1742="","",DATA!O1742)</f>
        <v/>
      </c>
      <c r="D1812" s="203" t="str">
        <f>IF(DATA!P1742="","",DATA!P1742)</f>
        <v/>
      </c>
      <c r="E1812" s="13"/>
      <c r="F1812" s="5" t="str">
        <f t="shared" si="118"/>
        <v/>
      </c>
      <c r="G1812" s="1"/>
      <c r="H1812" s="77">
        <f>IF(G1812="",0,VLOOKUP(G1812,REFCE!A:D,2,FALSE))</f>
        <v>0</v>
      </c>
      <c r="I1812" s="77" t="str">
        <f t="shared" si="119"/>
        <v/>
      </c>
    </row>
    <row r="1813" spans="1:9" x14ac:dyDescent="0.25">
      <c r="A1813" s="203" t="str">
        <f>IF(DATA!M1743="","",DATA!M1743)</f>
        <v/>
      </c>
      <c r="B1813" s="203" t="str">
        <f>IF(DATA!N1743="","",DATA!N1743)</f>
        <v/>
      </c>
      <c r="C1813" s="203" t="str">
        <f>IF(DATA!O1743="","",DATA!O1743)</f>
        <v/>
      </c>
      <c r="D1813" s="203" t="str">
        <f>IF(DATA!P1743="","",DATA!P1743)</f>
        <v/>
      </c>
      <c r="E1813" s="13"/>
      <c r="F1813" s="5" t="str">
        <f t="shared" si="118"/>
        <v/>
      </c>
      <c r="G1813" s="1"/>
      <c r="H1813" s="77">
        <f>IF(G1813="",0,VLOOKUP(G1813,REFCE!A:D,2,FALSE))</f>
        <v>0</v>
      </c>
      <c r="I1813" s="77" t="str">
        <f t="shared" si="119"/>
        <v/>
      </c>
    </row>
    <row r="1814" spans="1:9" x14ac:dyDescent="0.25">
      <c r="A1814" s="203" t="str">
        <f>IF(DATA!M1744="","",DATA!M1744)</f>
        <v/>
      </c>
      <c r="B1814" s="203" t="str">
        <f>IF(DATA!N1744="","",DATA!N1744)</f>
        <v/>
      </c>
      <c r="C1814" s="203" t="str">
        <f>IF(DATA!O1744="","",DATA!O1744)</f>
        <v/>
      </c>
      <c r="D1814" s="203" t="str">
        <f>IF(DATA!P1744="","",DATA!P1744)</f>
        <v/>
      </c>
      <c r="E1814" s="13"/>
      <c r="F1814" s="5" t="str">
        <f t="shared" si="118"/>
        <v/>
      </c>
      <c r="G1814" s="1"/>
      <c r="H1814" s="77">
        <f>IF(G1814="",0,VLOOKUP(G1814,REFCE!A:D,2,FALSE))</f>
        <v>0</v>
      </c>
      <c r="I1814" s="77" t="str">
        <f t="shared" si="119"/>
        <v/>
      </c>
    </row>
    <row r="1815" spans="1:9" x14ac:dyDescent="0.25">
      <c r="A1815" s="203" t="str">
        <f>IF(DATA!M1745="","",DATA!M1745)</f>
        <v/>
      </c>
      <c r="B1815" s="203" t="str">
        <f>IF(DATA!N1745="","",DATA!N1745)</f>
        <v/>
      </c>
      <c r="C1815" s="203" t="str">
        <f>IF(DATA!O1745="","",DATA!O1745)</f>
        <v/>
      </c>
      <c r="D1815" s="203" t="str">
        <f>IF(DATA!P1745="","",DATA!P1745)</f>
        <v/>
      </c>
      <c r="E1815" s="13"/>
      <c r="F1815" s="5" t="str">
        <f t="shared" si="118"/>
        <v/>
      </c>
      <c r="G1815" s="1"/>
      <c r="H1815" s="77">
        <f>IF(G1815="",0,VLOOKUP(G1815,REFCE!A:D,2,FALSE))</f>
        <v>0</v>
      </c>
      <c r="I1815" s="77" t="str">
        <f t="shared" si="119"/>
        <v/>
      </c>
    </row>
    <row r="1816" spans="1:9" x14ac:dyDescent="0.25">
      <c r="A1816" s="203" t="str">
        <f>IF(DATA!M1746="","",DATA!M1746)</f>
        <v/>
      </c>
      <c r="B1816" s="203" t="str">
        <f>IF(DATA!N1746="","",DATA!N1746)</f>
        <v/>
      </c>
      <c r="C1816" s="203" t="str">
        <f>IF(DATA!O1746="","",DATA!O1746)</f>
        <v/>
      </c>
      <c r="D1816" s="203" t="str">
        <f>IF(DATA!P1746="","",DATA!P1746)</f>
        <v/>
      </c>
      <c r="E1816" s="13"/>
      <c r="F1816" s="5" t="str">
        <f t="shared" si="118"/>
        <v/>
      </c>
      <c r="G1816" s="1"/>
      <c r="H1816" s="77">
        <f>IF(G1816="",0,VLOOKUP(G1816,REFCE!A:D,2,FALSE))</f>
        <v>0</v>
      </c>
      <c r="I1816" s="77" t="str">
        <f t="shared" si="119"/>
        <v/>
      </c>
    </row>
    <row r="1817" spans="1:9" x14ac:dyDescent="0.25">
      <c r="A1817" s="203" t="str">
        <f>IF(DATA!M1747="","",DATA!M1747)</f>
        <v/>
      </c>
      <c r="B1817" s="203" t="str">
        <f>IF(DATA!N1747="","",DATA!N1747)</f>
        <v/>
      </c>
      <c r="C1817" s="203" t="str">
        <f>IF(DATA!O1747="","",DATA!O1747)</f>
        <v/>
      </c>
      <c r="D1817" s="203" t="str">
        <f>IF(DATA!P1747="","",DATA!P1747)</f>
        <v/>
      </c>
      <c r="E1817" s="13"/>
      <c r="F1817" s="5" t="str">
        <f t="shared" si="118"/>
        <v/>
      </c>
      <c r="G1817" s="1"/>
      <c r="H1817" s="77">
        <f>IF(G1817="",0,VLOOKUP(G1817,REFCE!A:D,2,FALSE))</f>
        <v>0</v>
      </c>
      <c r="I1817" s="77" t="str">
        <f t="shared" si="119"/>
        <v/>
      </c>
    </row>
    <row r="1818" spans="1:9" x14ac:dyDescent="0.25">
      <c r="A1818" s="203" t="str">
        <f>IF(DATA!M1748="","",DATA!M1748)</f>
        <v/>
      </c>
      <c r="B1818" s="203" t="str">
        <f>IF(DATA!N1748="","",DATA!N1748)</f>
        <v/>
      </c>
      <c r="C1818" s="203" t="str">
        <f>IF(DATA!O1748="","",DATA!O1748)</f>
        <v/>
      </c>
      <c r="D1818" s="203" t="str">
        <f>IF(DATA!P1748="","",DATA!P1748)</f>
        <v/>
      </c>
      <c r="E1818" s="13"/>
      <c r="F1818" s="5" t="str">
        <f t="shared" si="118"/>
        <v/>
      </c>
      <c r="G1818" s="1"/>
      <c r="H1818" s="77">
        <f>IF(G1818="",0,VLOOKUP(G1818,REFCE!A:D,2,FALSE))</f>
        <v>0</v>
      </c>
      <c r="I1818" s="77" t="str">
        <f t="shared" si="119"/>
        <v/>
      </c>
    </row>
    <row r="1819" spans="1:9" x14ac:dyDescent="0.25">
      <c r="A1819" s="203" t="str">
        <f>IF(DATA!M1749="","",DATA!M1749)</f>
        <v/>
      </c>
      <c r="B1819" s="203" t="str">
        <f>IF(DATA!N1749="","",DATA!N1749)</f>
        <v/>
      </c>
      <c r="C1819" s="203" t="str">
        <f>IF(DATA!O1749="","",DATA!O1749)</f>
        <v/>
      </c>
      <c r="D1819" s="203" t="str">
        <f>IF(DATA!P1749="","",DATA!P1749)</f>
        <v/>
      </c>
      <c r="E1819" s="13"/>
      <c r="F1819" s="5" t="str">
        <f t="shared" si="118"/>
        <v/>
      </c>
      <c r="G1819" s="1"/>
      <c r="H1819" s="77">
        <f>IF(G1819="",0,VLOOKUP(G1819,REFCE!A:D,2,FALSE))</f>
        <v>0</v>
      </c>
      <c r="I1819" s="77" t="str">
        <f t="shared" si="119"/>
        <v/>
      </c>
    </row>
    <row r="1820" spans="1:9" x14ac:dyDescent="0.25">
      <c r="A1820" s="203" t="str">
        <f>IF(DATA!M1750="","",DATA!M1750)</f>
        <v/>
      </c>
      <c r="B1820" s="203" t="str">
        <f>IF(DATA!N1750="","",DATA!N1750)</f>
        <v/>
      </c>
      <c r="C1820" s="203" t="str">
        <f>IF(DATA!O1750="","",DATA!O1750)</f>
        <v/>
      </c>
      <c r="D1820" s="203" t="str">
        <f>IF(DATA!P1750="","",DATA!P1750)</f>
        <v/>
      </c>
      <c r="E1820" s="13"/>
      <c r="F1820" s="5" t="str">
        <f t="shared" si="118"/>
        <v/>
      </c>
      <c r="G1820" s="1"/>
      <c r="H1820" s="77">
        <f>IF(G1820="",0,VLOOKUP(G1820,REFCE!A:D,2,FALSE))</f>
        <v>0</v>
      </c>
      <c r="I1820" s="77" t="str">
        <f t="shared" si="119"/>
        <v/>
      </c>
    </row>
    <row r="1821" spans="1:9" x14ac:dyDescent="0.25">
      <c r="A1821" s="203" t="str">
        <f>IF(DATA!M1751="","",DATA!M1751)</f>
        <v/>
      </c>
      <c r="B1821" s="203" t="str">
        <f>IF(DATA!N1751="","",DATA!N1751)</f>
        <v/>
      </c>
      <c r="C1821" s="203" t="str">
        <f>IF(DATA!O1751="","",DATA!O1751)</f>
        <v/>
      </c>
      <c r="D1821" s="203" t="str">
        <f>IF(DATA!P1751="","",DATA!P1751)</f>
        <v/>
      </c>
      <c r="E1821" s="13"/>
      <c r="F1821" s="5" t="str">
        <f t="shared" si="118"/>
        <v/>
      </c>
      <c r="G1821" s="1"/>
      <c r="H1821" s="77">
        <f>IF(G1821="",0,VLOOKUP(G1821,REFCE!A:D,2,FALSE))</f>
        <v>0</v>
      </c>
      <c r="I1821" s="77" t="str">
        <f t="shared" si="119"/>
        <v/>
      </c>
    </row>
    <row r="1822" spans="1:9" x14ac:dyDescent="0.25">
      <c r="A1822" s="203" t="str">
        <f>IF(DATA!M1752="","",DATA!M1752)</f>
        <v/>
      </c>
      <c r="B1822" s="203" t="str">
        <f>IF(DATA!N1752="","",DATA!N1752)</f>
        <v/>
      </c>
      <c r="C1822" s="203" t="str">
        <f>IF(DATA!O1752="","",DATA!O1752)</f>
        <v/>
      </c>
      <c r="D1822" s="203" t="str">
        <f>IF(DATA!P1752="","",DATA!P1752)</f>
        <v/>
      </c>
      <c r="E1822" s="13"/>
      <c r="F1822" s="5" t="str">
        <f t="shared" si="118"/>
        <v/>
      </c>
      <c r="G1822" s="1"/>
      <c r="H1822" s="77">
        <f>IF(G1822="",0,VLOOKUP(G1822,REFCE!A:D,2,FALSE))</f>
        <v>0</v>
      </c>
      <c r="I1822" s="77" t="str">
        <f t="shared" si="119"/>
        <v/>
      </c>
    </row>
    <row r="1823" spans="1:9" x14ac:dyDescent="0.25">
      <c r="A1823" s="203" t="str">
        <f>IF(DATA!M1753="","",DATA!M1753)</f>
        <v/>
      </c>
      <c r="B1823" s="203" t="str">
        <f>IF(DATA!N1753="","",DATA!N1753)</f>
        <v/>
      </c>
      <c r="C1823" s="203" t="str">
        <f>IF(DATA!O1753="","",DATA!O1753)</f>
        <v/>
      </c>
      <c r="D1823" s="203" t="str">
        <f>IF(DATA!P1753="","",DATA!P1753)</f>
        <v/>
      </c>
      <c r="E1823" s="13"/>
      <c r="F1823" s="5" t="str">
        <f t="shared" si="118"/>
        <v/>
      </c>
      <c r="G1823" s="1"/>
      <c r="H1823" s="77">
        <f>IF(G1823="",0,VLOOKUP(G1823,REFCE!A:D,2,FALSE))</f>
        <v>0</v>
      </c>
      <c r="I1823" s="77" t="str">
        <f t="shared" si="119"/>
        <v/>
      </c>
    </row>
    <row r="1824" spans="1:9" x14ac:dyDescent="0.25">
      <c r="A1824" s="203" t="str">
        <f>IF(DATA!M1754="","",DATA!M1754)</f>
        <v/>
      </c>
      <c r="B1824" s="203" t="str">
        <f>IF(DATA!N1754="","",DATA!N1754)</f>
        <v/>
      </c>
      <c r="C1824" s="203" t="str">
        <f>IF(DATA!O1754="","",DATA!O1754)</f>
        <v/>
      </c>
      <c r="D1824" s="203" t="str">
        <f>IF(DATA!P1754="","",DATA!P1754)</f>
        <v/>
      </c>
      <c r="E1824" s="13"/>
      <c r="F1824" s="5" t="str">
        <f t="shared" si="118"/>
        <v/>
      </c>
      <c r="G1824" s="1"/>
      <c r="H1824" s="77">
        <f>IF(G1824="",0,VLOOKUP(G1824,REFCE!A:D,2,FALSE))</f>
        <v>0</v>
      </c>
      <c r="I1824" s="77" t="str">
        <f t="shared" si="119"/>
        <v/>
      </c>
    </row>
    <row r="1825" spans="1:9" x14ac:dyDescent="0.25">
      <c r="A1825" s="203" t="str">
        <f>IF(DATA!M1755="","",DATA!M1755)</f>
        <v/>
      </c>
      <c r="B1825" s="203" t="str">
        <f>IF(DATA!N1755="","",DATA!N1755)</f>
        <v/>
      </c>
      <c r="C1825" s="203" t="str">
        <f>IF(DATA!O1755="","",DATA!O1755)</f>
        <v/>
      </c>
      <c r="D1825" s="203" t="str">
        <f>IF(DATA!P1755="","",DATA!P1755)</f>
        <v/>
      </c>
      <c r="E1825" s="13"/>
      <c r="F1825" s="5" t="str">
        <f t="shared" si="118"/>
        <v/>
      </c>
      <c r="G1825" s="1"/>
      <c r="H1825" s="77">
        <f>IF(G1825="",0,VLOOKUP(G1825,REFCE!A:D,2,FALSE))</f>
        <v>0</v>
      </c>
      <c r="I1825" s="77" t="str">
        <f t="shared" si="119"/>
        <v/>
      </c>
    </row>
    <row r="1826" spans="1:9" x14ac:dyDescent="0.25">
      <c r="A1826" s="203" t="str">
        <f>IF(DATA!M1756="","",DATA!M1756)</f>
        <v/>
      </c>
      <c r="B1826" s="203" t="str">
        <f>IF(DATA!N1756="","",DATA!N1756)</f>
        <v/>
      </c>
      <c r="C1826" s="203" t="str">
        <f>IF(DATA!O1756="","",DATA!O1756)</f>
        <v/>
      </c>
      <c r="D1826" s="203" t="str">
        <f>IF(DATA!P1756="","",DATA!P1756)</f>
        <v/>
      </c>
      <c r="E1826" s="13"/>
      <c r="F1826" s="5" t="str">
        <f t="shared" si="118"/>
        <v/>
      </c>
      <c r="G1826" s="1"/>
      <c r="H1826" s="77">
        <f>IF(G1826="",0,VLOOKUP(G1826,REFCE!A:D,2,FALSE))</f>
        <v>0</v>
      </c>
      <c r="I1826" s="77" t="str">
        <f t="shared" si="119"/>
        <v/>
      </c>
    </row>
    <row r="1827" spans="1:9" x14ac:dyDescent="0.25">
      <c r="A1827" s="203" t="str">
        <f>IF(DATA!M1757="","",DATA!M1757)</f>
        <v/>
      </c>
      <c r="B1827" s="203" t="str">
        <f>IF(DATA!N1757="","",DATA!N1757)</f>
        <v/>
      </c>
      <c r="C1827" s="203" t="str">
        <f>IF(DATA!O1757="","",DATA!O1757)</f>
        <v/>
      </c>
      <c r="D1827" s="203" t="str">
        <f>IF(DATA!P1757="","",DATA!P1757)</f>
        <v/>
      </c>
      <c r="E1827" s="13"/>
      <c r="F1827" s="5" t="str">
        <f t="shared" si="118"/>
        <v/>
      </c>
      <c r="G1827" s="1"/>
      <c r="H1827" s="77">
        <f>IF(G1827="",0,VLOOKUP(G1827,REFCE!A:D,2,FALSE))</f>
        <v>0</v>
      </c>
      <c r="I1827" s="77" t="str">
        <f t="shared" si="119"/>
        <v/>
      </c>
    </row>
    <row r="1828" spans="1:9" x14ac:dyDescent="0.25">
      <c r="A1828" s="203" t="str">
        <f>IF(DATA!M1758="","",DATA!M1758)</f>
        <v/>
      </c>
      <c r="B1828" s="203" t="str">
        <f>IF(DATA!N1758="","",DATA!N1758)</f>
        <v/>
      </c>
      <c r="C1828" s="203" t="str">
        <f>IF(DATA!O1758="","",DATA!O1758)</f>
        <v/>
      </c>
      <c r="D1828" s="203" t="str">
        <f>IF(DATA!P1758="","",DATA!P1758)</f>
        <v/>
      </c>
      <c r="E1828" s="13"/>
      <c r="F1828" s="5" t="str">
        <f t="shared" si="118"/>
        <v/>
      </c>
      <c r="G1828" s="1"/>
      <c r="H1828" s="77">
        <f>IF(G1828="",0,VLOOKUP(G1828,REFCE!A:D,2,FALSE))</f>
        <v>0</v>
      </c>
      <c r="I1828" s="77" t="str">
        <f t="shared" si="119"/>
        <v/>
      </c>
    </row>
    <row r="1829" spans="1:9" x14ac:dyDescent="0.25">
      <c r="A1829" s="203" t="str">
        <f>IF(DATA!M1759="","",DATA!M1759)</f>
        <v/>
      </c>
      <c r="B1829" s="203" t="str">
        <f>IF(DATA!N1759="","",DATA!N1759)</f>
        <v/>
      </c>
      <c r="C1829" s="203" t="str">
        <f>IF(DATA!O1759="","",DATA!O1759)</f>
        <v/>
      </c>
      <c r="D1829" s="203" t="str">
        <f>IF(DATA!P1759="","",DATA!P1759)</f>
        <v/>
      </c>
      <c r="E1829" s="13"/>
      <c r="F1829" s="5" t="str">
        <f t="shared" si="118"/>
        <v/>
      </c>
      <c r="G1829" s="1"/>
      <c r="H1829" s="77">
        <f>IF(G1829="",0,VLOOKUP(G1829,REFCE!A:D,2,FALSE))</f>
        <v>0</v>
      </c>
      <c r="I1829" s="77" t="str">
        <f t="shared" si="119"/>
        <v/>
      </c>
    </row>
    <row r="1830" spans="1:9" x14ac:dyDescent="0.25">
      <c r="A1830" s="203" t="str">
        <f>IF(DATA!M1760="","",DATA!M1760)</f>
        <v/>
      </c>
      <c r="B1830" s="203" t="str">
        <f>IF(DATA!N1760="","",DATA!N1760)</f>
        <v/>
      </c>
      <c r="C1830" s="203" t="str">
        <f>IF(DATA!O1760="","",DATA!O1760)</f>
        <v/>
      </c>
      <c r="D1830" s="203" t="str">
        <f>IF(DATA!P1760="","",DATA!P1760)</f>
        <v/>
      </c>
      <c r="E1830" s="13"/>
      <c r="F1830" s="5" t="str">
        <f t="shared" si="118"/>
        <v/>
      </c>
      <c r="G1830" s="1"/>
      <c r="H1830" s="77">
        <f>IF(G1830="",0,VLOOKUP(G1830,REFCE!A:D,2,FALSE))</f>
        <v>0</v>
      </c>
      <c r="I1830" s="77" t="str">
        <f t="shared" si="119"/>
        <v/>
      </c>
    </row>
    <row r="1831" spans="1:9" x14ac:dyDescent="0.25">
      <c r="A1831" s="203" t="str">
        <f>IF(DATA!M1761="","",DATA!M1761)</f>
        <v/>
      </c>
      <c r="B1831" s="203" t="str">
        <f>IF(DATA!N1761="","",DATA!N1761)</f>
        <v/>
      </c>
      <c r="C1831" s="203" t="str">
        <f>IF(DATA!O1761="","",DATA!O1761)</f>
        <v/>
      </c>
      <c r="D1831" s="203" t="str">
        <f>IF(DATA!P1761="","",DATA!P1761)</f>
        <v/>
      </c>
      <c r="E1831" s="13"/>
      <c r="F1831" s="5" t="str">
        <f t="shared" si="118"/>
        <v/>
      </c>
      <c r="G1831" s="1"/>
      <c r="H1831" s="77">
        <f>IF(G1831="",0,VLOOKUP(G1831,REFCE!A:D,2,FALSE))</f>
        <v>0</v>
      </c>
      <c r="I1831" s="77" t="str">
        <f t="shared" si="119"/>
        <v/>
      </c>
    </row>
    <row r="1832" spans="1:9" x14ac:dyDescent="0.25">
      <c r="A1832" s="203" t="str">
        <f>IF(DATA!M1762="","",DATA!M1762)</f>
        <v/>
      </c>
      <c r="B1832" s="203" t="str">
        <f>IF(DATA!N1762="","",DATA!N1762)</f>
        <v/>
      </c>
      <c r="C1832" s="203" t="str">
        <f>IF(DATA!O1762="","",DATA!O1762)</f>
        <v/>
      </c>
      <c r="D1832" s="203" t="str">
        <f>IF(DATA!P1762="","",DATA!P1762)</f>
        <v/>
      </c>
      <c r="E1832" s="13"/>
      <c r="F1832" s="5" t="str">
        <f t="shared" si="118"/>
        <v/>
      </c>
      <c r="G1832" s="1"/>
      <c r="H1832" s="77">
        <f>IF(G1832="",0,VLOOKUP(G1832,REFCE!A:D,2,FALSE))</f>
        <v>0</v>
      </c>
      <c r="I1832" s="77" t="str">
        <f t="shared" si="119"/>
        <v/>
      </c>
    </row>
    <row r="1833" spans="1:9" x14ac:dyDescent="0.25">
      <c r="A1833" s="203" t="str">
        <f>IF(DATA!M1763="","",DATA!M1763)</f>
        <v/>
      </c>
      <c r="B1833" s="203" t="str">
        <f>IF(DATA!N1763="","",DATA!N1763)</f>
        <v/>
      </c>
      <c r="C1833" s="203" t="str">
        <f>IF(DATA!O1763="","",DATA!O1763)</f>
        <v/>
      </c>
      <c r="D1833" s="203" t="str">
        <f>IF(DATA!P1763="","",DATA!P1763)</f>
        <v/>
      </c>
      <c r="E1833" s="13"/>
      <c r="F1833" s="5" t="str">
        <f t="shared" si="118"/>
        <v/>
      </c>
      <c r="G1833" s="1"/>
      <c r="H1833" s="77">
        <f>IF(G1833="",0,VLOOKUP(G1833,REFCE!A:D,2,FALSE))</f>
        <v>0</v>
      </c>
      <c r="I1833" s="77" t="str">
        <f t="shared" si="119"/>
        <v/>
      </c>
    </row>
    <row r="1834" spans="1:9" x14ac:dyDescent="0.25">
      <c r="A1834" s="203" t="str">
        <f>IF(DATA!M1764="","",DATA!M1764)</f>
        <v/>
      </c>
      <c r="B1834" s="203" t="str">
        <f>IF(DATA!N1764="","",DATA!N1764)</f>
        <v/>
      </c>
      <c r="C1834" s="203" t="str">
        <f>IF(DATA!O1764="","",DATA!O1764)</f>
        <v/>
      </c>
      <c r="D1834" s="203" t="str">
        <f>IF(DATA!P1764="","",DATA!P1764)</f>
        <v/>
      </c>
      <c r="E1834" s="13"/>
      <c r="F1834" s="5" t="str">
        <f t="shared" si="118"/>
        <v/>
      </c>
      <c r="G1834" s="1"/>
      <c r="H1834" s="77">
        <f>IF(G1834="",0,VLOOKUP(G1834,REFCE!A:D,2,FALSE))</f>
        <v>0</v>
      </c>
      <c r="I1834" s="77" t="str">
        <f t="shared" si="119"/>
        <v/>
      </c>
    </row>
    <row r="1835" spans="1:9" x14ac:dyDescent="0.25">
      <c r="A1835" s="203" t="str">
        <f>IF(DATA!M1765="","",DATA!M1765)</f>
        <v/>
      </c>
      <c r="B1835" s="203" t="str">
        <f>IF(DATA!N1765="","",DATA!N1765)</f>
        <v/>
      </c>
      <c r="C1835" s="203" t="str">
        <f>IF(DATA!O1765="","",DATA!O1765)</f>
        <v/>
      </c>
      <c r="D1835" s="203" t="str">
        <f>IF(DATA!P1765="","",DATA!P1765)</f>
        <v/>
      </c>
      <c r="E1835" s="13"/>
      <c r="F1835" s="5" t="str">
        <f t="shared" si="118"/>
        <v/>
      </c>
      <c r="G1835" s="1"/>
      <c r="H1835" s="77">
        <f>IF(G1835="",0,VLOOKUP(G1835,REFCE!A:D,2,FALSE))</f>
        <v>0</v>
      </c>
      <c r="I1835" s="77" t="str">
        <f t="shared" si="119"/>
        <v/>
      </c>
    </row>
    <row r="1836" spans="1:9" x14ac:dyDescent="0.25">
      <c r="A1836" s="203" t="str">
        <f>IF(DATA!M1766="","",DATA!M1766)</f>
        <v/>
      </c>
      <c r="B1836" s="203" t="str">
        <f>IF(DATA!N1766="","",DATA!N1766)</f>
        <v/>
      </c>
      <c r="C1836" s="203" t="str">
        <f>IF(DATA!O1766="","",DATA!O1766)</f>
        <v/>
      </c>
      <c r="D1836" s="203" t="str">
        <f>IF(DATA!P1766="","",DATA!P1766)</f>
        <v/>
      </c>
      <c r="E1836" s="13"/>
      <c r="F1836" s="5" t="str">
        <f t="shared" si="118"/>
        <v/>
      </c>
      <c r="G1836" s="1"/>
      <c r="H1836" s="77">
        <f>IF(G1836="",0,VLOOKUP(G1836,REFCE!A:D,2,FALSE))</f>
        <v>0</v>
      </c>
      <c r="I1836" s="77" t="str">
        <f t="shared" si="119"/>
        <v/>
      </c>
    </row>
    <row r="1837" spans="1:9" x14ac:dyDescent="0.25">
      <c r="A1837" s="203" t="str">
        <f>IF(DATA!M1767="","",DATA!M1767)</f>
        <v/>
      </c>
      <c r="B1837" s="203" t="str">
        <f>IF(DATA!N1767="","",DATA!N1767)</f>
        <v/>
      </c>
      <c r="C1837" s="203" t="str">
        <f>IF(DATA!O1767="","",DATA!O1767)</f>
        <v/>
      </c>
      <c r="D1837" s="203" t="str">
        <f>IF(DATA!P1767="","",DATA!P1767)</f>
        <v/>
      </c>
      <c r="E1837" s="13"/>
      <c r="F1837" s="5" t="str">
        <f t="shared" si="118"/>
        <v/>
      </c>
      <c r="G1837" s="1"/>
      <c r="H1837" s="77">
        <f>IF(G1837="",0,VLOOKUP(G1837,REFCE!A:D,2,FALSE))</f>
        <v>0</v>
      </c>
      <c r="I1837" s="77" t="str">
        <f t="shared" si="119"/>
        <v/>
      </c>
    </row>
    <row r="1838" spans="1:9" x14ac:dyDescent="0.25">
      <c r="A1838" s="203" t="str">
        <f>IF(DATA!M1768="","",DATA!M1768)</f>
        <v/>
      </c>
      <c r="B1838" s="203" t="str">
        <f>IF(DATA!N1768="","",DATA!N1768)</f>
        <v/>
      </c>
      <c r="C1838" s="203" t="str">
        <f>IF(DATA!O1768="","",DATA!O1768)</f>
        <v/>
      </c>
      <c r="D1838" s="203" t="str">
        <f>IF(DATA!P1768="","",DATA!P1768)</f>
        <v/>
      </c>
      <c r="E1838" s="13"/>
      <c r="F1838" s="5" t="str">
        <f t="shared" si="118"/>
        <v/>
      </c>
      <c r="G1838" s="1"/>
      <c r="H1838" s="77">
        <f>IF(G1838="",0,VLOOKUP(G1838,REFCE!A:D,2,FALSE))</f>
        <v>0</v>
      </c>
      <c r="I1838" s="77" t="str">
        <f t="shared" si="119"/>
        <v/>
      </c>
    </row>
    <row r="1839" spans="1:9" x14ac:dyDescent="0.25">
      <c r="A1839" s="203" t="str">
        <f>IF(DATA!M1769="","",DATA!M1769)</f>
        <v/>
      </c>
      <c r="B1839" s="203" t="str">
        <f>IF(DATA!N1769="","",DATA!N1769)</f>
        <v/>
      </c>
      <c r="C1839" s="203" t="str">
        <f>IF(DATA!O1769="","",DATA!O1769)</f>
        <v/>
      </c>
      <c r="D1839" s="203" t="str">
        <f>IF(DATA!P1769="","",DATA!P1769)</f>
        <v/>
      </c>
      <c r="E1839" s="13"/>
      <c r="F1839" s="5" t="str">
        <f t="shared" si="118"/>
        <v/>
      </c>
      <c r="G1839" s="1"/>
      <c r="H1839" s="77">
        <f>IF(G1839="",0,VLOOKUP(G1839,REFCE!A:D,2,FALSE))</f>
        <v>0</v>
      </c>
      <c r="I1839" s="77" t="str">
        <f t="shared" si="119"/>
        <v/>
      </c>
    </row>
    <row r="1840" spans="1:9" x14ac:dyDescent="0.25">
      <c r="A1840" s="203" t="str">
        <f>IF(DATA!M1770="","",DATA!M1770)</f>
        <v/>
      </c>
      <c r="B1840" s="203" t="str">
        <f>IF(DATA!N1770="","",DATA!N1770)</f>
        <v/>
      </c>
      <c r="C1840" s="203" t="str">
        <f>IF(DATA!O1770="","",DATA!O1770)</f>
        <v/>
      </c>
      <c r="D1840" s="203" t="str">
        <f>IF(DATA!P1770="","",DATA!P1770)</f>
        <v/>
      </c>
      <c r="E1840" s="13"/>
      <c r="F1840" s="5" t="str">
        <f t="shared" si="118"/>
        <v/>
      </c>
      <c r="G1840" s="1"/>
      <c r="H1840" s="77">
        <f>IF(G1840="",0,VLOOKUP(G1840,REFCE!A:D,2,FALSE))</f>
        <v>0</v>
      </c>
      <c r="I1840" s="77" t="str">
        <f t="shared" si="119"/>
        <v/>
      </c>
    </row>
    <row r="1841" spans="1:9" x14ac:dyDescent="0.25">
      <c r="A1841" s="203" t="str">
        <f>IF(DATA!M1771="","",DATA!M1771)</f>
        <v/>
      </c>
      <c r="B1841" s="203" t="str">
        <f>IF(DATA!N1771="","",DATA!N1771)</f>
        <v/>
      </c>
      <c r="C1841" s="203" t="str">
        <f>IF(DATA!O1771="","",DATA!O1771)</f>
        <v/>
      </c>
      <c r="D1841" s="203" t="str">
        <f>IF(DATA!P1771="","",DATA!P1771)</f>
        <v/>
      </c>
      <c r="E1841" s="13"/>
      <c r="F1841" s="5" t="str">
        <f t="shared" si="118"/>
        <v/>
      </c>
      <c r="G1841" s="1"/>
      <c r="H1841" s="77">
        <f>IF(G1841="",0,VLOOKUP(G1841,REFCE!A:D,2,FALSE))</f>
        <v>0</v>
      </c>
      <c r="I1841" s="77" t="str">
        <f t="shared" si="119"/>
        <v/>
      </c>
    </row>
    <row r="1842" spans="1:9" x14ac:dyDescent="0.25">
      <c r="A1842" s="203" t="str">
        <f>IF(DATA!M1772="","",DATA!M1772)</f>
        <v/>
      </c>
      <c r="B1842" s="203" t="str">
        <f>IF(DATA!N1772="","",DATA!N1772)</f>
        <v/>
      </c>
      <c r="C1842" s="203" t="str">
        <f>IF(DATA!O1772="","",DATA!O1772)</f>
        <v/>
      </c>
      <c r="D1842" s="203" t="str">
        <f>IF(DATA!P1772="","",DATA!P1772)</f>
        <v/>
      </c>
      <c r="E1842" s="13"/>
      <c r="F1842" s="5" t="str">
        <f t="shared" si="118"/>
        <v/>
      </c>
      <c r="G1842" s="1"/>
      <c r="H1842" s="77">
        <f>IF(G1842="",0,VLOOKUP(G1842,REFCE!A:D,2,FALSE))</f>
        <v>0</v>
      </c>
      <c r="I1842" s="77" t="str">
        <f t="shared" si="119"/>
        <v/>
      </c>
    </row>
    <row r="1843" spans="1:9" x14ac:dyDescent="0.25">
      <c r="A1843" s="203" t="str">
        <f>IF(DATA!M1773="","",DATA!M1773)</f>
        <v/>
      </c>
      <c r="B1843" s="203" t="str">
        <f>IF(DATA!N1773="","",DATA!N1773)</f>
        <v/>
      </c>
      <c r="C1843" s="203" t="str">
        <f>IF(DATA!O1773="","",DATA!O1773)</f>
        <v/>
      </c>
      <c r="D1843" s="203" t="str">
        <f>IF(DATA!P1773="","",DATA!P1773)</f>
        <v/>
      </c>
      <c r="E1843" s="13"/>
      <c r="F1843" s="5" t="str">
        <f t="shared" si="118"/>
        <v/>
      </c>
      <c r="G1843" s="1"/>
      <c r="H1843" s="77">
        <f>IF(G1843="",0,VLOOKUP(G1843,REFCE!A:D,2,FALSE))</f>
        <v>0</v>
      </c>
      <c r="I1843" s="77" t="str">
        <f t="shared" si="119"/>
        <v/>
      </c>
    </row>
    <row r="1844" spans="1:9" x14ac:dyDescent="0.25">
      <c r="A1844" s="203" t="str">
        <f>IF(DATA!M1774="","",DATA!M1774)</f>
        <v/>
      </c>
      <c r="B1844" s="203" t="str">
        <f>IF(DATA!N1774="","",DATA!N1774)</f>
        <v/>
      </c>
      <c r="C1844" s="203" t="str">
        <f>IF(DATA!O1774="","",DATA!O1774)</f>
        <v/>
      </c>
      <c r="D1844" s="203" t="str">
        <f>IF(DATA!P1774="","",DATA!P1774)</f>
        <v/>
      </c>
      <c r="E1844" s="13"/>
      <c r="F1844" s="5" t="str">
        <f t="shared" si="118"/>
        <v/>
      </c>
      <c r="G1844" s="1"/>
      <c r="H1844" s="77">
        <f>IF(G1844="",0,VLOOKUP(G1844,REFCE!A:D,2,FALSE))</f>
        <v>0</v>
      </c>
      <c r="I1844" s="77" t="str">
        <f t="shared" si="119"/>
        <v/>
      </c>
    </row>
    <row r="1845" spans="1:9" x14ac:dyDescent="0.25">
      <c r="A1845" s="203" t="str">
        <f>IF(DATA!M1775="","",DATA!M1775)</f>
        <v/>
      </c>
      <c r="B1845" s="203" t="str">
        <f>IF(DATA!N1775="","",DATA!N1775)</f>
        <v/>
      </c>
      <c r="C1845" s="203" t="str">
        <f>IF(DATA!O1775="","",DATA!O1775)</f>
        <v/>
      </c>
      <c r="D1845" s="203" t="str">
        <f>IF(DATA!P1775="","",DATA!P1775)</f>
        <v/>
      </c>
      <c r="E1845" s="13"/>
      <c r="F1845" s="5" t="str">
        <f t="shared" si="118"/>
        <v/>
      </c>
      <c r="G1845" s="1"/>
      <c r="H1845" s="77">
        <f>IF(G1845="",0,VLOOKUP(G1845,REFCE!A:D,2,FALSE))</f>
        <v>0</v>
      </c>
      <c r="I1845" s="77" t="str">
        <f t="shared" si="119"/>
        <v/>
      </c>
    </row>
    <row r="1846" spans="1:9" x14ac:dyDescent="0.25">
      <c r="A1846" s="203" t="str">
        <f>IF(DATA!M1776="","",DATA!M1776)</f>
        <v/>
      </c>
      <c r="B1846" s="203" t="str">
        <f>IF(DATA!N1776="","",DATA!N1776)</f>
        <v/>
      </c>
      <c r="C1846" s="203" t="str">
        <f>IF(DATA!O1776="","",DATA!O1776)</f>
        <v/>
      </c>
      <c r="D1846" s="203" t="str">
        <f>IF(DATA!P1776="","",DATA!P1776)</f>
        <v/>
      </c>
      <c r="E1846" s="13"/>
      <c r="F1846" s="5" t="str">
        <f t="shared" si="118"/>
        <v/>
      </c>
      <c r="G1846" s="1"/>
      <c r="H1846" s="77">
        <f>IF(G1846="",0,VLOOKUP(G1846,REFCE!A:D,2,FALSE))</f>
        <v>0</v>
      </c>
      <c r="I1846" s="77" t="str">
        <f t="shared" si="119"/>
        <v/>
      </c>
    </row>
    <row r="1847" spans="1:9" x14ac:dyDescent="0.25">
      <c r="A1847" s="203" t="str">
        <f>IF(DATA!M1777="","",DATA!M1777)</f>
        <v/>
      </c>
      <c r="B1847" s="203" t="str">
        <f>IF(DATA!N1777="","",DATA!N1777)</f>
        <v/>
      </c>
      <c r="C1847" s="203" t="str">
        <f>IF(DATA!O1777="","",DATA!O1777)</f>
        <v/>
      </c>
      <c r="D1847" s="203" t="str">
        <f>IF(DATA!P1777="","",DATA!P1777)</f>
        <v/>
      </c>
      <c r="E1847" s="13"/>
      <c r="F1847" s="5" t="str">
        <f t="shared" si="118"/>
        <v/>
      </c>
      <c r="G1847" s="1"/>
      <c r="H1847" s="77">
        <f>IF(G1847="",0,VLOOKUP(G1847,REFCE!A:D,2,FALSE))</f>
        <v>0</v>
      </c>
      <c r="I1847" s="77" t="str">
        <f t="shared" si="119"/>
        <v/>
      </c>
    </row>
    <row r="1848" spans="1:9" x14ac:dyDescent="0.25">
      <c r="A1848" s="203" t="str">
        <f>IF(DATA!M1778="","",DATA!M1778)</f>
        <v/>
      </c>
      <c r="B1848" s="203" t="str">
        <f>IF(DATA!N1778="","",DATA!N1778)</f>
        <v/>
      </c>
      <c r="C1848" s="203" t="str">
        <f>IF(DATA!O1778="","",DATA!O1778)</f>
        <v/>
      </c>
      <c r="D1848" s="203" t="str">
        <f>IF(DATA!P1778="","",DATA!P1778)</f>
        <v/>
      </c>
      <c r="E1848" s="13"/>
      <c r="F1848" s="5" t="str">
        <f t="shared" si="118"/>
        <v/>
      </c>
      <c r="G1848" s="1"/>
      <c r="H1848" s="77">
        <f>IF(G1848="",0,VLOOKUP(G1848,REFCE!A:D,2,FALSE))</f>
        <v>0</v>
      </c>
      <c r="I1848" s="77" t="str">
        <f t="shared" si="119"/>
        <v/>
      </c>
    </row>
    <row r="1849" spans="1:9" x14ac:dyDescent="0.25">
      <c r="A1849" s="203" t="str">
        <f>IF(DATA!M1779="","",DATA!M1779)</f>
        <v/>
      </c>
      <c r="B1849" s="203" t="str">
        <f>IF(DATA!N1779="","",DATA!N1779)</f>
        <v/>
      </c>
      <c r="C1849" s="203" t="str">
        <f>IF(DATA!O1779="","",DATA!O1779)</f>
        <v/>
      </c>
      <c r="D1849" s="203" t="str">
        <f>IF(DATA!P1779="","",DATA!P1779)</f>
        <v/>
      </c>
      <c r="E1849" s="13"/>
      <c r="F1849" s="5" t="str">
        <f t="shared" si="118"/>
        <v/>
      </c>
      <c r="G1849" s="1"/>
      <c r="H1849" s="77">
        <f>IF(G1849="",0,VLOOKUP(G1849,REFCE!A:D,2,FALSE))</f>
        <v>0</v>
      </c>
      <c r="I1849" s="77" t="str">
        <f t="shared" si="119"/>
        <v/>
      </c>
    </row>
    <row r="1850" spans="1:9" x14ac:dyDescent="0.25">
      <c r="A1850" s="203" t="str">
        <f>IF(DATA!M1780="","",DATA!M1780)</f>
        <v/>
      </c>
      <c r="B1850" s="203" t="str">
        <f>IF(DATA!N1780="","",DATA!N1780)</f>
        <v/>
      </c>
      <c r="C1850" s="203" t="str">
        <f>IF(DATA!O1780="","",DATA!O1780)</f>
        <v/>
      </c>
      <c r="D1850" s="203" t="str">
        <f>IF(DATA!P1780="","",DATA!P1780)</f>
        <v/>
      </c>
      <c r="E1850" s="13"/>
      <c r="F1850" s="5" t="str">
        <f t="shared" si="118"/>
        <v/>
      </c>
      <c r="G1850" s="1"/>
      <c r="H1850" s="77">
        <f>IF(G1850="",0,VLOOKUP(G1850,REFCE!A:D,2,FALSE))</f>
        <v>0</v>
      </c>
      <c r="I1850" s="77" t="str">
        <f t="shared" si="119"/>
        <v/>
      </c>
    </row>
    <row r="1851" spans="1:9" x14ac:dyDescent="0.25">
      <c r="A1851" s="203" t="str">
        <f>IF(DATA!M1781="","",DATA!M1781)</f>
        <v/>
      </c>
      <c r="B1851" s="203" t="str">
        <f>IF(DATA!N1781="","",DATA!N1781)</f>
        <v/>
      </c>
      <c r="C1851" s="203" t="str">
        <f>IF(DATA!O1781="","",DATA!O1781)</f>
        <v/>
      </c>
      <c r="D1851" s="203" t="str">
        <f>IF(DATA!P1781="","",DATA!P1781)</f>
        <v/>
      </c>
      <c r="E1851" s="13"/>
      <c r="F1851" s="5" t="str">
        <f t="shared" si="118"/>
        <v/>
      </c>
      <c r="G1851" s="1"/>
      <c r="H1851" s="77">
        <f>IF(G1851="",0,VLOOKUP(G1851,REFCE!A:D,2,FALSE))</f>
        <v>0</v>
      </c>
      <c r="I1851" s="77" t="str">
        <f t="shared" si="119"/>
        <v/>
      </c>
    </row>
    <row r="1852" spans="1:9" x14ac:dyDescent="0.25">
      <c r="A1852" s="203" t="str">
        <f>IF(DATA!M1782="","",DATA!M1782)</f>
        <v/>
      </c>
      <c r="B1852" s="203" t="str">
        <f>IF(DATA!N1782="","",DATA!N1782)</f>
        <v/>
      </c>
      <c r="C1852" s="203" t="str">
        <f>IF(DATA!O1782="","",DATA!O1782)</f>
        <v/>
      </c>
      <c r="D1852" s="203" t="str">
        <f>IF(DATA!P1782="","",DATA!P1782)</f>
        <v/>
      </c>
      <c r="E1852" s="13"/>
      <c r="F1852" s="5" t="str">
        <f t="shared" si="118"/>
        <v/>
      </c>
      <c r="G1852" s="1"/>
      <c r="H1852" s="77">
        <f>IF(G1852="",0,VLOOKUP(G1852,REFCE!A:D,2,FALSE))</f>
        <v>0</v>
      </c>
      <c r="I1852" s="77" t="str">
        <f t="shared" si="119"/>
        <v/>
      </c>
    </row>
    <row r="1853" spans="1:9" x14ac:dyDescent="0.25">
      <c r="A1853" s="203" t="str">
        <f>IF(DATA!M1783="","",DATA!M1783)</f>
        <v/>
      </c>
      <c r="B1853" s="203" t="str">
        <f>IF(DATA!N1783="","",DATA!N1783)</f>
        <v/>
      </c>
      <c r="C1853" s="203" t="str">
        <f>IF(DATA!O1783="","",DATA!O1783)</f>
        <v/>
      </c>
      <c r="D1853" s="203" t="str">
        <f>IF(DATA!P1783="","",DATA!P1783)</f>
        <v/>
      </c>
      <c r="E1853" s="13"/>
      <c r="F1853" s="5" t="str">
        <f t="shared" si="118"/>
        <v/>
      </c>
      <c r="G1853" s="1"/>
      <c r="H1853" s="77">
        <f>IF(G1853="",0,VLOOKUP(G1853,REFCE!A:D,2,FALSE))</f>
        <v>0</v>
      </c>
      <c r="I1853" s="77" t="str">
        <f t="shared" si="119"/>
        <v/>
      </c>
    </row>
    <row r="1854" spans="1:9" x14ac:dyDescent="0.25">
      <c r="A1854" s="203" t="str">
        <f>IF(DATA!M1784="","",DATA!M1784)</f>
        <v/>
      </c>
      <c r="B1854" s="203" t="str">
        <f>IF(DATA!N1784="","",DATA!N1784)</f>
        <v/>
      </c>
      <c r="C1854" s="203" t="str">
        <f>IF(DATA!O1784="","",DATA!O1784)</f>
        <v/>
      </c>
      <c r="D1854" s="203" t="str">
        <f>IF(DATA!P1784="","",DATA!P1784)</f>
        <v/>
      </c>
      <c r="E1854" s="13"/>
      <c r="F1854" s="5" t="str">
        <f t="shared" si="118"/>
        <v/>
      </c>
      <c r="G1854" s="1"/>
      <c r="H1854" s="77">
        <f>IF(G1854="",0,VLOOKUP(G1854,REFCE!A:D,2,FALSE))</f>
        <v>0</v>
      </c>
      <c r="I1854" s="77" t="str">
        <f t="shared" si="119"/>
        <v/>
      </c>
    </row>
    <row r="1855" spans="1:9" x14ac:dyDescent="0.25">
      <c r="A1855" s="203" t="str">
        <f>IF(DATA!M1785="","",DATA!M1785)</f>
        <v/>
      </c>
      <c r="B1855" s="203" t="str">
        <f>IF(DATA!N1785="","",DATA!N1785)</f>
        <v/>
      </c>
      <c r="C1855" s="203" t="str">
        <f>IF(DATA!O1785="","",DATA!O1785)</f>
        <v/>
      </c>
      <c r="D1855" s="203" t="str">
        <f>IF(DATA!P1785="","",DATA!P1785)</f>
        <v/>
      </c>
      <c r="E1855" s="13"/>
      <c r="F1855" s="5" t="str">
        <f t="shared" si="118"/>
        <v/>
      </c>
      <c r="G1855" s="1"/>
      <c r="H1855" s="77">
        <f>IF(G1855="",0,VLOOKUP(G1855,REFCE!A:D,2,FALSE))</f>
        <v>0</v>
      </c>
      <c r="I1855" s="77" t="str">
        <f t="shared" si="119"/>
        <v/>
      </c>
    </row>
    <row r="1856" spans="1:9" x14ac:dyDescent="0.25">
      <c r="A1856" s="203" t="str">
        <f>IF(DATA!M1786="","",DATA!M1786)</f>
        <v/>
      </c>
      <c r="B1856" s="203" t="str">
        <f>IF(DATA!N1786="","",DATA!N1786)</f>
        <v/>
      </c>
      <c r="C1856" s="203" t="str">
        <f>IF(DATA!O1786="","",DATA!O1786)</f>
        <v/>
      </c>
      <c r="D1856" s="203" t="str">
        <f>IF(DATA!P1786="","",DATA!P1786)</f>
        <v/>
      </c>
      <c r="E1856" s="13"/>
      <c r="F1856" s="5" t="str">
        <f t="shared" si="118"/>
        <v/>
      </c>
      <c r="G1856" s="1"/>
      <c r="H1856" s="77">
        <f>IF(G1856="",0,VLOOKUP(G1856,REFCE!A:D,2,FALSE))</f>
        <v>0</v>
      </c>
      <c r="I1856" s="77" t="str">
        <f t="shared" si="119"/>
        <v/>
      </c>
    </row>
    <row r="1857" spans="1:9" x14ac:dyDescent="0.25">
      <c r="A1857" s="203" t="str">
        <f>IF(DATA!M1787="","",DATA!M1787)</f>
        <v/>
      </c>
      <c r="B1857" s="203" t="str">
        <f>IF(DATA!N1787="","",DATA!N1787)</f>
        <v/>
      </c>
      <c r="C1857" s="203" t="str">
        <f>IF(DATA!O1787="","",DATA!O1787)</f>
        <v/>
      </c>
      <c r="D1857" s="203" t="str">
        <f>IF(DATA!P1787="","",DATA!P1787)</f>
        <v/>
      </c>
      <c r="E1857" s="13"/>
      <c r="F1857" s="5" t="str">
        <f t="shared" si="118"/>
        <v/>
      </c>
      <c r="G1857" s="1"/>
      <c r="H1857" s="77">
        <f>IF(G1857="",0,VLOOKUP(G1857,REFCE!A:D,2,FALSE))</f>
        <v>0</v>
      </c>
      <c r="I1857" s="77" t="str">
        <f t="shared" si="119"/>
        <v/>
      </c>
    </row>
    <row r="1858" spans="1:9" x14ac:dyDescent="0.25">
      <c r="A1858" s="203" t="str">
        <f>IF(DATA!M1788="","",DATA!M1788)</f>
        <v/>
      </c>
      <c r="B1858" s="203" t="str">
        <f>IF(DATA!N1788="","",DATA!N1788)</f>
        <v/>
      </c>
      <c r="C1858" s="203" t="str">
        <f>IF(DATA!O1788="","",DATA!O1788)</f>
        <v/>
      </c>
      <c r="D1858" s="203" t="str">
        <f>IF(DATA!P1788="","",DATA!P1788)</f>
        <v/>
      </c>
      <c r="E1858" s="13"/>
      <c r="F1858" s="5" t="str">
        <f t="shared" si="118"/>
        <v/>
      </c>
      <c r="G1858" s="1"/>
      <c r="H1858" s="77">
        <f>IF(G1858="",0,VLOOKUP(G1858,REFCE!A:D,2,FALSE))</f>
        <v>0</v>
      </c>
      <c r="I1858" s="77" t="str">
        <f t="shared" si="119"/>
        <v/>
      </c>
    </row>
    <row r="1859" spans="1:9" x14ac:dyDescent="0.25">
      <c r="A1859" s="203" t="str">
        <f>IF(DATA!M1789="","",DATA!M1789)</f>
        <v/>
      </c>
      <c r="B1859" s="203" t="str">
        <f>IF(DATA!N1789="","",DATA!N1789)</f>
        <v/>
      </c>
      <c r="C1859" s="203" t="str">
        <f>IF(DATA!O1789="","",DATA!O1789)</f>
        <v/>
      </c>
      <c r="D1859" s="203" t="str">
        <f>IF(DATA!P1789="","",DATA!P1789)</f>
        <v/>
      </c>
      <c r="E1859" s="13"/>
      <c r="F1859" s="5" t="str">
        <f t="shared" si="118"/>
        <v/>
      </c>
      <c r="G1859" s="1"/>
      <c r="H1859" s="77">
        <f>IF(G1859="",0,VLOOKUP(G1859,REFCE!A:D,2,FALSE))</f>
        <v>0</v>
      </c>
      <c r="I1859" s="77" t="str">
        <f t="shared" si="119"/>
        <v/>
      </c>
    </row>
    <row r="1860" spans="1:9" x14ac:dyDescent="0.25">
      <c r="A1860" s="203" t="str">
        <f>IF(DATA!M1790="","",DATA!M1790)</f>
        <v/>
      </c>
      <c r="B1860" s="203" t="str">
        <f>IF(DATA!N1790="","",DATA!N1790)</f>
        <v/>
      </c>
      <c r="C1860" s="203" t="str">
        <f>IF(DATA!O1790="","",DATA!O1790)</f>
        <v/>
      </c>
      <c r="D1860" s="203" t="str">
        <f>IF(DATA!P1790="","",DATA!P1790)</f>
        <v/>
      </c>
      <c r="E1860" s="13"/>
      <c r="F1860" s="5" t="str">
        <f t="shared" si="118"/>
        <v/>
      </c>
      <c r="G1860" s="1"/>
      <c r="H1860" s="77">
        <f>IF(G1860="",0,VLOOKUP(G1860,REFCE!A:D,2,FALSE))</f>
        <v>0</v>
      </c>
      <c r="I1860" s="77" t="str">
        <f t="shared" si="119"/>
        <v/>
      </c>
    </row>
    <row r="1861" spans="1:9" x14ac:dyDescent="0.25">
      <c r="A1861" s="203" t="str">
        <f>IF(DATA!M1791="","",DATA!M1791)</f>
        <v/>
      </c>
      <c r="B1861" s="203" t="str">
        <f>IF(DATA!N1791="","",DATA!N1791)</f>
        <v/>
      </c>
      <c r="C1861" s="203" t="str">
        <f>IF(DATA!O1791="","",DATA!O1791)</f>
        <v/>
      </c>
      <c r="D1861" s="203" t="str">
        <f>IF(DATA!P1791="","",DATA!P1791)</f>
        <v/>
      </c>
      <c r="E1861" s="13"/>
      <c r="F1861" s="5" t="str">
        <f t="shared" si="118"/>
        <v/>
      </c>
      <c r="G1861" s="1"/>
      <c r="H1861" s="77">
        <f>IF(G1861="",0,VLOOKUP(G1861,REFCE!A:D,2,FALSE))</f>
        <v>0</v>
      </c>
      <c r="I1861" s="77" t="str">
        <f t="shared" si="119"/>
        <v/>
      </c>
    </row>
    <row r="1862" spans="1:9" x14ac:dyDescent="0.25">
      <c r="A1862" s="203" t="str">
        <f>IF(DATA!M1792="","",DATA!M1792)</f>
        <v/>
      </c>
      <c r="B1862" s="203" t="str">
        <f>IF(DATA!N1792="","",DATA!N1792)</f>
        <v/>
      </c>
      <c r="C1862" s="203" t="str">
        <f>IF(DATA!O1792="","",DATA!O1792)</f>
        <v/>
      </c>
      <c r="D1862" s="203" t="str">
        <f>IF(DATA!P1792="","",DATA!P1792)</f>
        <v/>
      </c>
      <c r="E1862" s="13"/>
      <c r="F1862" s="5" t="str">
        <f t="shared" si="118"/>
        <v/>
      </c>
      <c r="G1862" s="1"/>
      <c r="H1862" s="77">
        <f>IF(G1862="",0,VLOOKUP(G1862,REFCE!A:D,2,FALSE))</f>
        <v>0</v>
      </c>
      <c r="I1862" s="77" t="str">
        <f t="shared" si="119"/>
        <v/>
      </c>
    </row>
    <row r="1863" spans="1:9" x14ac:dyDescent="0.25">
      <c r="A1863" s="203" t="str">
        <f>IF(DATA!M1793="","",DATA!M1793)</f>
        <v/>
      </c>
      <c r="B1863" s="203" t="str">
        <f>IF(DATA!N1793="","",DATA!N1793)</f>
        <v/>
      </c>
      <c r="C1863" s="203" t="str">
        <f>IF(DATA!O1793="","",DATA!O1793)</f>
        <v/>
      </c>
      <c r="D1863" s="203" t="str">
        <f>IF(DATA!P1793="","",DATA!P1793)</f>
        <v/>
      </c>
      <c r="E1863" s="13"/>
      <c r="F1863" s="5" t="str">
        <f t="shared" si="118"/>
        <v/>
      </c>
      <c r="G1863" s="1"/>
      <c r="H1863" s="77">
        <f>IF(G1863="",0,VLOOKUP(G1863,REFCE!A:D,2,FALSE))</f>
        <v>0</v>
      </c>
      <c r="I1863" s="77" t="str">
        <f t="shared" si="119"/>
        <v/>
      </c>
    </row>
    <row r="1864" spans="1:9" x14ac:dyDescent="0.25">
      <c r="A1864" s="203" t="str">
        <f>IF(DATA!M1794="","",DATA!M1794)</f>
        <v/>
      </c>
      <c r="B1864" s="203" t="str">
        <f>IF(DATA!N1794="","",DATA!N1794)</f>
        <v/>
      </c>
      <c r="C1864" s="203" t="str">
        <f>IF(DATA!O1794="","",DATA!O1794)</f>
        <v/>
      </c>
      <c r="D1864" s="203" t="str">
        <f>IF(DATA!P1794="","",DATA!P1794)</f>
        <v/>
      </c>
      <c r="E1864" s="13"/>
      <c r="F1864" s="5" t="str">
        <f t="shared" si="118"/>
        <v/>
      </c>
      <c r="G1864" s="1"/>
      <c r="H1864" s="77">
        <f>IF(G1864="",0,VLOOKUP(G1864,REFCE!A:D,2,FALSE))</f>
        <v>0</v>
      </c>
      <c r="I1864" s="77" t="str">
        <f t="shared" si="119"/>
        <v/>
      </c>
    </row>
    <row r="1865" spans="1:9" x14ac:dyDescent="0.25">
      <c r="A1865" s="203" t="str">
        <f>IF(DATA!M1795="","",DATA!M1795)</f>
        <v/>
      </c>
      <c r="B1865" s="203" t="str">
        <f>IF(DATA!N1795="","",DATA!N1795)</f>
        <v/>
      </c>
      <c r="C1865" s="203" t="str">
        <f>IF(DATA!O1795="","",DATA!O1795)</f>
        <v/>
      </c>
      <c r="D1865" s="203" t="str">
        <f>IF(DATA!P1795="","",DATA!P1795)</f>
        <v/>
      </c>
      <c r="E1865" s="13"/>
      <c r="F1865" s="5" t="str">
        <f t="shared" si="118"/>
        <v/>
      </c>
      <c r="G1865" s="1"/>
      <c r="H1865" s="77">
        <f>IF(G1865="",0,VLOOKUP(G1865,REFCE!A:D,2,FALSE))</f>
        <v>0</v>
      </c>
      <c r="I1865" s="77" t="str">
        <f t="shared" si="119"/>
        <v/>
      </c>
    </row>
    <row r="1866" spans="1:9" x14ac:dyDescent="0.25">
      <c r="A1866" s="203" t="str">
        <f>IF(DATA!M1796="","",DATA!M1796)</f>
        <v/>
      </c>
      <c r="B1866" s="203" t="str">
        <f>IF(DATA!N1796="","",DATA!N1796)</f>
        <v/>
      </c>
      <c r="C1866" s="203" t="str">
        <f>IF(DATA!O1796="","",DATA!O1796)</f>
        <v/>
      </c>
      <c r="D1866" s="203" t="str">
        <f>IF(DATA!P1796="","",DATA!P1796)</f>
        <v/>
      </c>
      <c r="E1866" s="13"/>
      <c r="F1866" s="5" t="str">
        <f t="shared" si="118"/>
        <v/>
      </c>
      <c r="G1866" s="1"/>
      <c r="H1866" s="77">
        <f>IF(G1866="",0,VLOOKUP(G1866,REFCE!A:D,2,FALSE))</f>
        <v>0</v>
      </c>
      <c r="I1866" s="77" t="str">
        <f t="shared" si="119"/>
        <v/>
      </c>
    </row>
    <row r="1867" spans="1:9" x14ac:dyDescent="0.25">
      <c r="A1867" s="203" t="str">
        <f>IF(DATA!M1797="","",DATA!M1797)</f>
        <v/>
      </c>
      <c r="B1867" s="203" t="str">
        <f>IF(DATA!N1797="","",DATA!N1797)</f>
        <v/>
      </c>
      <c r="C1867" s="203" t="str">
        <f>IF(DATA!O1797="","",DATA!O1797)</f>
        <v/>
      </c>
      <c r="D1867" s="203" t="str">
        <f>IF(DATA!P1797="","",DATA!P1797)</f>
        <v/>
      </c>
      <c r="E1867" s="13"/>
      <c r="F1867" s="5" t="str">
        <f t="shared" si="118"/>
        <v/>
      </c>
      <c r="G1867" s="1"/>
      <c r="H1867" s="77">
        <f>IF(G1867="",0,VLOOKUP(G1867,REFCE!A:D,2,FALSE))</f>
        <v>0</v>
      </c>
      <c r="I1867" s="77" t="str">
        <f t="shared" si="119"/>
        <v/>
      </c>
    </row>
    <row r="1868" spans="1:9" x14ac:dyDescent="0.25">
      <c r="A1868" s="203" t="str">
        <f>IF(DATA!M1798="","",DATA!M1798)</f>
        <v/>
      </c>
      <c r="B1868" s="203" t="str">
        <f>IF(DATA!N1798="","",DATA!N1798)</f>
        <v/>
      </c>
      <c r="C1868" s="203" t="str">
        <f>IF(DATA!O1798="","",DATA!O1798)</f>
        <v/>
      </c>
      <c r="D1868" s="203" t="str">
        <f>IF(DATA!P1798="","",DATA!P1798)</f>
        <v/>
      </c>
      <c r="E1868" s="13"/>
      <c r="F1868" s="5" t="str">
        <f t="shared" si="118"/>
        <v/>
      </c>
      <c r="G1868" s="1"/>
      <c r="H1868" s="77">
        <f>IF(G1868="",0,VLOOKUP(G1868,REFCE!A:D,2,FALSE))</f>
        <v>0</v>
      </c>
      <c r="I1868" s="77" t="str">
        <f t="shared" si="119"/>
        <v/>
      </c>
    </row>
    <row r="1869" spans="1:9" x14ac:dyDescent="0.25">
      <c r="A1869" s="203" t="str">
        <f>IF(DATA!M1799="","",DATA!M1799)</f>
        <v/>
      </c>
      <c r="B1869" s="203" t="str">
        <f>IF(DATA!N1799="","",DATA!N1799)</f>
        <v/>
      </c>
      <c r="C1869" s="203" t="str">
        <f>IF(DATA!O1799="","",DATA!O1799)</f>
        <v/>
      </c>
      <c r="D1869" s="203" t="str">
        <f>IF(DATA!P1799="","",DATA!P1799)</f>
        <v/>
      </c>
      <c r="E1869" s="13"/>
      <c r="F1869" s="5" t="str">
        <f t="shared" si="118"/>
        <v/>
      </c>
      <c r="G1869" s="1"/>
      <c r="H1869" s="77">
        <f>IF(G1869="",0,VLOOKUP(G1869,REFCE!A:D,2,FALSE))</f>
        <v>0</v>
      </c>
      <c r="I1869" s="77" t="str">
        <f t="shared" si="119"/>
        <v/>
      </c>
    </row>
    <row r="1870" spans="1:9" x14ac:dyDescent="0.25">
      <c r="A1870" s="203" t="str">
        <f>IF(DATA!M1800="","",DATA!M1800)</f>
        <v/>
      </c>
      <c r="B1870" s="203" t="str">
        <f>IF(DATA!N1800="","",DATA!N1800)</f>
        <v/>
      </c>
      <c r="C1870" s="203" t="str">
        <f>IF(DATA!O1800="","",DATA!O1800)</f>
        <v/>
      </c>
      <c r="D1870" s="203" t="str">
        <f>IF(DATA!P1800="","",DATA!P1800)</f>
        <v/>
      </c>
      <c r="E1870" s="13"/>
      <c r="F1870" s="5" t="str">
        <f t="shared" ref="F1870:F1933" si="120">IF(D1870="","",D1870*E1870)</f>
        <v/>
      </c>
      <c r="G1870" s="1"/>
      <c r="H1870" s="77">
        <f>IF(G1870="",0,VLOOKUP(G1870,REFCE!A:D,2,FALSE))</f>
        <v>0</v>
      </c>
      <c r="I1870" s="77" t="str">
        <f t="shared" ref="I1870:I1933" si="121">IF(F1870="","",F1870*H1870)</f>
        <v/>
      </c>
    </row>
    <row r="1871" spans="1:9" x14ac:dyDescent="0.25">
      <c r="A1871" s="203" t="str">
        <f>IF(DATA!M1801="","",DATA!M1801)</f>
        <v/>
      </c>
      <c r="B1871" s="203" t="str">
        <f>IF(DATA!N1801="","",DATA!N1801)</f>
        <v/>
      </c>
      <c r="C1871" s="203" t="str">
        <f>IF(DATA!O1801="","",DATA!O1801)</f>
        <v/>
      </c>
      <c r="D1871" s="203" t="str">
        <f>IF(DATA!P1801="","",DATA!P1801)</f>
        <v/>
      </c>
      <c r="E1871" s="13"/>
      <c r="F1871" s="5" t="str">
        <f t="shared" si="120"/>
        <v/>
      </c>
      <c r="G1871" s="1"/>
      <c r="H1871" s="77">
        <f>IF(G1871="",0,VLOOKUP(G1871,REFCE!A:D,2,FALSE))</f>
        <v>0</v>
      </c>
      <c r="I1871" s="77" t="str">
        <f t="shared" si="121"/>
        <v/>
      </c>
    </row>
    <row r="1872" spans="1:9" x14ac:dyDescent="0.25">
      <c r="A1872" s="203" t="str">
        <f>IF(DATA!M1802="","",DATA!M1802)</f>
        <v/>
      </c>
      <c r="B1872" s="203" t="str">
        <f>IF(DATA!N1802="","",DATA!N1802)</f>
        <v/>
      </c>
      <c r="C1872" s="203" t="str">
        <f>IF(DATA!O1802="","",DATA!O1802)</f>
        <v/>
      </c>
      <c r="D1872" s="203" t="str">
        <f>IF(DATA!P1802="","",DATA!P1802)</f>
        <v/>
      </c>
      <c r="E1872" s="13"/>
      <c r="F1872" s="5" t="str">
        <f t="shared" si="120"/>
        <v/>
      </c>
      <c r="G1872" s="1"/>
      <c r="H1872" s="77">
        <f>IF(G1872="",0,VLOOKUP(G1872,REFCE!A:D,2,FALSE))</f>
        <v>0</v>
      </c>
      <c r="I1872" s="77" t="str">
        <f t="shared" si="121"/>
        <v/>
      </c>
    </row>
    <row r="1873" spans="1:9" x14ac:dyDescent="0.25">
      <c r="A1873" s="203" t="str">
        <f>IF(DATA!M1803="","",DATA!M1803)</f>
        <v/>
      </c>
      <c r="B1873" s="203" t="str">
        <f>IF(DATA!N1803="","",DATA!N1803)</f>
        <v/>
      </c>
      <c r="C1873" s="203" t="str">
        <f>IF(DATA!O1803="","",DATA!O1803)</f>
        <v/>
      </c>
      <c r="D1873" s="203" t="str">
        <f>IF(DATA!P1803="","",DATA!P1803)</f>
        <v/>
      </c>
      <c r="E1873" s="13"/>
      <c r="F1873" s="5" t="str">
        <f t="shared" si="120"/>
        <v/>
      </c>
      <c r="G1873" s="1"/>
      <c r="H1873" s="77">
        <f>IF(G1873="",0,VLOOKUP(G1873,REFCE!A:D,2,FALSE))</f>
        <v>0</v>
      </c>
      <c r="I1873" s="77" t="str">
        <f t="shared" si="121"/>
        <v/>
      </c>
    </row>
    <row r="1874" spans="1:9" x14ac:dyDescent="0.25">
      <c r="A1874" s="203" t="str">
        <f>IF(DATA!M1804="","",DATA!M1804)</f>
        <v/>
      </c>
      <c r="B1874" s="203" t="str">
        <f>IF(DATA!N1804="","",DATA!N1804)</f>
        <v/>
      </c>
      <c r="C1874" s="203" t="str">
        <f>IF(DATA!O1804="","",DATA!O1804)</f>
        <v/>
      </c>
      <c r="D1874" s="203" t="str">
        <f>IF(DATA!P1804="","",DATA!P1804)</f>
        <v/>
      </c>
      <c r="E1874" s="13"/>
      <c r="F1874" s="5" t="str">
        <f t="shared" si="120"/>
        <v/>
      </c>
      <c r="G1874" s="1"/>
      <c r="H1874" s="77">
        <f>IF(G1874="",0,VLOOKUP(G1874,REFCE!A:D,2,FALSE))</f>
        <v>0</v>
      </c>
      <c r="I1874" s="77" t="str">
        <f t="shared" si="121"/>
        <v/>
      </c>
    </row>
    <row r="1875" spans="1:9" x14ac:dyDescent="0.25">
      <c r="A1875" s="203" t="str">
        <f>IF(DATA!M1805="","",DATA!M1805)</f>
        <v/>
      </c>
      <c r="B1875" s="203" t="str">
        <f>IF(DATA!N1805="","",DATA!N1805)</f>
        <v/>
      </c>
      <c r="C1875" s="203" t="str">
        <f>IF(DATA!O1805="","",DATA!O1805)</f>
        <v/>
      </c>
      <c r="D1875" s="203" t="str">
        <f>IF(DATA!P1805="","",DATA!P1805)</f>
        <v/>
      </c>
      <c r="E1875" s="13"/>
      <c r="F1875" s="5" t="str">
        <f t="shared" si="120"/>
        <v/>
      </c>
      <c r="G1875" s="1"/>
      <c r="H1875" s="77">
        <f>IF(G1875="",0,VLOOKUP(G1875,REFCE!A:D,2,FALSE))</f>
        <v>0</v>
      </c>
      <c r="I1875" s="77" t="str">
        <f t="shared" si="121"/>
        <v/>
      </c>
    </row>
    <row r="1876" spans="1:9" x14ac:dyDescent="0.25">
      <c r="A1876" s="203" t="str">
        <f>IF(DATA!M1806="","",DATA!M1806)</f>
        <v/>
      </c>
      <c r="B1876" s="203" t="str">
        <f>IF(DATA!N1806="","",DATA!N1806)</f>
        <v/>
      </c>
      <c r="C1876" s="203" t="str">
        <f>IF(DATA!O1806="","",DATA!O1806)</f>
        <v/>
      </c>
      <c r="D1876" s="203" t="str">
        <f>IF(DATA!P1806="","",DATA!P1806)</f>
        <v/>
      </c>
      <c r="E1876" s="13"/>
      <c r="F1876" s="5" t="str">
        <f t="shared" si="120"/>
        <v/>
      </c>
      <c r="G1876" s="1"/>
      <c r="H1876" s="77">
        <f>IF(G1876="",0,VLOOKUP(G1876,REFCE!A:D,2,FALSE))</f>
        <v>0</v>
      </c>
      <c r="I1876" s="77" t="str">
        <f t="shared" si="121"/>
        <v/>
      </c>
    </row>
    <row r="1877" spans="1:9" x14ac:dyDescent="0.25">
      <c r="A1877" s="203" t="str">
        <f>IF(DATA!M1807="","",DATA!M1807)</f>
        <v/>
      </c>
      <c r="B1877" s="203" t="str">
        <f>IF(DATA!N1807="","",DATA!N1807)</f>
        <v/>
      </c>
      <c r="C1877" s="203" t="str">
        <f>IF(DATA!O1807="","",DATA!O1807)</f>
        <v/>
      </c>
      <c r="D1877" s="203" t="str">
        <f>IF(DATA!P1807="","",DATA!P1807)</f>
        <v/>
      </c>
      <c r="E1877" s="13"/>
      <c r="F1877" s="5" t="str">
        <f t="shared" si="120"/>
        <v/>
      </c>
      <c r="G1877" s="1"/>
      <c r="H1877" s="77">
        <f>IF(G1877="",0,VLOOKUP(G1877,REFCE!A:D,2,FALSE))</f>
        <v>0</v>
      </c>
      <c r="I1877" s="77" t="str">
        <f t="shared" si="121"/>
        <v/>
      </c>
    </row>
    <row r="1878" spans="1:9" x14ac:dyDescent="0.25">
      <c r="A1878" s="203" t="str">
        <f>IF(DATA!M1808="","",DATA!M1808)</f>
        <v/>
      </c>
      <c r="B1878" s="203" t="str">
        <f>IF(DATA!N1808="","",DATA!N1808)</f>
        <v/>
      </c>
      <c r="C1878" s="203" t="str">
        <f>IF(DATA!O1808="","",DATA!O1808)</f>
        <v/>
      </c>
      <c r="D1878" s="203" t="str">
        <f>IF(DATA!P1808="","",DATA!P1808)</f>
        <v/>
      </c>
      <c r="E1878" s="13"/>
      <c r="F1878" s="5" t="str">
        <f t="shared" si="120"/>
        <v/>
      </c>
      <c r="G1878" s="1"/>
      <c r="H1878" s="77">
        <f>IF(G1878="",0,VLOOKUP(G1878,REFCE!A:D,2,FALSE))</f>
        <v>0</v>
      </c>
      <c r="I1878" s="77" t="str">
        <f t="shared" si="121"/>
        <v/>
      </c>
    </row>
    <row r="1879" spans="1:9" x14ac:dyDescent="0.25">
      <c r="A1879" s="203" t="str">
        <f>IF(DATA!M1809="","",DATA!M1809)</f>
        <v/>
      </c>
      <c r="B1879" s="203" t="str">
        <f>IF(DATA!N1809="","",DATA!N1809)</f>
        <v/>
      </c>
      <c r="C1879" s="203" t="str">
        <f>IF(DATA!O1809="","",DATA!O1809)</f>
        <v/>
      </c>
      <c r="D1879" s="203" t="str">
        <f>IF(DATA!P1809="","",DATA!P1809)</f>
        <v/>
      </c>
      <c r="E1879" s="13"/>
      <c r="F1879" s="5" t="str">
        <f t="shared" si="120"/>
        <v/>
      </c>
      <c r="G1879" s="1"/>
      <c r="H1879" s="77">
        <f>IF(G1879="",0,VLOOKUP(G1879,REFCE!A:D,2,FALSE))</f>
        <v>0</v>
      </c>
      <c r="I1879" s="77" t="str">
        <f t="shared" si="121"/>
        <v/>
      </c>
    </row>
    <row r="1880" spans="1:9" x14ac:dyDescent="0.25">
      <c r="A1880" s="203" t="str">
        <f>IF(DATA!M1810="","",DATA!M1810)</f>
        <v/>
      </c>
      <c r="B1880" s="203" t="str">
        <f>IF(DATA!N1810="","",DATA!N1810)</f>
        <v/>
      </c>
      <c r="C1880" s="203" t="str">
        <f>IF(DATA!O1810="","",DATA!O1810)</f>
        <v/>
      </c>
      <c r="D1880" s="203" t="str">
        <f>IF(DATA!P1810="","",DATA!P1810)</f>
        <v/>
      </c>
      <c r="E1880" s="13"/>
      <c r="F1880" s="5" t="str">
        <f t="shared" si="120"/>
        <v/>
      </c>
      <c r="G1880" s="1"/>
      <c r="H1880" s="77">
        <f>IF(G1880="",0,VLOOKUP(G1880,REFCE!A:D,2,FALSE))</f>
        <v>0</v>
      </c>
      <c r="I1880" s="77" t="str">
        <f t="shared" si="121"/>
        <v/>
      </c>
    </row>
    <row r="1881" spans="1:9" x14ac:dyDescent="0.25">
      <c r="A1881" s="203" t="str">
        <f>IF(DATA!M1811="","",DATA!M1811)</f>
        <v/>
      </c>
      <c r="B1881" s="203" t="str">
        <f>IF(DATA!N1811="","",DATA!N1811)</f>
        <v/>
      </c>
      <c r="C1881" s="203" t="str">
        <f>IF(DATA!O1811="","",DATA!O1811)</f>
        <v/>
      </c>
      <c r="D1881" s="203" t="str">
        <f>IF(DATA!P1811="","",DATA!P1811)</f>
        <v/>
      </c>
      <c r="E1881" s="13"/>
      <c r="F1881" s="5" t="str">
        <f t="shared" si="120"/>
        <v/>
      </c>
      <c r="G1881" s="1"/>
      <c r="H1881" s="77">
        <f>IF(G1881="",0,VLOOKUP(G1881,REFCE!A:D,2,FALSE))</f>
        <v>0</v>
      </c>
      <c r="I1881" s="77" t="str">
        <f t="shared" si="121"/>
        <v/>
      </c>
    </row>
    <row r="1882" spans="1:9" x14ac:dyDescent="0.25">
      <c r="A1882" s="203" t="str">
        <f>IF(DATA!M1812="","",DATA!M1812)</f>
        <v/>
      </c>
      <c r="B1882" s="203" t="str">
        <f>IF(DATA!N1812="","",DATA!N1812)</f>
        <v/>
      </c>
      <c r="C1882" s="203" t="str">
        <f>IF(DATA!O1812="","",DATA!O1812)</f>
        <v/>
      </c>
      <c r="D1882" s="203" t="str">
        <f>IF(DATA!P1812="","",DATA!P1812)</f>
        <v/>
      </c>
      <c r="E1882" s="13"/>
      <c r="F1882" s="5" t="str">
        <f t="shared" si="120"/>
        <v/>
      </c>
      <c r="G1882" s="1"/>
      <c r="H1882" s="77">
        <f>IF(G1882="",0,VLOOKUP(G1882,REFCE!A:D,2,FALSE))</f>
        <v>0</v>
      </c>
      <c r="I1882" s="77" t="str">
        <f t="shared" si="121"/>
        <v/>
      </c>
    </row>
    <row r="1883" spans="1:9" x14ac:dyDescent="0.25">
      <c r="A1883" s="203" t="str">
        <f>IF(DATA!M1813="","",DATA!M1813)</f>
        <v/>
      </c>
      <c r="B1883" s="203" t="str">
        <f>IF(DATA!N1813="","",DATA!N1813)</f>
        <v/>
      </c>
      <c r="C1883" s="203" t="str">
        <f>IF(DATA!O1813="","",DATA!O1813)</f>
        <v/>
      </c>
      <c r="D1883" s="203" t="str">
        <f>IF(DATA!P1813="","",DATA!P1813)</f>
        <v/>
      </c>
      <c r="E1883" s="13"/>
      <c r="F1883" s="5" t="str">
        <f t="shared" si="120"/>
        <v/>
      </c>
      <c r="G1883" s="1"/>
      <c r="H1883" s="77">
        <f>IF(G1883="",0,VLOOKUP(G1883,REFCE!A:D,2,FALSE))</f>
        <v>0</v>
      </c>
      <c r="I1883" s="77" t="str">
        <f t="shared" si="121"/>
        <v/>
      </c>
    </row>
    <row r="1884" spans="1:9" x14ac:dyDescent="0.25">
      <c r="A1884" s="203" t="str">
        <f>IF(DATA!M1814="","",DATA!M1814)</f>
        <v/>
      </c>
      <c r="B1884" s="203" t="str">
        <f>IF(DATA!N1814="","",DATA!N1814)</f>
        <v/>
      </c>
      <c r="C1884" s="203" t="str">
        <f>IF(DATA!O1814="","",DATA!O1814)</f>
        <v/>
      </c>
      <c r="D1884" s="203" t="str">
        <f>IF(DATA!P1814="","",DATA!P1814)</f>
        <v/>
      </c>
      <c r="E1884" s="13"/>
      <c r="F1884" s="5" t="str">
        <f t="shared" si="120"/>
        <v/>
      </c>
      <c r="G1884" s="1"/>
      <c r="H1884" s="77">
        <f>IF(G1884="",0,VLOOKUP(G1884,REFCE!A:D,2,FALSE))</f>
        <v>0</v>
      </c>
      <c r="I1884" s="77" t="str">
        <f t="shared" si="121"/>
        <v/>
      </c>
    </row>
    <row r="1885" spans="1:9" x14ac:dyDescent="0.25">
      <c r="A1885" s="203" t="str">
        <f>IF(DATA!M1815="","",DATA!M1815)</f>
        <v/>
      </c>
      <c r="B1885" s="203" t="str">
        <f>IF(DATA!N1815="","",DATA!N1815)</f>
        <v/>
      </c>
      <c r="C1885" s="203" t="str">
        <f>IF(DATA!O1815="","",DATA!O1815)</f>
        <v/>
      </c>
      <c r="D1885" s="203" t="str">
        <f>IF(DATA!P1815="","",DATA!P1815)</f>
        <v/>
      </c>
      <c r="E1885" s="13"/>
      <c r="F1885" s="5" t="str">
        <f t="shared" si="120"/>
        <v/>
      </c>
      <c r="G1885" s="1"/>
      <c r="H1885" s="77">
        <f>IF(G1885="",0,VLOOKUP(G1885,REFCE!A:D,2,FALSE))</f>
        <v>0</v>
      </c>
      <c r="I1885" s="77" t="str">
        <f t="shared" si="121"/>
        <v/>
      </c>
    </row>
    <row r="1886" spans="1:9" x14ac:dyDescent="0.25">
      <c r="A1886" s="203" t="str">
        <f>IF(DATA!M1816="","",DATA!M1816)</f>
        <v/>
      </c>
      <c r="B1886" s="203" t="str">
        <f>IF(DATA!N1816="","",DATA!N1816)</f>
        <v/>
      </c>
      <c r="C1886" s="203" t="str">
        <f>IF(DATA!O1816="","",DATA!O1816)</f>
        <v/>
      </c>
      <c r="D1886" s="203" t="str">
        <f>IF(DATA!P1816="","",DATA!P1816)</f>
        <v/>
      </c>
      <c r="E1886" s="13"/>
      <c r="F1886" s="5" t="str">
        <f t="shared" si="120"/>
        <v/>
      </c>
      <c r="G1886" s="1"/>
      <c r="H1886" s="77">
        <f>IF(G1886="",0,VLOOKUP(G1886,REFCE!A:D,2,FALSE))</f>
        <v>0</v>
      </c>
      <c r="I1886" s="77" t="str">
        <f t="shared" si="121"/>
        <v/>
      </c>
    </row>
    <row r="1887" spans="1:9" x14ac:dyDescent="0.25">
      <c r="A1887" s="203" t="str">
        <f>IF(DATA!M1817="","",DATA!M1817)</f>
        <v/>
      </c>
      <c r="B1887" s="203" t="str">
        <f>IF(DATA!N1817="","",DATA!N1817)</f>
        <v/>
      </c>
      <c r="C1887" s="203" t="str">
        <f>IF(DATA!O1817="","",DATA!O1817)</f>
        <v/>
      </c>
      <c r="D1887" s="203" t="str">
        <f>IF(DATA!P1817="","",DATA!P1817)</f>
        <v/>
      </c>
      <c r="E1887" s="13"/>
      <c r="F1887" s="5" t="str">
        <f t="shared" si="120"/>
        <v/>
      </c>
      <c r="G1887" s="1"/>
      <c r="H1887" s="77">
        <f>IF(G1887="",0,VLOOKUP(G1887,REFCE!A:D,2,FALSE))</f>
        <v>0</v>
      </c>
      <c r="I1887" s="77" t="str">
        <f t="shared" si="121"/>
        <v/>
      </c>
    </row>
    <row r="1888" spans="1:9" x14ac:dyDescent="0.25">
      <c r="A1888" s="203" t="str">
        <f>IF(DATA!M1818="","",DATA!M1818)</f>
        <v/>
      </c>
      <c r="B1888" s="203" t="str">
        <f>IF(DATA!N1818="","",DATA!N1818)</f>
        <v/>
      </c>
      <c r="C1888" s="203" t="str">
        <f>IF(DATA!O1818="","",DATA!O1818)</f>
        <v/>
      </c>
      <c r="D1888" s="203" t="str">
        <f>IF(DATA!P1818="","",DATA!P1818)</f>
        <v/>
      </c>
      <c r="E1888" s="13"/>
      <c r="F1888" s="5" t="str">
        <f t="shared" si="120"/>
        <v/>
      </c>
      <c r="G1888" s="1"/>
      <c r="H1888" s="77">
        <f>IF(G1888="",0,VLOOKUP(G1888,REFCE!A:D,2,FALSE))</f>
        <v>0</v>
      </c>
      <c r="I1888" s="77" t="str">
        <f t="shared" si="121"/>
        <v/>
      </c>
    </row>
    <row r="1889" spans="1:9" x14ac:dyDescent="0.25">
      <c r="A1889" s="203" t="str">
        <f>IF(DATA!M1819="","",DATA!M1819)</f>
        <v/>
      </c>
      <c r="B1889" s="203" t="str">
        <f>IF(DATA!N1819="","",DATA!N1819)</f>
        <v/>
      </c>
      <c r="C1889" s="203" t="str">
        <f>IF(DATA!O1819="","",DATA!O1819)</f>
        <v/>
      </c>
      <c r="D1889" s="203" t="str">
        <f>IF(DATA!P1819="","",DATA!P1819)</f>
        <v/>
      </c>
      <c r="E1889" s="13"/>
      <c r="F1889" s="5" t="str">
        <f t="shared" si="120"/>
        <v/>
      </c>
      <c r="G1889" s="1"/>
      <c r="H1889" s="77">
        <f>IF(G1889="",0,VLOOKUP(G1889,REFCE!A:D,2,FALSE))</f>
        <v>0</v>
      </c>
      <c r="I1889" s="77" t="str">
        <f t="shared" si="121"/>
        <v/>
      </c>
    </row>
    <row r="1890" spans="1:9" x14ac:dyDescent="0.25">
      <c r="A1890" s="203" t="str">
        <f>IF(DATA!M1820="","",DATA!M1820)</f>
        <v/>
      </c>
      <c r="B1890" s="203" t="str">
        <f>IF(DATA!N1820="","",DATA!N1820)</f>
        <v/>
      </c>
      <c r="C1890" s="203" t="str">
        <f>IF(DATA!O1820="","",DATA!O1820)</f>
        <v/>
      </c>
      <c r="D1890" s="203" t="str">
        <f>IF(DATA!P1820="","",DATA!P1820)</f>
        <v/>
      </c>
      <c r="E1890" s="13"/>
      <c r="F1890" s="5" t="str">
        <f t="shared" si="120"/>
        <v/>
      </c>
      <c r="G1890" s="1"/>
      <c r="H1890" s="77">
        <f>IF(G1890="",0,VLOOKUP(G1890,REFCE!A:D,2,FALSE))</f>
        <v>0</v>
      </c>
      <c r="I1890" s="77" t="str">
        <f t="shared" si="121"/>
        <v/>
      </c>
    </row>
    <row r="1891" spans="1:9" x14ac:dyDescent="0.25">
      <c r="A1891" s="203" t="str">
        <f>IF(DATA!M1821="","",DATA!M1821)</f>
        <v/>
      </c>
      <c r="B1891" s="203" t="str">
        <f>IF(DATA!N1821="","",DATA!N1821)</f>
        <v/>
      </c>
      <c r="C1891" s="203" t="str">
        <f>IF(DATA!O1821="","",DATA!O1821)</f>
        <v/>
      </c>
      <c r="D1891" s="203" t="str">
        <f>IF(DATA!P1821="","",DATA!P1821)</f>
        <v/>
      </c>
      <c r="E1891" s="13"/>
      <c r="F1891" s="5" t="str">
        <f t="shared" si="120"/>
        <v/>
      </c>
      <c r="G1891" s="1"/>
      <c r="H1891" s="77">
        <f>IF(G1891="",0,VLOOKUP(G1891,REFCE!A:D,2,FALSE))</f>
        <v>0</v>
      </c>
      <c r="I1891" s="77" t="str">
        <f t="shared" si="121"/>
        <v/>
      </c>
    </row>
    <row r="1892" spans="1:9" x14ac:dyDescent="0.25">
      <c r="A1892" s="203" t="str">
        <f>IF(DATA!M1822="","",DATA!M1822)</f>
        <v/>
      </c>
      <c r="B1892" s="203" t="str">
        <f>IF(DATA!N1822="","",DATA!N1822)</f>
        <v/>
      </c>
      <c r="C1892" s="203" t="str">
        <f>IF(DATA!O1822="","",DATA!O1822)</f>
        <v/>
      </c>
      <c r="D1892" s="203" t="str">
        <f>IF(DATA!P1822="","",DATA!P1822)</f>
        <v/>
      </c>
      <c r="E1892" s="13"/>
      <c r="F1892" s="5" t="str">
        <f t="shared" si="120"/>
        <v/>
      </c>
      <c r="G1892" s="1"/>
      <c r="H1892" s="77">
        <f>IF(G1892="",0,VLOOKUP(G1892,REFCE!A:D,2,FALSE))</f>
        <v>0</v>
      </c>
      <c r="I1892" s="77" t="str">
        <f t="shared" si="121"/>
        <v/>
      </c>
    </row>
    <row r="1893" spans="1:9" x14ac:dyDescent="0.25">
      <c r="A1893" s="203" t="str">
        <f>IF(DATA!M1823="","",DATA!M1823)</f>
        <v/>
      </c>
      <c r="B1893" s="203" t="str">
        <f>IF(DATA!N1823="","",DATA!N1823)</f>
        <v/>
      </c>
      <c r="C1893" s="203" t="str">
        <f>IF(DATA!O1823="","",DATA!O1823)</f>
        <v/>
      </c>
      <c r="D1893" s="203" t="str">
        <f>IF(DATA!P1823="","",DATA!P1823)</f>
        <v/>
      </c>
      <c r="E1893" s="13"/>
      <c r="F1893" s="5" t="str">
        <f t="shared" si="120"/>
        <v/>
      </c>
      <c r="G1893" s="1"/>
      <c r="H1893" s="77">
        <f>IF(G1893="",0,VLOOKUP(G1893,REFCE!A:D,2,FALSE))</f>
        <v>0</v>
      </c>
      <c r="I1893" s="77" t="str">
        <f t="shared" si="121"/>
        <v/>
      </c>
    </row>
    <row r="1894" spans="1:9" x14ac:dyDescent="0.25">
      <c r="A1894" s="203" t="str">
        <f>IF(DATA!M1824="","",DATA!M1824)</f>
        <v/>
      </c>
      <c r="B1894" s="203" t="str">
        <f>IF(DATA!N1824="","",DATA!N1824)</f>
        <v/>
      </c>
      <c r="C1894" s="203" t="str">
        <f>IF(DATA!O1824="","",DATA!O1824)</f>
        <v/>
      </c>
      <c r="D1894" s="203" t="str">
        <f>IF(DATA!P1824="","",DATA!P1824)</f>
        <v/>
      </c>
      <c r="E1894" s="13"/>
      <c r="F1894" s="5" t="str">
        <f t="shared" si="120"/>
        <v/>
      </c>
      <c r="G1894" s="1"/>
      <c r="H1894" s="77">
        <f>IF(G1894="",0,VLOOKUP(G1894,REFCE!A:D,2,FALSE))</f>
        <v>0</v>
      </c>
      <c r="I1894" s="77" t="str">
        <f t="shared" si="121"/>
        <v/>
      </c>
    </row>
    <row r="1895" spans="1:9" x14ac:dyDescent="0.25">
      <c r="A1895" s="203" t="str">
        <f>IF(DATA!M1825="","",DATA!M1825)</f>
        <v/>
      </c>
      <c r="B1895" s="203" t="str">
        <f>IF(DATA!N1825="","",DATA!N1825)</f>
        <v/>
      </c>
      <c r="C1895" s="203" t="str">
        <f>IF(DATA!O1825="","",DATA!O1825)</f>
        <v/>
      </c>
      <c r="D1895" s="203" t="str">
        <f>IF(DATA!P1825="","",DATA!P1825)</f>
        <v/>
      </c>
      <c r="E1895" s="13"/>
      <c r="F1895" s="5" t="str">
        <f t="shared" si="120"/>
        <v/>
      </c>
      <c r="G1895" s="1"/>
      <c r="H1895" s="77">
        <f>IF(G1895="",0,VLOOKUP(G1895,REFCE!A:D,2,FALSE))</f>
        <v>0</v>
      </c>
      <c r="I1895" s="77" t="str">
        <f t="shared" si="121"/>
        <v/>
      </c>
    </row>
    <row r="1896" spans="1:9" x14ac:dyDescent="0.25">
      <c r="A1896" s="203" t="str">
        <f>IF(DATA!M1826="","",DATA!M1826)</f>
        <v/>
      </c>
      <c r="B1896" s="203" t="str">
        <f>IF(DATA!N1826="","",DATA!N1826)</f>
        <v/>
      </c>
      <c r="C1896" s="203" t="str">
        <f>IF(DATA!O1826="","",DATA!O1826)</f>
        <v/>
      </c>
      <c r="D1896" s="203" t="str">
        <f>IF(DATA!P1826="","",DATA!P1826)</f>
        <v/>
      </c>
      <c r="E1896" s="13"/>
      <c r="F1896" s="5" t="str">
        <f t="shared" si="120"/>
        <v/>
      </c>
      <c r="G1896" s="1"/>
      <c r="H1896" s="77">
        <f>IF(G1896="",0,VLOOKUP(G1896,REFCE!A:D,2,FALSE))</f>
        <v>0</v>
      </c>
      <c r="I1896" s="77" t="str">
        <f t="shared" si="121"/>
        <v/>
      </c>
    </row>
    <row r="1897" spans="1:9" x14ac:dyDescent="0.25">
      <c r="A1897" s="203" t="str">
        <f>IF(DATA!M1827="","",DATA!M1827)</f>
        <v/>
      </c>
      <c r="B1897" s="203" t="str">
        <f>IF(DATA!N1827="","",DATA!N1827)</f>
        <v/>
      </c>
      <c r="C1897" s="203" t="str">
        <f>IF(DATA!O1827="","",DATA!O1827)</f>
        <v/>
      </c>
      <c r="D1897" s="203" t="str">
        <f>IF(DATA!P1827="","",DATA!P1827)</f>
        <v/>
      </c>
      <c r="E1897" s="13"/>
      <c r="F1897" s="5" t="str">
        <f t="shared" si="120"/>
        <v/>
      </c>
      <c r="G1897" s="1"/>
      <c r="H1897" s="77">
        <f>IF(G1897="",0,VLOOKUP(G1897,REFCE!A:D,2,FALSE))</f>
        <v>0</v>
      </c>
      <c r="I1897" s="77" t="str">
        <f t="shared" si="121"/>
        <v/>
      </c>
    </row>
    <row r="1898" spans="1:9" x14ac:dyDescent="0.25">
      <c r="A1898" s="203" t="str">
        <f>IF(DATA!M1828="","",DATA!M1828)</f>
        <v/>
      </c>
      <c r="B1898" s="203" t="str">
        <f>IF(DATA!N1828="","",DATA!N1828)</f>
        <v/>
      </c>
      <c r="C1898" s="203" t="str">
        <f>IF(DATA!O1828="","",DATA!O1828)</f>
        <v/>
      </c>
      <c r="D1898" s="203" t="str">
        <f>IF(DATA!P1828="","",DATA!P1828)</f>
        <v/>
      </c>
      <c r="E1898" s="13"/>
      <c r="F1898" s="5" t="str">
        <f t="shared" si="120"/>
        <v/>
      </c>
      <c r="G1898" s="1"/>
      <c r="H1898" s="77">
        <f>IF(G1898="",0,VLOOKUP(G1898,REFCE!A:D,2,FALSE))</f>
        <v>0</v>
      </c>
      <c r="I1898" s="77" t="str">
        <f t="shared" si="121"/>
        <v/>
      </c>
    </row>
    <row r="1899" spans="1:9" x14ac:dyDescent="0.25">
      <c r="A1899" s="203" t="str">
        <f>IF(DATA!M1829="","",DATA!M1829)</f>
        <v/>
      </c>
      <c r="B1899" s="203" t="str">
        <f>IF(DATA!N1829="","",DATA!N1829)</f>
        <v/>
      </c>
      <c r="C1899" s="203" t="str">
        <f>IF(DATA!O1829="","",DATA!O1829)</f>
        <v/>
      </c>
      <c r="D1899" s="203" t="str">
        <f>IF(DATA!P1829="","",DATA!P1829)</f>
        <v/>
      </c>
      <c r="E1899" s="13"/>
      <c r="F1899" s="5" t="str">
        <f t="shared" si="120"/>
        <v/>
      </c>
      <c r="G1899" s="1"/>
      <c r="H1899" s="77">
        <f>IF(G1899="",0,VLOOKUP(G1899,REFCE!A:D,2,FALSE))</f>
        <v>0</v>
      </c>
      <c r="I1899" s="77" t="str">
        <f t="shared" si="121"/>
        <v/>
      </c>
    </row>
    <row r="1900" spans="1:9" x14ac:dyDescent="0.25">
      <c r="A1900" s="203" t="str">
        <f>IF(DATA!M1830="","",DATA!M1830)</f>
        <v/>
      </c>
      <c r="B1900" s="203" t="str">
        <f>IF(DATA!N1830="","",DATA!N1830)</f>
        <v/>
      </c>
      <c r="C1900" s="203" t="str">
        <f>IF(DATA!O1830="","",DATA!O1830)</f>
        <v/>
      </c>
      <c r="D1900" s="203" t="str">
        <f>IF(DATA!P1830="","",DATA!P1830)</f>
        <v/>
      </c>
      <c r="E1900" s="13"/>
      <c r="F1900" s="5" t="str">
        <f t="shared" si="120"/>
        <v/>
      </c>
      <c r="G1900" s="1"/>
      <c r="H1900" s="77">
        <f>IF(G1900="",0,VLOOKUP(G1900,REFCE!A:D,2,FALSE))</f>
        <v>0</v>
      </c>
      <c r="I1900" s="77" t="str">
        <f t="shared" si="121"/>
        <v/>
      </c>
    </row>
    <row r="1901" spans="1:9" x14ac:dyDescent="0.25">
      <c r="A1901" s="203" t="str">
        <f>IF(DATA!M1831="","",DATA!M1831)</f>
        <v/>
      </c>
      <c r="B1901" s="203" t="str">
        <f>IF(DATA!N1831="","",DATA!N1831)</f>
        <v/>
      </c>
      <c r="C1901" s="203" t="str">
        <f>IF(DATA!O1831="","",DATA!O1831)</f>
        <v/>
      </c>
      <c r="D1901" s="203" t="str">
        <f>IF(DATA!P1831="","",DATA!P1831)</f>
        <v/>
      </c>
      <c r="E1901" s="13"/>
      <c r="F1901" s="5" t="str">
        <f t="shared" si="120"/>
        <v/>
      </c>
      <c r="G1901" s="1"/>
      <c r="H1901" s="77">
        <f>IF(G1901="",0,VLOOKUP(G1901,REFCE!A:D,2,FALSE))</f>
        <v>0</v>
      </c>
      <c r="I1901" s="77" t="str">
        <f t="shared" si="121"/>
        <v/>
      </c>
    </row>
    <row r="1902" spans="1:9" x14ac:dyDescent="0.25">
      <c r="A1902" s="203" t="str">
        <f>IF(DATA!M1832="","",DATA!M1832)</f>
        <v/>
      </c>
      <c r="B1902" s="203" t="str">
        <f>IF(DATA!N1832="","",DATA!N1832)</f>
        <v/>
      </c>
      <c r="C1902" s="203" t="str">
        <f>IF(DATA!O1832="","",DATA!O1832)</f>
        <v/>
      </c>
      <c r="D1902" s="203" t="str">
        <f>IF(DATA!P1832="","",DATA!P1832)</f>
        <v/>
      </c>
      <c r="E1902" s="13"/>
      <c r="F1902" s="5" t="str">
        <f t="shared" si="120"/>
        <v/>
      </c>
      <c r="G1902" s="1"/>
      <c r="H1902" s="77">
        <f>IF(G1902="",0,VLOOKUP(G1902,REFCE!A:D,2,FALSE))</f>
        <v>0</v>
      </c>
      <c r="I1902" s="77" t="str">
        <f t="shared" si="121"/>
        <v/>
      </c>
    </row>
    <row r="1903" spans="1:9" x14ac:dyDescent="0.25">
      <c r="A1903" s="203" t="str">
        <f>IF(DATA!M1833="","",DATA!M1833)</f>
        <v/>
      </c>
      <c r="B1903" s="203" t="str">
        <f>IF(DATA!N1833="","",DATA!N1833)</f>
        <v/>
      </c>
      <c r="C1903" s="203" t="str">
        <f>IF(DATA!O1833="","",DATA!O1833)</f>
        <v/>
      </c>
      <c r="D1903" s="203" t="str">
        <f>IF(DATA!P1833="","",DATA!P1833)</f>
        <v/>
      </c>
      <c r="E1903" s="13"/>
      <c r="F1903" s="5" t="str">
        <f t="shared" si="120"/>
        <v/>
      </c>
      <c r="G1903" s="1"/>
      <c r="H1903" s="77">
        <f>IF(G1903="",0,VLOOKUP(G1903,REFCE!A:D,2,FALSE))</f>
        <v>0</v>
      </c>
      <c r="I1903" s="77" t="str">
        <f t="shared" si="121"/>
        <v/>
      </c>
    </row>
    <row r="1904" spans="1:9" x14ac:dyDescent="0.25">
      <c r="A1904" s="203" t="str">
        <f>IF(DATA!M1834="","",DATA!M1834)</f>
        <v/>
      </c>
      <c r="B1904" s="203" t="str">
        <f>IF(DATA!N1834="","",DATA!N1834)</f>
        <v/>
      </c>
      <c r="C1904" s="203" t="str">
        <f>IF(DATA!O1834="","",DATA!O1834)</f>
        <v/>
      </c>
      <c r="D1904" s="203" t="str">
        <f>IF(DATA!P1834="","",DATA!P1834)</f>
        <v/>
      </c>
      <c r="E1904" s="13"/>
      <c r="F1904" s="5" t="str">
        <f t="shared" si="120"/>
        <v/>
      </c>
      <c r="G1904" s="1"/>
      <c r="H1904" s="77">
        <f>IF(G1904="",0,VLOOKUP(G1904,REFCE!A:D,2,FALSE))</f>
        <v>0</v>
      </c>
      <c r="I1904" s="77" t="str">
        <f t="shared" si="121"/>
        <v/>
      </c>
    </row>
    <row r="1905" spans="1:9" x14ac:dyDescent="0.25">
      <c r="A1905" s="203" t="str">
        <f>IF(DATA!M1835="","",DATA!M1835)</f>
        <v/>
      </c>
      <c r="B1905" s="203" t="str">
        <f>IF(DATA!N1835="","",DATA!N1835)</f>
        <v/>
      </c>
      <c r="C1905" s="203" t="str">
        <f>IF(DATA!O1835="","",DATA!O1835)</f>
        <v/>
      </c>
      <c r="D1905" s="203" t="str">
        <f>IF(DATA!P1835="","",DATA!P1835)</f>
        <v/>
      </c>
      <c r="E1905" s="13"/>
      <c r="F1905" s="5" t="str">
        <f t="shared" si="120"/>
        <v/>
      </c>
      <c r="G1905" s="1"/>
      <c r="H1905" s="77">
        <f>IF(G1905="",0,VLOOKUP(G1905,REFCE!A:D,2,FALSE))</f>
        <v>0</v>
      </c>
      <c r="I1905" s="77" t="str">
        <f t="shared" si="121"/>
        <v/>
      </c>
    </row>
    <row r="1906" spans="1:9" x14ac:dyDescent="0.25">
      <c r="A1906" s="203" t="str">
        <f>IF(DATA!M1836="","",DATA!M1836)</f>
        <v/>
      </c>
      <c r="B1906" s="203" t="str">
        <f>IF(DATA!N1836="","",DATA!N1836)</f>
        <v/>
      </c>
      <c r="C1906" s="203" t="str">
        <f>IF(DATA!O1836="","",DATA!O1836)</f>
        <v/>
      </c>
      <c r="D1906" s="203" t="str">
        <f>IF(DATA!P1836="","",DATA!P1836)</f>
        <v/>
      </c>
      <c r="E1906" s="13"/>
      <c r="F1906" s="5" t="str">
        <f t="shared" si="120"/>
        <v/>
      </c>
      <c r="G1906" s="1"/>
      <c r="H1906" s="77">
        <f>IF(G1906="",0,VLOOKUP(G1906,REFCE!A:D,2,FALSE))</f>
        <v>0</v>
      </c>
      <c r="I1906" s="77" t="str">
        <f t="shared" si="121"/>
        <v/>
      </c>
    </row>
    <row r="1907" spans="1:9" x14ac:dyDescent="0.25">
      <c r="A1907" s="203" t="str">
        <f>IF(DATA!M1837="","",DATA!M1837)</f>
        <v/>
      </c>
      <c r="B1907" s="203" t="str">
        <f>IF(DATA!N1837="","",DATA!N1837)</f>
        <v/>
      </c>
      <c r="C1907" s="203" t="str">
        <f>IF(DATA!O1837="","",DATA!O1837)</f>
        <v/>
      </c>
      <c r="D1907" s="203" t="str">
        <f>IF(DATA!P1837="","",DATA!P1837)</f>
        <v/>
      </c>
      <c r="E1907" s="13"/>
      <c r="F1907" s="5" t="str">
        <f t="shared" si="120"/>
        <v/>
      </c>
      <c r="G1907" s="1"/>
      <c r="H1907" s="77">
        <f>IF(G1907="",0,VLOOKUP(G1907,REFCE!A:D,2,FALSE))</f>
        <v>0</v>
      </c>
      <c r="I1907" s="77" t="str">
        <f t="shared" si="121"/>
        <v/>
      </c>
    </row>
    <row r="1908" spans="1:9" x14ac:dyDescent="0.25">
      <c r="A1908" s="203" t="str">
        <f>IF(DATA!M1838="","",DATA!M1838)</f>
        <v/>
      </c>
      <c r="B1908" s="203" t="str">
        <f>IF(DATA!N1838="","",DATA!N1838)</f>
        <v/>
      </c>
      <c r="C1908" s="203" t="str">
        <f>IF(DATA!O1838="","",DATA!O1838)</f>
        <v/>
      </c>
      <c r="D1908" s="203" t="str">
        <f>IF(DATA!P1838="","",DATA!P1838)</f>
        <v/>
      </c>
      <c r="E1908" s="13"/>
      <c r="F1908" s="5" t="str">
        <f t="shared" si="120"/>
        <v/>
      </c>
      <c r="G1908" s="1"/>
      <c r="H1908" s="77">
        <f>IF(G1908="",0,VLOOKUP(G1908,REFCE!A:D,2,FALSE))</f>
        <v>0</v>
      </c>
      <c r="I1908" s="77" t="str">
        <f t="shared" si="121"/>
        <v/>
      </c>
    </row>
    <row r="1909" spans="1:9" x14ac:dyDescent="0.25">
      <c r="A1909" s="203" t="str">
        <f>IF(DATA!M1839="","",DATA!M1839)</f>
        <v/>
      </c>
      <c r="B1909" s="203" t="str">
        <f>IF(DATA!N1839="","",DATA!N1839)</f>
        <v/>
      </c>
      <c r="C1909" s="203" t="str">
        <f>IF(DATA!O1839="","",DATA!O1839)</f>
        <v/>
      </c>
      <c r="D1909" s="203" t="str">
        <f>IF(DATA!P1839="","",DATA!P1839)</f>
        <v/>
      </c>
      <c r="E1909" s="13"/>
      <c r="F1909" s="5" t="str">
        <f t="shared" si="120"/>
        <v/>
      </c>
      <c r="G1909" s="1"/>
      <c r="H1909" s="77">
        <f>IF(G1909="",0,VLOOKUP(G1909,REFCE!A:D,2,FALSE))</f>
        <v>0</v>
      </c>
      <c r="I1909" s="77" t="str">
        <f t="shared" si="121"/>
        <v/>
      </c>
    </row>
    <row r="1910" spans="1:9" x14ac:dyDescent="0.25">
      <c r="A1910" s="203" t="str">
        <f>IF(DATA!M1840="","",DATA!M1840)</f>
        <v/>
      </c>
      <c r="B1910" s="203" t="str">
        <f>IF(DATA!N1840="","",DATA!N1840)</f>
        <v/>
      </c>
      <c r="C1910" s="203" t="str">
        <f>IF(DATA!O1840="","",DATA!O1840)</f>
        <v/>
      </c>
      <c r="D1910" s="203" t="str">
        <f>IF(DATA!P1840="","",DATA!P1840)</f>
        <v/>
      </c>
      <c r="E1910" s="13"/>
      <c r="F1910" s="5" t="str">
        <f t="shared" si="120"/>
        <v/>
      </c>
      <c r="G1910" s="1"/>
      <c r="H1910" s="77">
        <f>IF(G1910="",0,VLOOKUP(G1910,REFCE!A:D,2,FALSE))</f>
        <v>0</v>
      </c>
      <c r="I1910" s="77" t="str">
        <f t="shared" si="121"/>
        <v/>
      </c>
    </row>
    <row r="1911" spans="1:9" x14ac:dyDescent="0.25">
      <c r="A1911" s="203" t="str">
        <f>IF(DATA!M1841="","",DATA!M1841)</f>
        <v/>
      </c>
      <c r="B1911" s="203" t="str">
        <f>IF(DATA!N1841="","",DATA!N1841)</f>
        <v/>
      </c>
      <c r="C1911" s="203" t="str">
        <f>IF(DATA!O1841="","",DATA!O1841)</f>
        <v/>
      </c>
      <c r="D1911" s="203" t="str">
        <f>IF(DATA!P1841="","",DATA!P1841)</f>
        <v/>
      </c>
      <c r="E1911" s="13"/>
      <c r="F1911" s="5" t="str">
        <f t="shared" si="120"/>
        <v/>
      </c>
      <c r="G1911" s="1"/>
      <c r="H1911" s="77">
        <f>IF(G1911="",0,VLOOKUP(G1911,REFCE!A:D,2,FALSE))</f>
        <v>0</v>
      </c>
      <c r="I1911" s="77" t="str">
        <f t="shared" si="121"/>
        <v/>
      </c>
    </row>
    <row r="1912" spans="1:9" x14ac:dyDescent="0.25">
      <c r="A1912" s="203" t="str">
        <f>IF(DATA!M1842="","",DATA!M1842)</f>
        <v/>
      </c>
      <c r="B1912" s="203" t="str">
        <f>IF(DATA!N1842="","",DATA!N1842)</f>
        <v/>
      </c>
      <c r="C1912" s="203" t="str">
        <f>IF(DATA!O1842="","",DATA!O1842)</f>
        <v/>
      </c>
      <c r="D1912" s="203" t="str">
        <f>IF(DATA!P1842="","",DATA!P1842)</f>
        <v/>
      </c>
      <c r="E1912" s="13"/>
      <c r="F1912" s="5" t="str">
        <f t="shared" si="120"/>
        <v/>
      </c>
      <c r="G1912" s="1"/>
      <c r="H1912" s="77">
        <f>IF(G1912="",0,VLOOKUP(G1912,REFCE!A:D,2,FALSE))</f>
        <v>0</v>
      </c>
      <c r="I1912" s="77" t="str">
        <f t="shared" si="121"/>
        <v/>
      </c>
    </row>
    <row r="1913" spans="1:9" x14ac:dyDescent="0.25">
      <c r="A1913" s="203" t="str">
        <f>IF(DATA!M1843="","",DATA!M1843)</f>
        <v/>
      </c>
      <c r="B1913" s="203" t="str">
        <f>IF(DATA!N1843="","",DATA!N1843)</f>
        <v/>
      </c>
      <c r="C1913" s="203" t="str">
        <f>IF(DATA!O1843="","",DATA!O1843)</f>
        <v/>
      </c>
      <c r="D1913" s="203" t="str">
        <f>IF(DATA!P1843="","",DATA!P1843)</f>
        <v/>
      </c>
      <c r="E1913" s="13"/>
      <c r="F1913" s="5" t="str">
        <f t="shared" si="120"/>
        <v/>
      </c>
      <c r="G1913" s="1"/>
      <c r="H1913" s="77">
        <f>IF(G1913="",0,VLOOKUP(G1913,REFCE!A:D,2,FALSE))</f>
        <v>0</v>
      </c>
      <c r="I1913" s="77" t="str">
        <f t="shared" si="121"/>
        <v/>
      </c>
    </row>
    <row r="1914" spans="1:9" x14ac:dyDescent="0.25">
      <c r="A1914" s="203" t="str">
        <f>IF(DATA!M1844="","",DATA!M1844)</f>
        <v/>
      </c>
      <c r="B1914" s="203" t="str">
        <f>IF(DATA!N1844="","",DATA!N1844)</f>
        <v/>
      </c>
      <c r="C1914" s="203" t="str">
        <f>IF(DATA!O1844="","",DATA!O1844)</f>
        <v/>
      </c>
      <c r="D1914" s="203" t="str">
        <f>IF(DATA!P1844="","",DATA!P1844)</f>
        <v/>
      </c>
      <c r="E1914" s="13"/>
      <c r="F1914" s="5" t="str">
        <f t="shared" si="120"/>
        <v/>
      </c>
      <c r="G1914" s="1"/>
      <c r="H1914" s="77">
        <f>IF(G1914="",0,VLOOKUP(G1914,REFCE!A:D,2,FALSE))</f>
        <v>0</v>
      </c>
      <c r="I1914" s="77" t="str">
        <f t="shared" si="121"/>
        <v/>
      </c>
    </row>
    <row r="1915" spans="1:9" x14ac:dyDescent="0.25">
      <c r="A1915" s="203" t="str">
        <f>IF(DATA!M1845="","",DATA!M1845)</f>
        <v/>
      </c>
      <c r="B1915" s="203" t="str">
        <f>IF(DATA!N1845="","",DATA!N1845)</f>
        <v/>
      </c>
      <c r="C1915" s="203" t="str">
        <f>IF(DATA!O1845="","",DATA!O1845)</f>
        <v/>
      </c>
      <c r="D1915" s="203" t="str">
        <f>IF(DATA!P1845="","",DATA!P1845)</f>
        <v/>
      </c>
      <c r="E1915" s="13"/>
      <c r="F1915" s="5" t="str">
        <f t="shared" si="120"/>
        <v/>
      </c>
      <c r="G1915" s="1"/>
      <c r="H1915" s="77">
        <f>IF(G1915="",0,VLOOKUP(G1915,REFCE!A:D,2,FALSE))</f>
        <v>0</v>
      </c>
      <c r="I1915" s="77" t="str">
        <f t="shared" si="121"/>
        <v/>
      </c>
    </row>
    <row r="1916" spans="1:9" x14ac:dyDescent="0.25">
      <c r="A1916" s="203" t="str">
        <f>IF(DATA!M1846="","",DATA!M1846)</f>
        <v/>
      </c>
      <c r="B1916" s="203" t="str">
        <f>IF(DATA!N1846="","",DATA!N1846)</f>
        <v/>
      </c>
      <c r="C1916" s="203" t="str">
        <f>IF(DATA!O1846="","",DATA!O1846)</f>
        <v/>
      </c>
      <c r="D1916" s="203" t="str">
        <f>IF(DATA!P1846="","",DATA!P1846)</f>
        <v/>
      </c>
      <c r="E1916" s="13"/>
      <c r="F1916" s="5" t="str">
        <f t="shared" si="120"/>
        <v/>
      </c>
      <c r="G1916" s="1"/>
      <c r="H1916" s="77">
        <f>IF(G1916="",0,VLOOKUP(G1916,REFCE!A:D,2,FALSE))</f>
        <v>0</v>
      </c>
      <c r="I1916" s="77" t="str">
        <f t="shared" si="121"/>
        <v/>
      </c>
    </row>
    <row r="1917" spans="1:9" x14ac:dyDescent="0.25">
      <c r="A1917" s="203" t="str">
        <f>IF(DATA!M1847="","",DATA!M1847)</f>
        <v/>
      </c>
      <c r="B1917" s="203" t="str">
        <f>IF(DATA!N1847="","",DATA!N1847)</f>
        <v/>
      </c>
      <c r="C1917" s="203" t="str">
        <f>IF(DATA!O1847="","",DATA!O1847)</f>
        <v/>
      </c>
      <c r="D1917" s="203" t="str">
        <f>IF(DATA!P1847="","",DATA!P1847)</f>
        <v/>
      </c>
      <c r="E1917" s="13"/>
      <c r="F1917" s="5" t="str">
        <f t="shared" si="120"/>
        <v/>
      </c>
      <c r="G1917" s="1"/>
      <c r="H1917" s="77">
        <f>IF(G1917="",0,VLOOKUP(G1917,REFCE!A:D,2,FALSE))</f>
        <v>0</v>
      </c>
      <c r="I1917" s="77" t="str">
        <f t="shared" si="121"/>
        <v/>
      </c>
    </row>
    <row r="1918" spans="1:9" x14ac:dyDescent="0.25">
      <c r="A1918" s="203" t="str">
        <f>IF(DATA!M1848="","",DATA!M1848)</f>
        <v/>
      </c>
      <c r="B1918" s="203" t="str">
        <f>IF(DATA!N1848="","",DATA!N1848)</f>
        <v/>
      </c>
      <c r="C1918" s="203" t="str">
        <f>IF(DATA!O1848="","",DATA!O1848)</f>
        <v/>
      </c>
      <c r="D1918" s="203" t="str">
        <f>IF(DATA!P1848="","",DATA!P1848)</f>
        <v/>
      </c>
      <c r="E1918" s="13"/>
      <c r="F1918" s="5" t="str">
        <f t="shared" si="120"/>
        <v/>
      </c>
      <c r="G1918" s="1"/>
      <c r="H1918" s="77">
        <f>IF(G1918="",0,VLOOKUP(G1918,REFCE!A:D,2,FALSE))</f>
        <v>0</v>
      </c>
      <c r="I1918" s="77" t="str">
        <f t="shared" si="121"/>
        <v/>
      </c>
    </row>
    <row r="1919" spans="1:9" x14ac:dyDescent="0.25">
      <c r="A1919" s="203" t="str">
        <f>IF(DATA!M1849="","",DATA!M1849)</f>
        <v/>
      </c>
      <c r="B1919" s="203" t="str">
        <f>IF(DATA!N1849="","",DATA!N1849)</f>
        <v/>
      </c>
      <c r="C1919" s="203" t="str">
        <f>IF(DATA!O1849="","",DATA!O1849)</f>
        <v/>
      </c>
      <c r="D1919" s="203" t="str">
        <f>IF(DATA!P1849="","",DATA!P1849)</f>
        <v/>
      </c>
      <c r="E1919" s="13"/>
      <c r="F1919" s="5" t="str">
        <f t="shared" si="120"/>
        <v/>
      </c>
      <c r="G1919" s="1"/>
      <c r="H1919" s="77">
        <f>IF(G1919="",0,VLOOKUP(G1919,REFCE!A:D,2,FALSE))</f>
        <v>0</v>
      </c>
      <c r="I1919" s="77" t="str">
        <f t="shared" si="121"/>
        <v/>
      </c>
    </row>
    <row r="1920" spans="1:9" x14ac:dyDescent="0.25">
      <c r="A1920" s="203" t="str">
        <f>IF(DATA!M1850="","",DATA!M1850)</f>
        <v/>
      </c>
      <c r="B1920" s="203" t="str">
        <f>IF(DATA!N1850="","",DATA!N1850)</f>
        <v/>
      </c>
      <c r="C1920" s="203" t="str">
        <f>IF(DATA!O1850="","",DATA!O1850)</f>
        <v/>
      </c>
      <c r="D1920" s="203" t="str">
        <f>IF(DATA!P1850="","",DATA!P1850)</f>
        <v/>
      </c>
      <c r="E1920" s="13"/>
      <c r="F1920" s="5" t="str">
        <f t="shared" si="120"/>
        <v/>
      </c>
      <c r="G1920" s="1"/>
      <c r="H1920" s="77">
        <f>IF(G1920="",0,VLOOKUP(G1920,REFCE!A:D,2,FALSE))</f>
        <v>0</v>
      </c>
      <c r="I1920" s="77" t="str">
        <f t="shared" si="121"/>
        <v/>
      </c>
    </row>
    <row r="1921" spans="1:9" x14ac:dyDescent="0.25">
      <c r="A1921" s="203" t="str">
        <f>IF(DATA!M1851="","",DATA!M1851)</f>
        <v/>
      </c>
      <c r="B1921" s="203" t="str">
        <f>IF(DATA!N1851="","",DATA!N1851)</f>
        <v/>
      </c>
      <c r="C1921" s="203" t="str">
        <f>IF(DATA!O1851="","",DATA!O1851)</f>
        <v/>
      </c>
      <c r="D1921" s="203" t="str">
        <f>IF(DATA!P1851="","",DATA!P1851)</f>
        <v/>
      </c>
      <c r="E1921" s="13"/>
      <c r="F1921" s="5" t="str">
        <f t="shared" si="120"/>
        <v/>
      </c>
      <c r="G1921" s="1"/>
      <c r="H1921" s="77">
        <f>IF(G1921="",0,VLOOKUP(G1921,REFCE!A:D,2,FALSE))</f>
        <v>0</v>
      </c>
      <c r="I1921" s="77" t="str">
        <f t="shared" si="121"/>
        <v/>
      </c>
    </row>
    <row r="1922" spans="1:9" x14ac:dyDescent="0.25">
      <c r="A1922" s="203" t="str">
        <f>IF(DATA!M1852="","",DATA!M1852)</f>
        <v/>
      </c>
      <c r="B1922" s="203" t="str">
        <f>IF(DATA!N1852="","",DATA!N1852)</f>
        <v/>
      </c>
      <c r="C1922" s="203" t="str">
        <f>IF(DATA!O1852="","",DATA!O1852)</f>
        <v/>
      </c>
      <c r="D1922" s="203" t="str">
        <f>IF(DATA!P1852="","",DATA!P1852)</f>
        <v/>
      </c>
      <c r="E1922" s="13"/>
      <c r="F1922" s="5" t="str">
        <f t="shared" si="120"/>
        <v/>
      </c>
      <c r="G1922" s="1"/>
      <c r="H1922" s="77">
        <f>IF(G1922="",0,VLOOKUP(G1922,REFCE!A:D,2,FALSE))</f>
        <v>0</v>
      </c>
      <c r="I1922" s="77" t="str">
        <f t="shared" si="121"/>
        <v/>
      </c>
    </row>
    <row r="1923" spans="1:9" x14ac:dyDescent="0.25">
      <c r="A1923" s="203" t="str">
        <f>IF(DATA!M1853="","",DATA!M1853)</f>
        <v/>
      </c>
      <c r="B1923" s="203" t="str">
        <f>IF(DATA!N1853="","",DATA!N1853)</f>
        <v/>
      </c>
      <c r="C1923" s="203" t="str">
        <f>IF(DATA!O1853="","",DATA!O1853)</f>
        <v/>
      </c>
      <c r="D1923" s="203" t="str">
        <f>IF(DATA!P1853="","",DATA!P1853)</f>
        <v/>
      </c>
      <c r="E1923" s="13"/>
      <c r="F1923" s="5" t="str">
        <f t="shared" si="120"/>
        <v/>
      </c>
      <c r="G1923" s="1"/>
      <c r="H1923" s="77">
        <f>IF(G1923="",0,VLOOKUP(G1923,REFCE!A:D,2,FALSE))</f>
        <v>0</v>
      </c>
      <c r="I1923" s="77" t="str">
        <f t="shared" si="121"/>
        <v/>
      </c>
    </row>
    <row r="1924" spans="1:9" x14ac:dyDescent="0.25">
      <c r="A1924" s="203" t="str">
        <f>IF(DATA!M1854="","",DATA!M1854)</f>
        <v/>
      </c>
      <c r="B1924" s="203" t="str">
        <f>IF(DATA!N1854="","",DATA!N1854)</f>
        <v/>
      </c>
      <c r="C1924" s="203" t="str">
        <f>IF(DATA!O1854="","",DATA!O1854)</f>
        <v/>
      </c>
      <c r="D1924" s="203" t="str">
        <f>IF(DATA!P1854="","",DATA!P1854)</f>
        <v/>
      </c>
      <c r="E1924" s="13"/>
      <c r="F1924" s="5" t="str">
        <f t="shared" si="120"/>
        <v/>
      </c>
      <c r="G1924" s="1"/>
      <c r="H1924" s="77">
        <f>IF(G1924="",0,VLOOKUP(G1924,REFCE!A:D,2,FALSE))</f>
        <v>0</v>
      </c>
      <c r="I1924" s="77" t="str">
        <f t="shared" si="121"/>
        <v/>
      </c>
    </row>
    <row r="1925" spans="1:9" x14ac:dyDescent="0.25">
      <c r="A1925" s="203" t="str">
        <f>IF(DATA!M1855="","",DATA!M1855)</f>
        <v/>
      </c>
      <c r="B1925" s="203" t="str">
        <f>IF(DATA!N1855="","",DATA!N1855)</f>
        <v/>
      </c>
      <c r="C1925" s="203" t="str">
        <f>IF(DATA!O1855="","",DATA!O1855)</f>
        <v/>
      </c>
      <c r="D1925" s="203" t="str">
        <f>IF(DATA!P1855="","",DATA!P1855)</f>
        <v/>
      </c>
      <c r="E1925" s="13"/>
      <c r="F1925" s="5" t="str">
        <f t="shared" si="120"/>
        <v/>
      </c>
      <c r="G1925" s="1"/>
      <c r="H1925" s="77">
        <f>IF(G1925="",0,VLOOKUP(G1925,REFCE!A:D,2,FALSE))</f>
        <v>0</v>
      </c>
      <c r="I1925" s="77" t="str">
        <f t="shared" si="121"/>
        <v/>
      </c>
    </row>
    <row r="1926" spans="1:9" x14ac:dyDescent="0.25">
      <c r="A1926" s="203" t="str">
        <f>IF(DATA!M1856="","",DATA!M1856)</f>
        <v/>
      </c>
      <c r="B1926" s="203" t="str">
        <f>IF(DATA!N1856="","",DATA!N1856)</f>
        <v/>
      </c>
      <c r="C1926" s="203" t="str">
        <f>IF(DATA!O1856="","",DATA!O1856)</f>
        <v/>
      </c>
      <c r="D1926" s="203" t="str">
        <f>IF(DATA!P1856="","",DATA!P1856)</f>
        <v/>
      </c>
      <c r="E1926" s="13"/>
      <c r="F1926" s="5" t="str">
        <f t="shared" si="120"/>
        <v/>
      </c>
      <c r="G1926" s="1"/>
      <c r="H1926" s="77">
        <f>IF(G1926="",0,VLOOKUP(G1926,REFCE!A:D,2,FALSE))</f>
        <v>0</v>
      </c>
      <c r="I1926" s="77" t="str">
        <f t="shared" si="121"/>
        <v/>
      </c>
    </row>
    <row r="1927" spans="1:9" x14ac:dyDescent="0.25">
      <c r="A1927" s="203" t="str">
        <f>IF(DATA!M1857="","",DATA!M1857)</f>
        <v/>
      </c>
      <c r="B1927" s="203" t="str">
        <f>IF(DATA!N1857="","",DATA!N1857)</f>
        <v/>
      </c>
      <c r="C1927" s="203" t="str">
        <f>IF(DATA!O1857="","",DATA!O1857)</f>
        <v/>
      </c>
      <c r="D1927" s="203" t="str">
        <f>IF(DATA!P1857="","",DATA!P1857)</f>
        <v/>
      </c>
      <c r="E1927" s="13"/>
      <c r="F1927" s="5" t="str">
        <f t="shared" si="120"/>
        <v/>
      </c>
      <c r="G1927" s="1"/>
      <c r="H1927" s="77">
        <f>IF(G1927="",0,VLOOKUP(G1927,REFCE!A:D,2,FALSE))</f>
        <v>0</v>
      </c>
      <c r="I1927" s="77" t="str">
        <f t="shared" si="121"/>
        <v/>
      </c>
    </row>
    <row r="1928" spans="1:9" x14ac:dyDescent="0.25">
      <c r="A1928" s="203" t="str">
        <f>IF(DATA!M1858="","",DATA!M1858)</f>
        <v/>
      </c>
      <c r="B1928" s="203" t="str">
        <f>IF(DATA!N1858="","",DATA!N1858)</f>
        <v/>
      </c>
      <c r="C1928" s="203" t="str">
        <f>IF(DATA!O1858="","",DATA!O1858)</f>
        <v/>
      </c>
      <c r="D1928" s="203" t="str">
        <f>IF(DATA!P1858="","",DATA!P1858)</f>
        <v/>
      </c>
      <c r="E1928" s="13"/>
      <c r="F1928" s="5" t="str">
        <f t="shared" si="120"/>
        <v/>
      </c>
      <c r="G1928" s="1"/>
      <c r="H1928" s="77">
        <f>IF(G1928="",0,VLOOKUP(G1928,REFCE!A:D,2,FALSE))</f>
        <v>0</v>
      </c>
      <c r="I1928" s="77" t="str">
        <f t="shared" si="121"/>
        <v/>
      </c>
    </row>
    <row r="1929" spans="1:9" x14ac:dyDescent="0.25">
      <c r="A1929" s="203" t="str">
        <f>IF(DATA!M1859="","",DATA!M1859)</f>
        <v/>
      </c>
      <c r="B1929" s="203" t="str">
        <f>IF(DATA!N1859="","",DATA!N1859)</f>
        <v/>
      </c>
      <c r="C1929" s="203" t="str">
        <f>IF(DATA!O1859="","",DATA!O1859)</f>
        <v/>
      </c>
      <c r="D1929" s="203" t="str">
        <f>IF(DATA!P1859="","",DATA!P1859)</f>
        <v/>
      </c>
      <c r="E1929" s="13"/>
      <c r="F1929" s="5" t="str">
        <f t="shared" si="120"/>
        <v/>
      </c>
      <c r="G1929" s="1"/>
      <c r="H1929" s="77">
        <f>IF(G1929="",0,VLOOKUP(G1929,REFCE!A:D,2,FALSE))</f>
        <v>0</v>
      </c>
      <c r="I1929" s="77" t="str">
        <f t="shared" si="121"/>
        <v/>
      </c>
    </row>
    <row r="1930" spans="1:9" x14ac:dyDescent="0.25">
      <c r="A1930" s="203" t="str">
        <f>IF(DATA!M1860="","",DATA!M1860)</f>
        <v/>
      </c>
      <c r="B1930" s="203" t="str">
        <f>IF(DATA!N1860="","",DATA!N1860)</f>
        <v/>
      </c>
      <c r="C1930" s="203" t="str">
        <f>IF(DATA!O1860="","",DATA!O1860)</f>
        <v/>
      </c>
      <c r="D1930" s="203" t="str">
        <f>IF(DATA!P1860="","",DATA!P1860)</f>
        <v/>
      </c>
      <c r="E1930" s="13"/>
      <c r="F1930" s="5" t="str">
        <f t="shared" si="120"/>
        <v/>
      </c>
      <c r="G1930" s="1"/>
      <c r="H1930" s="77">
        <f>IF(G1930="",0,VLOOKUP(G1930,REFCE!A:D,2,FALSE))</f>
        <v>0</v>
      </c>
      <c r="I1930" s="77" t="str">
        <f t="shared" si="121"/>
        <v/>
      </c>
    </row>
    <row r="1931" spans="1:9" x14ac:dyDescent="0.25">
      <c r="A1931" s="203" t="str">
        <f>IF(DATA!M1861="","",DATA!M1861)</f>
        <v/>
      </c>
      <c r="B1931" s="203" t="str">
        <f>IF(DATA!N1861="","",DATA!N1861)</f>
        <v/>
      </c>
      <c r="C1931" s="203" t="str">
        <f>IF(DATA!O1861="","",DATA!O1861)</f>
        <v/>
      </c>
      <c r="D1931" s="203" t="str">
        <f>IF(DATA!P1861="","",DATA!P1861)</f>
        <v/>
      </c>
      <c r="E1931" s="13"/>
      <c r="F1931" s="5" t="str">
        <f t="shared" si="120"/>
        <v/>
      </c>
      <c r="G1931" s="1"/>
      <c r="H1931" s="77">
        <f>IF(G1931="",0,VLOOKUP(G1931,REFCE!A:D,2,FALSE))</f>
        <v>0</v>
      </c>
      <c r="I1931" s="77" t="str">
        <f t="shared" si="121"/>
        <v/>
      </c>
    </row>
    <row r="1932" spans="1:9" x14ac:dyDescent="0.25">
      <c r="A1932" s="203" t="str">
        <f>IF(DATA!M1862="","",DATA!M1862)</f>
        <v/>
      </c>
      <c r="B1932" s="203" t="str">
        <f>IF(DATA!N1862="","",DATA!N1862)</f>
        <v/>
      </c>
      <c r="C1932" s="203" t="str">
        <f>IF(DATA!O1862="","",DATA!O1862)</f>
        <v/>
      </c>
      <c r="D1932" s="203" t="str">
        <f>IF(DATA!P1862="","",DATA!P1862)</f>
        <v/>
      </c>
      <c r="E1932" s="13"/>
      <c r="F1932" s="5" t="str">
        <f t="shared" si="120"/>
        <v/>
      </c>
      <c r="G1932" s="1"/>
      <c r="H1932" s="77">
        <f>IF(G1932="",0,VLOOKUP(G1932,REFCE!A:D,2,FALSE))</f>
        <v>0</v>
      </c>
      <c r="I1932" s="77" t="str">
        <f t="shared" si="121"/>
        <v/>
      </c>
    </row>
    <row r="1933" spans="1:9" x14ac:dyDescent="0.25">
      <c r="A1933" s="203" t="str">
        <f>IF(DATA!M1863="","",DATA!M1863)</f>
        <v/>
      </c>
      <c r="B1933" s="203" t="str">
        <f>IF(DATA!N1863="","",DATA!N1863)</f>
        <v/>
      </c>
      <c r="C1933" s="203" t="str">
        <f>IF(DATA!O1863="","",DATA!O1863)</f>
        <v/>
      </c>
      <c r="D1933" s="203" t="str">
        <f>IF(DATA!P1863="","",DATA!P1863)</f>
        <v/>
      </c>
      <c r="E1933" s="13"/>
      <c r="F1933" s="5" t="str">
        <f t="shared" si="120"/>
        <v/>
      </c>
      <c r="G1933" s="1"/>
      <c r="H1933" s="77">
        <f>IF(G1933="",0,VLOOKUP(G1933,REFCE!A:D,2,FALSE))</f>
        <v>0</v>
      </c>
      <c r="I1933" s="77" t="str">
        <f t="shared" si="121"/>
        <v/>
      </c>
    </row>
    <row r="1934" spans="1:9" x14ac:dyDescent="0.25">
      <c r="A1934" s="203" t="str">
        <f>IF(DATA!M1864="","",DATA!M1864)</f>
        <v/>
      </c>
      <c r="B1934" s="203" t="str">
        <f>IF(DATA!N1864="","",DATA!N1864)</f>
        <v/>
      </c>
      <c r="C1934" s="203" t="str">
        <f>IF(DATA!O1864="","",DATA!O1864)</f>
        <v/>
      </c>
      <c r="D1934" s="203" t="str">
        <f>IF(DATA!P1864="","",DATA!P1864)</f>
        <v/>
      </c>
      <c r="E1934" s="13"/>
      <c r="F1934" s="5" t="str">
        <f t="shared" ref="F1934:F1997" si="122">IF(D1934="","",D1934*E1934)</f>
        <v/>
      </c>
      <c r="G1934" s="1"/>
      <c r="H1934" s="77">
        <f>IF(G1934="",0,VLOOKUP(G1934,REFCE!A:D,2,FALSE))</f>
        <v>0</v>
      </c>
      <c r="I1934" s="77" t="str">
        <f t="shared" ref="I1934:I1997" si="123">IF(F1934="","",F1934*H1934)</f>
        <v/>
      </c>
    </row>
    <row r="1935" spans="1:9" x14ac:dyDescent="0.25">
      <c r="A1935" s="203" t="str">
        <f>IF(DATA!M1865="","",DATA!M1865)</f>
        <v/>
      </c>
      <c r="B1935" s="203" t="str">
        <f>IF(DATA!N1865="","",DATA!N1865)</f>
        <v/>
      </c>
      <c r="C1935" s="203" t="str">
        <f>IF(DATA!O1865="","",DATA!O1865)</f>
        <v/>
      </c>
      <c r="D1935" s="203" t="str">
        <f>IF(DATA!P1865="","",DATA!P1865)</f>
        <v/>
      </c>
      <c r="E1935" s="13"/>
      <c r="F1935" s="5" t="str">
        <f t="shared" si="122"/>
        <v/>
      </c>
      <c r="G1935" s="1"/>
      <c r="H1935" s="77">
        <f>IF(G1935="",0,VLOOKUP(G1935,REFCE!A:D,2,FALSE))</f>
        <v>0</v>
      </c>
      <c r="I1935" s="77" t="str">
        <f t="shared" si="123"/>
        <v/>
      </c>
    </row>
    <row r="1936" spans="1:9" x14ac:dyDescent="0.25">
      <c r="A1936" s="203" t="str">
        <f>IF(DATA!M1866="","",DATA!M1866)</f>
        <v/>
      </c>
      <c r="B1936" s="203" t="str">
        <f>IF(DATA!N1866="","",DATA!N1866)</f>
        <v/>
      </c>
      <c r="C1936" s="203" t="str">
        <f>IF(DATA!O1866="","",DATA!O1866)</f>
        <v/>
      </c>
      <c r="D1936" s="203" t="str">
        <f>IF(DATA!P1866="","",DATA!P1866)</f>
        <v/>
      </c>
      <c r="E1936" s="13"/>
      <c r="F1936" s="5" t="str">
        <f t="shared" si="122"/>
        <v/>
      </c>
      <c r="G1936" s="1"/>
      <c r="H1936" s="77">
        <f>IF(G1936="",0,VLOOKUP(G1936,REFCE!A:D,2,FALSE))</f>
        <v>0</v>
      </c>
      <c r="I1936" s="77" t="str">
        <f t="shared" si="123"/>
        <v/>
      </c>
    </row>
    <row r="1937" spans="1:9" x14ac:dyDescent="0.25">
      <c r="A1937" s="203" t="str">
        <f>IF(DATA!M1867="","",DATA!M1867)</f>
        <v/>
      </c>
      <c r="B1937" s="203" t="str">
        <f>IF(DATA!N1867="","",DATA!N1867)</f>
        <v/>
      </c>
      <c r="C1937" s="203" t="str">
        <f>IF(DATA!O1867="","",DATA!O1867)</f>
        <v/>
      </c>
      <c r="D1937" s="203" t="str">
        <f>IF(DATA!P1867="","",DATA!P1867)</f>
        <v/>
      </c>
      <c r="E1937" s="13"/>
      <c r="F1937" s="5" t="str">
        <f t="shared" si="122"/>
        <v/>
      </c>
      <c r="G1937" s="1"/>
      <c r="H1937" s="77">
        <f>IF(G1937="",0,VLOOKUP(G1937,REFCE!A:D,2,FALSE))</f>
        <v>0</v>
      </c>
      <c r="I1937" s="77" t="str">
        <f t="shared" si="123"/>
        <v/>
      </c>
    </row>
    <row r="1938" spans="1:9" x14ac:dyDescent="0.25">
      <c r="A1938" s="203" t="str">
        <f>IF(DATA!M1868="","",DATA!M1868)</f>
        <v/>
      </c>
      <c r="B1938" s="203" t="str">
        <f>IF(DATA!N1868="","",DATA!N1868)</f>
        <v/>
      </c>
      <c r="C1938" s="203" t="str">
        <f>IF(DATA!O1868="","",DATA!O1868)</f>
        <v/>
      </c>
      <c r="D1938" s="203" t="str">
        <f>IF(DATA!P1868="","",DATA!P1868)</f>
        <v/>
      </c>
      <c r="E1938" s="13"/>
      <c r="F1938" s="5" t="str">
        <f t="shared" si="122"/>
        <v/>
      </c>
      <c r="G1938" s="1"/>
      <c r="H1938" s="77">
        <f>IF(G1938="",0,VLOOKUP(G1938,REFCE!A:D,2,FALSE))</f>
        <v>0</v>
      </c>
      <c r="I1938" s="77" t="str">
        <f t="shared" si="123"/>
        <v/>
      </c>
    </row>
    <row r="1939" spans="1:9" x14ac:dyDescent="0.25">
      <c r="A1939" s="203" t="str">
        <f>IF(DATA!M1869="","",DATA!M1869)</f>
        <v/>
      </c>
      <c r="B1939" s="203" t="str">
        <f>IF(DATA!N1869="","",DATA!N1869)</f>
        <v/>
      </c>
      <c r="C1939" s="203" t="str">
        <f>IF(DATA!O1869="","",DATA!O1869)</f>
        <v/>
      </c>
      <c r="D1939" s="203" t="str">
        <f>IF(DATA!P1869="","",DATA!P1869)</f>
        <v/>
      </c>
      <c r="E1939" s="13"/>
      <c r="F1939" s="5" t="str">
        <f t="shared" si="122"/>
        <v/>
      </c>
      <c r="G1939" s="1"/>
      <c r="H1939" s="77">
        <f>IF(G1939="",0,VLOOKUP(G1939,REFCE!A:D,2,FALSE))</f>
        <v>0</v>
      </c>
      <c r="I1939" s="77" t="str">
        <f t="shared" si="123"/>
        <v/>
      </c>
    </row>
    <row r="1940" spans="1:9" x14ac:dyDescent="0.25">
      <c r="A1940" s="203" t="str">
        <f>IF(DATA!M1870="","",DATA!M1870)</f>
        <v/>
      </c>
      <c r="B1940" s="203" t="str">
        <f>IF(DATA!N1870="","",DATA!N1870)</f>
        <v/>
      </c>
      <c r="C1940" s="203" t="str">
        <f>IF(DATA!O1870="","",DATA!O1870)</f>
        <v/>
      </c>
      <c r="D1940" s="203" t="str">
        <f>IF(DATA!P1870="","",DATA!P1870)</f>
        <v/>
      </c>
      <c r="E1940" s="13"/>
      <c r="F1940" s="5" t="str">
        <f t="shared" si="122"/>
        <v/>
      </c>
      <c r="G1940" s="1"/>
      <c r="H1940" s="77">
        <f>IF(G1940="",0,VLOOKUP(G1940,REFCE!A:D,2,FALSE))</f>
        <v>0</v>
      </c>
      <c r="I1940" s="77" t="str">
        <f t="shared" si="123"/>
        <v/>
      </c>
    </row>
    <row r="1941" spans="1:9" x14ac:dyDescent="0.25">
      <c r="A1941" s="203" t="str">
        <f>IF(DATA!M1871="","",DATA!M1871)</f>
        <v/>
      </c>
      <c r="B1941" s="203" t="str">
        <f>IF(DATA!N1871="","",DATA!N1871)</f>
        <v/>
      </c>
      <c r="C1941" s="203" t="str">
        <f>IF(DATA!O1871="","",DATA!O1871)</f>
        <v/>
      </c>
      <c r="D1941" s="203" t="str">
        <f>IF(DATA!P1871="","",DATA!P1871)</f>
        <v/>
      </c>
      <c r="E1941" s="13"/>
      <c r="F1941" s="5" t="str">
        <f t="shared" si="122"/>
        <v/>
      </c>
      <c r="G1941" s="1"/>
      <c r="H1941" s="77">
        <f>IF(G1941="",0,VLOOKUP(G1941,REFCE!A:D,2,FALSE))</f>
        <v>0</v>
      </c>
      <c r="I1941" s="77" t="str">
        <f t="shared" si="123"/>
        <v/>
      </c>
    </row>
    <row r="1942" spans="1:9" x14ac:dyDescent="0.25">
      <c r="A1942" s="203" t="str">
        <f>IF(DATA!M1872="","",DATA!M1872)</f>
        <v/>
      </c>
      <c r="B1942" s="203" t="str">
        <f>IF(DATA!N1872="","",DATA!N1872)</f>
        <v/>
      </c>
      <c r="C1942" s="203" t="str">
        <f>IF(DATA!O1872="","",DATA!O1872)</f>
        <v/>
      </c>
      <c r="D1942" s="203" t="str">
        <f>IF(DATA!P1872="","",DATA!P1872)</f>
        <v/>
      </c>
      <c r="E1942" s="13"/>
      <c r="F1942" s="5" t="str">
        <f t="shared" si="122"/>
        <v/>
      </c>
      <c r="G1942" s="1"/>
      <c r="H1942" s="77">
        <f>IF(G1942="",0,VLOOKUP(G1942,REFCE!A:D,2,FALSE))</f>
        <v>0</v>
      </c>
      <c r="I1942" s="77" t="str">
        <f t="shared" si="123"/>
        <v/>
      </c>
    </row>
    <row r="1943" spans="1:9" x14ac:dyDescent="0.25">
      <c r="A1943" s="203" t="str">
        <f>IF(DATA!M1873="","",DATA!M1873)</f>
        <v/>
      </c>
      <c r="B1943" s="203" t="str">
        <f>IF(DATA!N1873="","",DATA!N1873)</f>
        <v/>
      </c>
      <c r="C1943" s="203" t="str">
        <f>IF(DATA!O1873="","",DATA!O1873)</f>
        <v/>
      </c>
      <c r="D1943" s="203" t="str">
        <f>IF(DATA!P1873="","",DATA!P1873)</f>
        <v/>
      </c>
      <c r="E1943" s="13"/>
      <c r="F1943" s="5" t="str">
        <f t="shared" si="122"/>
        <v/>
      </c>
      <c r="G1943" s="1"/>
      <c r="H1943" s="77">
        <f>IF(G1943="",0,VLOOKUP(G1943,REFCE!A:D,2,FALSE))</f>
        <v>0</v>
      </c>
      <c r="I1943" s="77" t="str">
        <f t="shared" si="123"/>
        <v/>
      </c>
    </row>
    <row r="1944" spans="1:9" x14ac:dyDescent="0.25">
      <c r="A1944" s="203" t="str">
        <f>IF(DATA!M1874="","",DATA!M1874)</f>
        <v/>
      </c>
      <c r="B1944" s="203" t="str">
        <f>IF(DATA!N1874="","",DATA!N1874)</f>
        <v/>
      </c>
      <c r="C1944" s="203" t="str">
        <f>IF(DATA!O1874="","",DATA!O1874)</f>
        <v/>
      </c>
      <c r="D1944" s="203" t="str">
        <f>IF(DATA!P1874="","",DATA!P1874)</f>
        <v/>
      </c>
      <c r="E1944" s="13"/>
      <c r="F1944" s="5" t="str">
        <f t="shared" si="122"/>
        <v/>
      </c>
      <c r="G1944" s="1"/>
      <c r="H1944" s="77">
        <f>IF(G1944="",0,VLOOKUP(G1944,REFCE!A:D,2,FALSE))</f>
        <v>0</v>
      </c>
      <c r="I1944" s="77" t="str">
        <f t="shared" si="123"/>
        <v/>
      </c>
    </row>
    <row r="1945" spans="1:9" x14ac:dyDescent="0.25">
      <c r="A1945" s="203" t="str">
        <f>IF(DATA!M1875="","",DATA!M1875)</f>
        <v/>
      </c>
      <c r="B1945" s="203" t="str">
        <f>IF(DATA!N1875="","",DATA!N1875)</f>
        <v/>
      </c>
      <c r="C1945" s="203" t="str">
        <f>IF(DATA!O1875="","",DATA!O1875)</f>
        <v/>
      </c>
      <c r="D1945" s="203" t="str">
        <f>IF(DATA!P1875="","",DATA!P1875)</f>
        <v/>
      </c>
      <c r="E1945" s="13"/>
      <c r="F1945" s="5" t="str">
        <f t="shared" si="122"/>
        <v/>
      </c>
      <c r="G1945" s="1"/>
      <c r="H1945" s="77">
        <f>IF(G1945="",0,VLOOKUP(G1945,REFCE!A:D,2,FALSE))</f>
        <v>0</v>
      </c>
      <c r="I1945" s="77" t="str">
        <f t="shared" si="123"/>
        <v/>
      </c>
    </row>
    <row r="1946" spans="1:9" x14ac:dyDescent="0.25">
      <c r="A1946" s="203" t="str">
        <f>IF(DATA!M1876="","",DATA!M1876)</f>
        <v/>
      </c>
      <c r="B1946" s="203" t="str">
        <f>IF(DATA!N1876="","",DATA!N1876)</f>
        <v/>
      </c>
      <c r="C1946" s="203" t="str">
        <f>IF(DATA!O1876="","",DATA!O1876)</f>
        <v/>
      </c>
      <c r="D1946" s="203" t="str">
        <f>IF(DATA!P1876="","",DATA!P1876)</f>
        <v/>
      </c>
      <c r="E1946" s="13"/>
      <c r="F1946" s="5" t="str">
        <f t="shared" si="122"/>
        <v/>
      </c>
      <c r="G1946" s="1"/>
      <c r="H1946" s="77">
        <f>IF(G1946="",0,VLOOKUP(G1946,REFCE!A:D,2,FALSE))</f>
        <v>0</v>
      </c>
      <c r="I1946" s="77" t="str">
        <f t="shared" si="123"/>
        <v/>
      </c>
    </row>
    <row r="1947" spans="1:9" x14ac:dyDescent="0.25">
      <c r="A1947" s="203" t="str">
        <f>IF(DATA!M1877="","",DATA!M1877)</f>
        <v/>
      </c>
      <c r="B1947" s="203" t="str">
        <f>IF(DATA!N1877="","",DATA!N1877)</f>
        <v/>
      </c>
      <c r="C1947" s="203" t="str">
        <f>IF(DATA!O1877="","",DATA!O1877)</f>
        <v/>
      </c>
      <c r="D1947" s="203" t="str">
        <f>IF(DATA!P1877="","",DATA!P1877)</f>
        <v/>
      </c>
      <c r="E1947" s="13"/>
      <c r="F1947" s="5" t="str">
        <f t="shared" si="122"/>
        <v/>
      </c>
      <c r="G1947" s="1"/>
      <c r="H1947" s="77">
        <f>IF(G1947="",0,VLOOKUP(G1947,REFCE!A:D,2,FALSE))</f>
        <v>0</v>
      </c>
      <c r="I1947" s="77" t="str">
        <f t="shared" si="123"/>
        <v/>
      </c>
    </row>
    <row r="1948" spans="1:9" x14ac:dyDescent="0.25">
      <c r="A1948" s="203" t="str">
        <f>IF(DATA!M1878="","",DATA!M1878)</f>
        <v/>
      </c>
      <c r="B1948" s="203" t="str">
        <f>IF(DATA!N1878="","",DATA!N1878)</f>
        <v/>
      </c>
      <c r="C1948" s="203" t="str">
        <f>IF(DATA!O1878="","",DATA!O1878)</f>
        <v/>
      </c>
      <c r="D1948" s="203" t="str">
        <f>IF(DATA!P1878="","",DATA!P1878)</f>
        <v/>
      </c>
      <c r="E1948" s="13"/>
      <c r="F1948" s="5" t="str">
        <f t="shared" si="122"/>
        <v/>
      </c>
      <c r="G1948" s="1"/>
      <c r="H1948" s="77">
        <f>IF(G1948="",0,VLOOKUP(G1948,REFCE!A:D,2,FALSE))</f>
        <v>0</v>
      </c>
      <c r="I1948" s="77" t="str">
        <f t="shared" si="123"/>
        <v/>
      </c>
    </row>
    <row r="1949" spans="1:9" x14ac:dyDescent="0.25">
      <c r="A1949" s="203" t="str">
        <f>IF(DATA!M1879="","",DATA!M1879)</f>
        <v/>
      </c>
      <c r="B1949" s="203" t="str">
        <f>IF(DATA!N1879="","",DATA!N1879)</f>
        <v/>
      </c>
      <c r="C1949" s="203" t="str">
        <f>IF(DATA!O1879="","",DATA!O1879)</f>
        <v/>
      </c>
      <c r="D1949" s="203" t="str">
        <f>IF(DATA!P1879="","",DATA!P1879)</f>
        <v/>
      </c>
      <c r="E1949" s="13"/>
      <c r="F1949" s="5" t="str">
        <f t="shared" si="122"/>
        <v/>
      </c>
      <c r="G1949" s="1"/>
      <c r="H1949" s="77">
        <f>IF(G1949="",0,VLOOKUP(G1949,REFCE!A:D,2,FALSE))</f>
        <v>0</v>
      </c>
      <c r="I1949" s="77" t="str">
        <f t="shared" si="123"/>
        <v/>
      </c>
    </row>
    <row r="1950" spans="1:9" x14ac:dyDescent="0.25">
      <c r="A1950" s="203" t="str">
        <f>IF(DATA!M1880="","",DATA!M1880)</f>
        <v/>
      </c>
      <c r="B1950" s="203" t="str">
        <f>IF(DATA!N1880="","",DATA!N1880)</f>
        <v/>
      </c>
      <c r="C1950" s="203" t="str">
        <f>IF(DATA!O1880="","",DATA!O1880)</f>
        <v/>
      </c>
      <c r="D1950" s="203" t="str">
        <f>IF(DATA!P1880="","",DATA!P1880)</f>
        <v/>
      </c>
      <c r="E1950" s="13"/>
      <c r="F1950" s="5" t="str">
        <f t="shared" si="122"/>
        <v/>
      </c>
      <c r="G1950" s="1"/>
      <c r="H1950" s="77">
        <f>IF(G1950="",0,VLOOKUP(G1950,REFCE!A:D,2,FALSE))</f>
        <v>0</v>
      </c>
      <c r="I1950" s="77" t="str">
        <f t="shared" si="123"/>
        <v/>
      </c>
    </row>
    <row r="1951" spans="1:9" x14ac:dyDescent="0.25">
      <c r="A1951" s="203" t="str">
        <f>IF(DATA!M1881="","",DATA!M1881)</f>
        <v/>
      </c>
      <c r="B1951" s="203" t="str">
        <f>IF(DATA!N1881="","",DATA!N1881)</f>
        <v/>
      </c>
      <c r="C1951" s="203" t="str">
        <f>IF(DATA!O1881="","",DATA!O1881)</f>
        <v/>
      </c>
      <c r="D1951" s="203" t="str">
        <f>IF(DATA!P1881="","",DATA!P1881)</f>
        <v/>
      </c>
      <c r="E1951" s="13"/>
      <c r="F1951" s="5" t="str">
        <f t="shared" si="122"/>
        <v/>
      </c>
      <c r="G1951" s="1"/>
      <c r="H1951" s="77">
        <f>IF(G1951="",0,VLOOKUP(G1951,REFCE!A:D,2,FALSE))</f>
        <v>0</v>
      </c>
      <c r="I1951" s="77" t="str">
        <f t="shared" si="123"/>
        <v/>
      </c>
    </row>
    <row r="1952" spans="1:9" x14ac:dyDescent="0.25">
      <c r="A1952" s="203" t="str">
        <f>IF(DATA!M1882="","",DATA!M1882)</f>
        <v/>
      </c>
      <c r="B1952" s="203" t="str">
        <f>IF(DATA!N1882="","",DATA!N1882)</f>
        <v/>
      </c>
      <c r="C1952" s="203" t="str">
        <f>IF(DATA!O1882="","",DATA!O1882)</f>
        <v/>
      </c>
      <c r="D1952" s="203" t="str">
        <f>IF(DATA!P1882="","",DATA!P1882)</f>
        <v/>
      </c>
      <c r="E1952" s="13"/>
      <c r="F1952" s="5" t="str">
        <f t="shared" si="122"/>
        <v/>
      </c>
      <c r="G1952" s="1"/>
      <c r="H1952" s="77">
        <f>IF(G1952="",0,VLOOKUP(G1952,REFCE!A:D,2,FALSE))</f>
        <v>0</v>
      </c>
      <c r="I1952" s="77" t="str">
        <f t="shared" si="123"/>
        <v/>
      </c>
    </row>
    <row r="1953" spans="1:9" x14ac:dyDescent="0.25">
      <c r="A1953" s="203" t="str">
        <f>IF(DATA!M1883="","",DATA!M1883)</f>
        <v/>
      </c>
      <c r="B1953" s="203" t="str">
        <f>IF(DATA!N1883="","",DATA!N1883)</f>
        <v/>
      </c>
      <c r="C1953" s="203" t="str">
        <f>IF(DATA!O1883="","",DATA!O1883)</f>
        <v/>
      </c>
      <c r="D1953" s="203" t="str">
        <f>IF(DATA!P1883="","",DATA!P1883)</f>
        <v/>
      </c>
      <c r="E1953" s="13"/>
      <c r="F1953" s="5" t="str">
        <f t="shared" si="122"/>
        <v/>
      </c>
      <c r="G1953" s="1"/>
      <c r="H1953" s="77">
        <f>IF(G1953="",0,VLOOKUP(G1953,REFCE!A:D,2,FALSE))</f>
        <v>0</v>
      </c>
      <c r="I1953" s="77" t="str">
        <f t="shared" si="123"/>
        <v/>
      </c>
    </row>
    <row r="1954" spans="1:9" x14ac:dyDescent="0.25">
      <c r="A1954" s="203" t="str">
        <f>IF(DATA!M1884="","",DATA!M1884)</f>
        <v/>
      </c>
      <c r="B1954" s="203" t="str">
        <f>IF(DATA!N1884="","",DATA!N1884)</f>
        <v/>
      </c>
      <c r="C1954" s="203" t="str">
        <f>IF(DATA!O1884="","",DATA!O1884)</f>
        <v/>
      </c>
      <c r="D1954" s="203" t="str">
        <f>IF(DATA!P1884="","",DATA!P1884)</f>
        <v/>
      </c>
      <c r="E1954" s="13"/>
      <c r="F1954" s="5" t="str">
        <f t="shared" si="122"/>
        <v/>
      </c>
      <c r="G1954" s="1"/>
      <c r="H1954" s="77">
        <f>IF(G1954="",0,VLOOKUP(G1954,REFCE!A:D,2,FALSE))</f>
        <v>0</v>
      </c>
      <c r="I1954" s="77" t="str">
        <f t="shared" si="123"/>
        <v/>
      </c>
    </row>
    <row r="1955" spans="1:9" x14ac:dyDescent="0.25">
      <c r="A1955" s="203" t="str">
        <f>IF(DATA!M1885="","",DATA!M1885)</f>
        <v/>
      </c>
      <c r="B1955" s="203" t="str">
        <f>IF(DATA!N1885="","",DATA!N1885)</f>
        <v/>
      </c>
      <c r="C1955" s="203" t="str">
        <f>IF(DATA!O1885="","",DATA!O1885)</f>
        <v/>
      </c>
      <c r="D1955" s="203" t="str">
        <f>IF(DATA!P1885="","",DATA!P1885)</f>
        <v/>
      </c>
      <c r="E1955" s="13"/>
      <c r="F1955" s="5" t="str">
        <f t="shared" si="122"/>
        <v/>
      </c>
      <c r="G1955" s="1"/>
      <c r="H1955" s="77">
        <f>IF(G1955="",0,VLOOKUP(G1955,REFCE!A:D,2,FALSE))</f>
        <v>0</v>
      </c>
      <c r="I1955" s="77" t="str">
        <f t="shared" si="123"/>
        <v/>
      </c>
    </row>
    <row r="1956" spans="1:9" x14ac:dyDescent="0.25">
      <c r="A1956" s="203" t="str">
        <f>IF(DATA!M1886="","",DATA!M1886)</f>
        <v/>
      </c>
      <c r="B1956" s="203" t="str">
        <f>IF(DATA!N1886="","",DATA!N1886)</f>
        <v/>
      </c>
      <c r="C1956" s="203" t="str">
        <f>IF(DATA!O1886="","",DATA!O1886)</f>
        <v/>
      </c>
      <c r="D1956" s="203" t="str">
        <f>IF(DATA!P1886="","",DATA!P1886)</f>
        <v/>
      </c>
      <c r="E1956" s="13"/>
      <c r="F1956" s="5" t="str">
        <f t="shared" si="122"/>
        <v/>
      </c>
      <c r="G1956" s="1"/>
      <c r="H1956" s="77">
        <f>IF(G1956="",0,VLOOKUP(G1956,REFCE!A:D,2,FALSE))</f>
        <v>0</v>
      </c>
      <c r="I1956" s="77" t="str">
        <f t="shared" si="123"/>
        <v/>
      </c>
    </row>
    <row r="1957" spans="1:9" x14ac:dyDescent="0.25">
      <c r="A1957" s="203" t="str">
        <f>IF(DATA!M1887="","",DATA!M1887)</f>
        <v/>
      </c>
      <c r="B1957" s="203" t="str">
        <f>IF(DATA!N1887="","",DATA!N1887)</f>
        <v/>
      </c>
      <c r="C1957" s="203" t="str">
        <f>IF(DATA!O1887="","",DATA!O1887)</f>
        <v/>
      </c>
      <c r="D1957" s="203" t="str">
        <f>IF(DATA!P1887="","",DATA!P1887)</f>
        <v/>
      </c>
      <c r="E1957" s="13"/>
      <c r="F1957" s="5" t="str">
        <f t="shared" si="122"/>
        <v/>
      </c>
      <c r="G1957" s="1"/>
      <c r="H1957" s="77">
        <f>IF(G1957="",0,VLOOKUP(G1957,REFCE!A:D,2,FALSE))</f>
        <v>0</v>
      </c>
      <c r="I1957" s="77" t="str">
        <f t="shared" si="123"/>
        <v/>
      </c>
    </row>
    <row r="1958" spans="1:9" x14ac:dyDescent="0.25">
      <c r="A1958" s="203" t="str">
        <f>IF(DATA!M1888="","",DATA!M1888)</f>
        <v/>
      </c>
      <c r="B1958" s="203" t="str">
        <f>IF(DATA!N1888="","",DATA!N1888)</f>
        <v/>
      </c>
      <c r="C1958" s="203" t="str">
        <f>IF(DATA!O1888="","",DATA!O1888)</f>
        <v/>
      </c>
      <c r="D1958" s="203" t="str">
        <f>IF(DATA!P1888="","",DATA!P1888)</f>
        <v/>
      </c>
      <c r="E1958" s="13"/>
      <c r="F1958" s="5" t="str">
        <f t="shared" si="122"/>
        <v/>
      </c>
      <c r="G1958" s="1"/>
      <c r="H1958" s="77">
        <f>IF(G1958="",0,VLOOKUP(G1958,REFCE!A:D,2,FALSE))</f>
        <v>0</v>
      </c>
      <c r="I1958" s="77" t="str">
        <f t="shared" si="123"/>
        <v/>
      </c>
    </row>
    <row r="1959" spans="1:9" x14ac:dyDescent="0.25">
      <c r="A1959" s="203" t="str">
        <f>IF(DATA!M1889="","",DATA!M1889)</f>
        <v/>
      </c>
      <c r="B1959" s="203" t="str">
        <f>IF(DATA!N1889="","",DATA!N1889)</f>
        <v/>
      </c>
      <c r="C1959" s="203" t="str">
        <f>IF(DATA!O1889="","",DATA!O1889)</f>
        <v/>
      </c>
      <c r="D1959" s="203" t="str">
        <f>IF(DATA!P1889="","",DATA!P1889)</f>
        <v/>
      </c>
      <c r="E1959" s="13"/>
      <c r="F1959" s="5" t="str">
        <f t="shared" si="122"/>
        <v/>
      </c>
      <c r="G1959" s="1"/>
      <c r="H1959" s="77">
        <f>IF(G1959="",0,VLOOKUP(G1959,REFCE!A:D,2,FALSE))</f>
        <v>0</v>
      </c>
      <c r="I1959" s="77" t="str">
        <f t="shared" si="123"/>
        <v/>
      </c>
    </row>
    <row r="1960" spans="1:9" x14ac:dyDescent="0.25">
      <c r="A1960" s="203" t="str">
        <f>IF(DATA!M1890="","",DATA!M1890)</f>
        <v/>
      </c>
      <c r="B1960" s="203" t="str">
        <f>IF(DATA!N1890="","",DATA!N1890)</f>
        <v/>
      </c>
      <c r="C1960" s="203" t="str">
        <f>IF(DATA!O1890="","",DATA!O1890)</f>
        <v/>
      </c>
      <c r="D1960" s="203" t="str">
        <f>IF(DATA!P1890="","",DATA!P1890)</f>
        <v/>
      </c>
      <c r="E1960" s="13"/>
      <c r="F1960" s="5" t="str">
        <f t="shared" si="122"/>
        <v/>
      </c>
      <c r="G1960" s="1"/>
      <c r="H1960" s="77">
        <f>IF(G1960="",0,VLOOKUP(G1960,REFCE!A:D,2,FALSE))</f>
        <v>0</v>
      </c>
      <c r="I1960" s="77" t="str">
        <f t="shared" si="123"/>
        <v/>
      </c>
    </row>
    <row r="1961" spans="1:9" x14ac:dyDescent="0.25">
      <c r="A1961" s="203" t="str">
        <f>IF(DATA!M1891="","",DATA!M1891)</f>
        <v/>
      </c>
      <c r="B1961" s="203" t="str">
        <f>IF(DATA!N1891="","",DATA!N1891)</f>
        <v/>
      </c>
      <c r="C1961" s="203" t="str">
        <f>IF(DATA!O1891="","",DATA!O1891)</f>
        <v/>
      </c>
      <c r="D1961" s="203" t="str">
        <f>IF(DATA!P1891="","",DATA!P1891)</f>
        <v/>
      </c>
      <c r="E1961" s="13"/>
      <c r="F1961" s="5" t="str">
        <f t="shared" si="122"/>
        <v/>
      </c>
      <c r="G1961" s="1"/>
      <c r="H1961" s="77">
        <f>IF(G1961="",0,VLOOKUP(G1961,REFCE!A:D,2,FALSE))</f>
        <v>0</v>
      </c>
      <c r="I1961" s="77" t="str">
        <f t="shared" si="123"/>
        <v/>
      </c>
    </row>
    <row r="1962" spans="1:9" x14ac:dyDescent="0.25">
      <c r="A1962" s="203" t="str">
        <f>IF(DATA!M1892="","",DATA!M1892)</f>
        <v/>
      </c>
      <c r="B1962" s="203" t="str">
        <f>IF(DATA!N1892="","",DATA!N1892)</f>
        <v/>
      </c>
      <c r="C1962" s="203" t="str">
        <f>IF(DATA!O1892="","",DATA!O1892)</f>
        <v/>
      </c>
      <c r="D1962" s="203" t="str">
        <f>IF(DATA!P1892="","",DATA!P1892)</f>
        <v/>
      </c>
      <c r="E1962" s="13"/>
      <c r="F1962" s="5" t="str">
        <f t="shared" si="122"/>
        <v/>
      </c>
      <c r="G1962" s="1"/>
      <c r="H1962" s="77">
        <f>IF(G1962="",0,VLOOKUP(G1962,REFCE!A:D,2,FALSE))</f>
        <v>0</v>
      </c>
      <c r="I1962" s="77" t="str">
        <f t="shared" si="123"/>
        <v/>
      </c>
    </row>
    <row r="1963" spans="1:9" x14ac:dyDescent="0.25">
      <c r="A1963" s="203" t="str">
        <f>IF(DATA!M1893="","",DATA!M1893)</f>
        <v/>
      </c>
      <c r="B1963" s="203" t="str">
        <f>IF(DATA!N1893="","",DATA!N1893)</f>
        <v/>
      </c>
      <c r="C1963" s="203" t="str">
        <f>IF(DATA!O1893="","",DATA!O1893)</f>
        <v/>
      </c>
      <c r="D1963" s="203" t="str">
        <f>IF(DATA!P1893="","",DATA!P1893)</f>
        <v/>
      </c>
      <c r="E1963" s="13"/>
      <c r="F1963" s="5" t="str">
        <f t="shared" si="122"/>
        <v/>
      </c>
      <c r="G1963" s="1"/>
      <c r="H1963" s="77">
        <f>IF(G1963="",0,VLOOKUP(G1963,REFCE!A:D,2,FALSE))</f>
        <v>0</v>
      </c>
      <c r="I1963" s="77" t="str">
        <f t="shared" si="123"/>
        <v/>
      </c>
    </row>
    <row r="1964" spans="1:9" x14ac:dyDescent="0.25">
      <c r="A1964" s="203" t="str">
        <f>IF(DATA!M1894="","",DATA!M1894)</f>
        <v/>
      </c>
      <c r="B1964" s="203" t="str">
        <f>IF(DATA!N1894="","",DATA!N1894)</f>
        <v/>
      </c>
      <c r="C1964" s="203" t="str">
        <f>IF(DATA!O1894="","",DATA!O1894)</f>
        <v/>
      </c>
      <c r="D1964" s="203" t="str">
        <f>IF(DATA!P1894="","",DATA!P1894)</f>
        <v/>
      </c>
      <c r="E1964" s="13"/>
      <c r="F1964" s="5" t="str">
        <f t="shared" si="122"/>
        <v/>
      </c>
      <c r="G1964" s="1"/>
      <c r="H1964" s="77">
        <f>IF(G1964="",0,VLOOKUP(G1964,REFCE!A:D,2,FALSE))</f>
        <v>0</v>
      </c>
      <c r="I1964" s="77" t="str">
        <f t="shared" si="123"/>
        <v/>
      </c>
    </row>
    <row r="1965" spans="1:9" x14ac:dyDescent="0.25">
      <c r="A1965" s="203" t="str">
        <f>IF(DATA!M1895="","",DATA!M1895)</f>
        <v/>
      </c>
      <c r="B1965" s="203" t="str">
        <f>IF(DATA!N1895="","",DATA!N1895)</f>
        <v/>
      </c>
      <c r="C1965" s="203" t="str">
        <f>IF(DATA!O1895="","",DATA!O1895)</f>
        <v/>
      </c>
      <c r="D1965" s="203" t="str">
        <f>IF(DATA!P1895="","",DATA!P1895)</f>
        <v/>
      </c>
      <c r="E1965" s="13"/>
      <c r="F1965" s="5" t="str">
        <f t="shared" si="122"/>
        <v/>
      </c>
      <c r="G1965" s="1"/>
      <c r="H1965" s="77">
        <f>IF(G1965="",0,VLOOKUP(G1965,REFCE!A:D,2,FALSE))</f>
        <v>0</v>
      </c>
      <c r="I1965" s="77" t="str">
        <f t="shared" si="123"/>
        <v/>
      </c>
    </row>
    <row r="1966" spans="1:9" x14ac:dyDescent="0.25">
      <c r="A1966" s="203" t="str">
        <f>IF(DATA!M1896="","",DATA!M1896)</f>
        <v/>
      </c>
      <c r="B1966" s="203" t="str">
        <f>IF(DATA!N1896="","",DATA!N1896)</f>
        <v/>
      </c>
      <c r="C1966" s="203" t="str">
        <f>IF(DATA!O1896="","",DATA!O1896)</f>
        <v/>
      </c>
      <c r="D1966" s="203" t="str">
        <f>IF(DATA!P1896="","",DATA!P1896)</f>
        <v/>
      </c>
      <c r="E1966" s="13"/>
      <c r="F1966" s="5" t="str">
        <f t="shared" si="122"/>
        <v/>
      </c>
      <c r="G1966" s="1"/>
      <c r="H1966" s="77">
        <f>IF(G1966="",0,VLOOKUP(G1966,REFCE!A:D,2,FALSE))</f>
        <v>0</v>
      </c>
      <c r="I1966" s="77" t="str">
        <f t="shared" si="123"/>
        <v/>
      </c>
    </row>
    <row r="1967" spans="1:9" x14ac:dyDescent="0.25">
      <c r="A1967" s="203" t="str">
        <f>IF(DATA!M1897="","",DATA!M1897)</f>
        <v/>
      </c>
      <c r="B1967" s="203" t="str">
        <f>IF(DATA!N1897="","",DATA!N1897)</f>
        <v/>
      </c>
      <c r="C1967" s="203" t="str">
        <f>IF(DATA!O1897="","",DATA!O1897)</f>
        <v/>
      </c>
      <c r="D1967" s="203" t="str">
        <f>IF(DATA!P1897="","",DATA!P1897)</f>
        <v/>
      </c>
      <c r="E1967" s="13"/>
      <c r="F1967" s="5" t="str">
        <f t="shared" si="122"/>
        <v/>
      </c>
      <c r="G1967" s="1"/>
      <c r="H1967" s="77">
        <f>IF(G1967="",0,VLOOKUP(G1967,REFCE!A:D,2,FALSE))</f>
        <v>0</v>
      </c>
      <c r="I1967" s="77" t="str">
        <f t="shared" si="123"/>
        <v/>
      </c>
    </row>
    <row r="1968" spans="1:9" x14ac:dyDescent="0.25">
      <c r="A1968" s="203" t="str">
        <f>IF(DATA!M1898="","",DATA!M1898)</f>
        <v/>
      </c>
      <c r="B1968" s="203" t="str">
        <f>IF(DATA!N1898="","",DATA!N1898)</f>
        <v/>
      </c>
      <c r="C1968" s="203" t="str">
        <f>IF(DATA!O1898="","",DATA!O1898)</f>
        <v/>
      </c>
      <c r="D1968" s="203" t="str">
        <f>IF(DATA!P1898="","",DATA!P1898)</f>
        <v/>
      </c>
      <c r="E1968" s="13"/>
      <c r="F1968" s="5" t="str">
        <f t="shared" si="122"/>
        <v/>
      </c>
      <c r="G1968" s="1"/>
      <c r="H1968" s="77">
        <f>IF(G1968="",0,VLOOKUP(G1968,REFCE!A:D,2,FALSE))</f>
        <v>0</v>
      </c>
      <c r="I1968" s="77" t="str">
        <f t="shared" si="123"/>
        <v/>
      </c>
    </row>
    <row r="1969" spans="1:9" x14ac:dyDescent="0.25">
      <c r="A1969" s="203" t="str">
        <f>IF(DATA!M1899="","",DATA!M1899)</f>
        <v/>
      </c>
      <c r="B1969" s="203" t="str">
        <f>IF(DATA!N1899="","",DATA!N1899)</f>
        <v/>
      </c>
      <c r="C1969" s="203" t="str">
        <f>IF(DATA!O1899="","",DATA!O1899)</f>
        <v/>
      </c>
      <c r="D1969" s="203" t="str">
        <f>IF(DATA!P1899="","",DATA!P1899)</f>
        <v/>
      </c>
      <c r="E1969" s="13"/>
      <c r="F1969" s="5" t="str">
        <f t="shared" si="122"/>
        <v/>
      </c>
      <c r="G1969" s="1"/>
      <c r="H1969" s="77">
        <f>IF(G1969="",0,VLOOKUP(G1969,REFCE!A:D,2,FALSE))</f>
        <v>0</v>
      </c>
      <c r="I1969" s="77" t="str">
        <f t="shared" si="123"/>
        <v/>
      </c>
    </row>
    <row r="1970" spans="1:9" x14ac:dyDescent="0.25">
      <c r="A1970" s="203" t="str">
        <f>IF(DATA!M1900="","",DATA!M1900)</f>
        <v/>
      </c>
      <c r="B1970" s="203" t="str">
        <f>IF(DATA!N1900="","",DATA!N1900)</f>
        <v/>
      </c>
      <c r="C1970" s="203" t="str">
        <f>IF(DATA!O1900="","",DATA!O1900)</f>
        <v/>
      </c>
      <c r="D1970" s="203" t="str">
        <f>IF(DATA!P1900="","",DATA!P1900)</f>
        <v/>
      </c>
      <c r="E1970" s="13"/>
      <c r="F1970" s="5" t="str">
        <f t="shared" si="122"/>
        <v/>
      </c>
      <c r="G1970" s="1"/>
      <c r="H1970" s="77">
        <f>IF(G1970="",0,VLOOKUP(G1970,REFCE!A:D,2,FALSE))</f>
        <v>0</v>
      </c>
      <c r="I1970" s="77" t="str">
        <f t="shared" si="123"/>
        <v/>
      </c>
    </row>
    <row r="1971" spans="1:9" x14ac:dyDescent="0.25">
      <c r="A1971" s="203" t="str">
        <f>IF(DATA!M1901="","",DATA!M1901)</f>
        <v/>
      </c>
      <c r="B1971" s="203" t="str">
        <f>IF(DATA!N1901="","",DATA!N1901)</f>
        <v/>
      </c>
      <c r="C1971" s="203" t="str">
        <f>IF(DATA!O1901="","",DATA!O1901)</f>
        <v/>
      </c>
      <c r="D1971" s="203" t="str">
        <f>IF(DATA!P1901="","",DATA!P1901)</f>
        <v/>
      </c>
      <c r="E1971" s="13"/>
      <c r="F1971" s="5" t="str">
        <f t="shared" si="122"/>
        <v/>
      </c>
      <c r="G1971" s="1"/>
      <c r="H1971" s="77">
        <f>IF(G1971="",0,VLOOKUP(G1971,REFCE!A:D,2,FALSE))</f>
        <v>0</v>
      </c>
      <c r="I1971" s="77" t="str">
        <f t="shared" si="123"/>
        <v/>
      </c>
    </row>
    <row r="1972" spans="1:9" x14ac:dyDescent="0.25">
      <c r="A1972" s="203" t="str">
        <f>IF(DATA!M1902="","",DATA!M1902)</f>
        <v/>
      </c>
      <c r="B1972" s="203" t="str">
        <f>IF(DATA!N1902="","",DATA!N1902)</f>
        <v/>
      </c>
      <c r="C1972" s="203" t="str">
        <f>IF(DATA!O1902="","",DATA!O1902)</f>
        <v/>
      </c>
      <c r="D1972" s="203" t="str">
        <f>IF(DATA!P1902="","",DATA!P1902)</f>
        <v/>
      </c>
      <c r="E1972" s="13"/>
      <c r="F1972" s="5" t="str">
        <f t="shared" si="122"/>
        <v/>
      </c>
      <c r="G1972" s="1"/>
      <c r="H1972" s="77">
        <f>IF(G1972="",0,VLOOKUP(G1972,REFCE!A:D,2,FALSE))</f>
        <v>0</v>
      </c>
      <c r="I1972" s="77" t="str">
        <f t="shared" si="123"/>
        <v/>
      </c>
    </row>
    <row r="1973" spans="1:9" x14ac:dyDescent="0.25">
      <c r="A1973" s="203" t="str">
        <f>IF(DATA!M1903="","",DATA!M1903)</f>
        <v/>
      </c>
      <c r="B1973" s="203" t="str">
        <f>IF(DATA!N1903="","",DATA!N1903)</f>
        <v/>
      </c>
      <c r="C1973" s="203" t="str">
        <f>IF(DATA!O1903="","",DATA!O1903)</f>
        <v/>
      </c>
      <c r="D1973" s="203" t="str">
        <f>IF(DATA!P1903="","",DATA!P1903)</f>
        <v/>
      </c>
      <c r="E1973" s="13"/>
      <c r="F1973" s="5" t="str">
        <f t="shared" si="122"/>
        <v/>
      </c>
      <c r="G1973" s="1"/>
      <c r="H1973" s="77">
        <f>IF(G1973="",0,VLOOKUP(G1973,REFCE!A:D,2,FALSE))</f>
        <v>0</v>
      </c>
      <c r="I1973" s="77" t="str">
        <f t="shared" si="123"/>
        <v/>
      </c>
    </row>
    <row r="1974" spans="1:9" x14ac:dyDescent="0.25">
      <c r="A1974" s="203" t="str">
        <f>IF(DATA!M1904="","",DATA!M1904)</f>
        <v/>
      </c>
      <c r="B1974" s="203" t="str">
        <f>IF(DATA!N1904="","",DATA!N1904)</f>
        <v/>
      </c>
      <c r="C1974" s="203" t="str">
        <f>IF(DATA!O1904="","",DATA!O1904)</f>
        <v/>
      </c>
      <c r="D1974" s="203" t="str">
        <f>IF(DATA!P1904="","",DATA!P1904)</f>
        <v/>
      </c>
      <c r="E1974" s="13"/>
      <c r="F1974" s="5" t="str">
        <f t="shared" si="122"/>
        <v/>
      </c>
      <c r="G1974" s="1"/>
      <c r="H1974" s="77">
        <f>IF(G1974="",0,VLOOKUP(G1974,REFCE!A:D,2,FALSE))</f>
        <v>0</v>
      </c>
      <c r="I1974" s="77" t="str">
        <f t="shared" si="123"/>
        <v/>
      </c>
    </row>
    <row r="1975" spans="1:9" x14ac:dyDescent="0.25">
      <c r="A1975" s="203" t="str">
        <f>IF(DATA!M1905="","",DATA!M1905)</f>
        <v/>
      </c>
      <c r="B1975" s="203" t="str">
        <f>IF(DATA!N1905="","",DATA!N1905)</f>
        <v/>
      </c>
      <c r="C1975" s="203" t="str">
        <f>IF(DATA!O1905="","",DATA!O1905)</f>
        <v/>
      </c>
      <c r="D1975" s="203" t="str">
        <f>IF(DATA!P1905="","",DATA!P1905)</f>
        <v/>
      </c>
      <c r="E1975" s="13"/>
      <c r="F1975" s="5" t="str">
        <f t="shared" si="122"/>
        <v/>
      </c>
      <c r="G1975" s="1"/>
      <c r="H1975" s="77">
        <f>IF(G1975="",0,VLOOKUP(G1975,REFCE!A:D,2,FALSE))</f>
        <v>0</v>
      </c>
      <c r="I1975" s="77" t="str">
        <f t="shared" si="123"/>
        <v/>
      </c>
    </row>
    <row r="1976" spans="1:9" x14ac:dyDescent="0.25">
      <c r="A1976" s="203" t="str">
        <f>IF(DATA!M1906="","",DATA!M1906)</f>
        <v/>
      </c>
      <c r="B1976" s="203" t="str">
        <f>IF(DATA!N1906="","",DATA!N1906)</f>
        <v/>
      </c>
      <c r="C1976" s="203" t="str">
        <f>IF(DATA!O1906="","",DATA!O1906)</f>
        <v/>
      </c>
      <c r="D1976" s="203" t="str">
        <f>IF(DATA!P1906="","",DATA!P1906)</f>
        <v/>
      </c>
      <c r="E1976" s="13"/>
      <c r="F1976" s="5" t="str">
        <f t="shared" si="122"/>
        <v/>
      </c>
      <c r="G1976" s="1"/>
      <c r="H1976" s="77">
        <f>IF(G1976="",0,VLOOKUP(G1976,REFCE!A:D,2,FALSE))</f>
        <v>0</v>
      </c>
      <c r="I1976" s="77" t="str">
        <f t="shared" si="123"/>
        <v/>
      </c>
    </row>
    <row r="1977" spans="1:9" x14ac:dyDescent="0.25">
      <c r="A1977" s="203" t="str">
        <f>IF(DATA!M1907="","",DATA!M1907)</f>
        <v/>
      </c>
      <c r="B1977" s="203" t="str">
        <f>IF(DATA!N1907="","",DATA!N1907)</f>
        <v/>
      </c>
      <c r="C1977" s="203" t="str">
        <f>IF(DATA!O1907="","",DATA!O1907)</f>
        <v/>
      </c>
      <c r="D1977" s="203" t="str">
        <f>IF(DATA!P1907="","",DATA!P1907)</f>
        <v/>
      </c>
      <c r="E1977" s="13"/>
      <c r="F1977" s="5" t="str">
        <f t="shared" si="122"/>
        <v/>
      </c>
      <c r="G1977" s="1"/>
      <c r="H1977" s="77">
        <f>IF(G1977="",0,VLOOKUP(G1977,REFCE!A:D,2,FALSE))</f>
        <v>0</v>
      </c>
      <c r="I1977" s="77" t="str">
        <f t="shared" si="123"/>
        <v/>
      </c>
    </row>
    <row r="1978" spans="1:9" x14ac:dyDescent="0.25">
      <c r="A1978" s="203" t="str">
        <f>IF(DATA!M1908="","",DATA!M1908)</f>
        <v/>
      </c>
      <c r="B1978" s="203" t="str">
        <f>IF(DATA!N1908="","",DATA!N1908)</f>
        <v/>
      </c>
      <c r="C1978" s="203" t="str">
        <f>IF(DATA!O1908="","",DATA!O1908)</f>
        <v/>
      </c>
      <c r="D1978" s="203" t="str">
        <f>IF(DATA!P1908="","",DATA!P1908)</f>
        <v/>
      </c>
      <c r="E1978" s="13"/>
      <c r="F1978" s="5" t="str">
        <f t="shared" si="122"/>
        <v/>
      </c>
      <c r="G1978" s="1"/>
      <c r="H1978" s="77">
        <f>IF(G1978="",0,VLOOKUP(G1978,REFCE!A:D,2,FALSE))</f>
        <v>0</v>
      </c>
      <c r="I1978" s="77" t="str">
        <f t="shared" si="123"/>
        <v/>
      </c>
    </row>
    <row r="1979" spans="1:9" x14ac:dyDescent="0.25">
      <c r="A1979" s="203" t="str">
        <f>IF(DATA!M1909="","",DATA!M1909)</f>
        <v/>
      </c>
      <c r="B1979" s="203" t="str">
        <f>IF(DATA!N1909="","",DATA!N1909)</f>
        <v/>
      </c>
      <c r="C1979" s="203" t="str">
        <f>IF(DATA!O1909="","",DATA!O1909)</f>
        <v/>
      </c>
      <c r="D1979" s="203" t="str">
        <f>IF(DATA!P1909="","",DATA!P1909)</f>
        <v/>
      </c>
      <c r="E1979" s="13"/>
      <c r="F1979" s="5" t="str">
        <f t="shared" si="122"/>
        <v/>
      </c>
      <c r="G1979" s="1"/>
      <c r="H1979" s="77">
        <f>IF(G1979="",0,VLOOKUP(G1979,REFCE!A:D,2,FALSE))</f>
        <v>0</v>
      </c>
      <c r="I1979" s="77" t="str">
        <f t="shared" si="123"/>
        <v/>
      </c>
    </row>
    <row r="1980" spans="1:9" x14ac:dyDescent="0.25">
      <c r="A1980" s="203" t="str">
        <f>IF(DATA!M1910="","",DATA!M1910)</f>
        <v/>
      </c>
      <c r="B1980" s="203" t="str">
        <f>IF(DATA!N1910="","",DATA!N1910)</f>
        <v/>
      </c>
      <c r="C1980" s="203" t="str">
        <f>IF(DATA!O1910="","",DATA!O1910)</f>
        <v/>
      </c>
      <c r="D1980" s="203" t="str">
        <f>IF(DATA!P1910="","",DATA!P1910)</f>
        <v/>
      </c>
      <c r="E1980" s="13"/>
      <c r="F1980" s="5" t="str">
        <f t="shared" si="122"/>
        <v/>
      </c>
      <c r="G1980" s="1"/>
      <c r="H1980" s="77">
        <f>IF(G1980="",0,VLOOKUP(G1980,REFCE!A:D,2,FALSE))</f>
        <v>0</v>
      </c>
      <c r="I1980" s="77" t="str">
        <f t="shared" si="123"/>
        <v/>
      </c>
    </row>
    <row r="1981" spans="1:9" x14ac:dyDescent="0.25">
      <c r="A1981" s="203" t="str">
        <f>IF(DATA!M1911="","",DATA!M1911)</f>
        <v/>
      </c>
      <c r="B1981" s="203" t="str">
        <f>IF(DATA!N1911="","",DATA!N1911)</f>
        <v/>
      </c>
      <c r="C1981" s="203" t="str">
        <f>IF(DATA!O1911="","",DATA!O1911)</f>
        <v/>
      </c>
      <c r="D1981" s="203" t="str">
        <f>IF(DATA!P1911="","",DATA!P1911)</f>
        <v/>
      </c>
      <c r="E1981" s="13"/>
      <c r="F1981" s="5" t="str">
        <f t="shared" si="122"/>
        <v/>
      </c>
      <c r="G1981" s="1"/>
      <c r="H1981" s="77">
        <f>IF(G1981="",0,VLOOKUP(G1981,REFCE!A:D,2,FALSE))</f>
        <v>0</v>
      </c>
      <c r="I1981" s="77" t="str">
        <f t="shared" si="123"/>
        <v/>
      </c>
    </row>
    <row r="1982" spans="1:9" x14ac:dyDescent="0.25">
      <c r="A1982" s="203" t="str">
        <f>IF(DATA!M1912="","",DATA!M1912)</f>
        <v/>
      </c>
      <c r="B1982" s="203" t="str">
        <f>IF(DATA!N1912="","",DATA!N1912)</f>
        <v/>
      </c>
      <c r="C1982" s="203" t="str">
        <f>IF(DATA!O1912="","",DATA!O1912)</f>
        <v/>
      </c>
      <c r="D1982" s="203" t="str">
        <f>IF(DATA!P1912="","",DATA!P1912)</f>
        <v/>
      </c>
      <c r="E1982" s="13"/>
      <c r="F1982" s="5" t="str">
        <f t="shared" si="122"/>
        <v/>
      </c>
      <c r="G1982" s="1"/>
      <c r="H1982" s="77">
        <f>IF(G1982="",0,VLOOKUP(G1982,REFCE!A:D,2,FALSE))</f>
        <v>0</v>
      </c>
      <c r="I1982" s="77" t="str">
        <f t="shared" si="123"/>
        <v/>
      </c>
    </row>
    <row r="1983" spans="1:9" x14ac:dyDescent="0.25">
      <c r="A1983" s="203" t="str">
        <f>IF(DATA!M1913="","",DATA!M1913)</f>
        <v/>
      </c>
      <c r="B1983" s="203" t="str">
        <f>IF(DATA!N1913="","",DATA!N1913)</f>
        <v/>
      </c>
      <c r="C1983" s="203" t="str">
        <f>IF(DATA!O1913="","",DATA!O1913)</f>
        <v/>
      </c>
      <c r="D1983" s="203" t="str">
        <f>IF(DATA!P1913="","",DATA!P1913)</f>
        <v/>
      </c>
      <c r="E1983" s="13"/>
      <c r="F1983" s="5" t="str">
        <f t="shared" si="122"/>
        <v/>
      </c>
      <c r="G1983" s="1"/>
      <c r="H1983" s="77">
        <f>IF(G1983="",0,VLOOKUP(G1983,REFCE!A:D,2,FALSE))</f>
        <v>0</v>
      </c>
      <c r="I1983" s="77" t="str">
        <f t="shared" si="123"/>
        <v/>
      </c>
    </row>
    <row r="1984" spans="1:9" x14ac:dyDescent="0.25">
      <c r="A1984" s="203" t="str">
        <f>IF(DATA!M1914="","",DATA!M1914)</f>
        <v/>
      </c>
      <c r="B1984" s="203" t="str">
        <f>IF(DATA!N1914="","",DATA!N1914)</f>
        <v/>
      </c>
      <c r="C1984" s="203" t="str">
        <f>IF(DATA!O1914="","",DATA!O1914)</f>
        <v/>
      </c>
      <c r="D1984" s="203" t="str">
        <f>IF(DATA!P1914="","",DATA!P1914)</f>
        <v/>
      </c>
      <c r="E1984" s="13"/>
      <c r="F1984" s="5" t="str">
        <f t="shared" si="122"/>
        <v/>
      </c>
      <c r="G1984" s="1"/>
      <c r="H1984" s="77">
        <f>IF(G1984="",0,VLOOKUP(G1984,REFCE!A:D,2,FALSE))</f>
        <v>0</v>
      </c>
      <c r="I1984" s="77" t="str">
        <f t="shared" si="123"/>
        <v/>
      </c>
    </row>
    <row r="1985" spans="1:9" x14ac:dyDescent="0.25">
      <c r="A1985" s="203" t="str">
        <f>IF(DATA!M1915="","",DATA!M1915)</f>
        <v/>
      </c>
      <c r="B1985" s="203" t="str">
        <f>IF(DATA!N1915="","",DATA!N1915)</f>
        <v/>
      </c>
      <c r="C1985" s="203" t="str">
        <f>IF(DATA!O1915="","",DATA!O1915)</f>
        <v/>
      </c>
      <c r="D1985" s="203" t="str">
        <f>IF(DATA!P1915="","",DATA!P1915)</f>
        <v/>
      </c>
      <c r="E1985" s="13"/>
      <c r="F1985" s="5" t="str">
        <f t="shared" si="122"/>
        <v/>
      </c>
      <c r="G1985" s="1"/>
      <c r="H1985" s="77">
        <f>IF(G1985="",0,VLOOKUP(G1985,REFCE!A:D,2,FALSE))</f>
        <v>0</v>
      </c>
      <c r="I1985" s="77" t="str">
        <f t="shared" si="123"/>
        <v/>
      </c>
    </row>
    <row r="1986" spans="1:9" x14ac:dyDescent="0.25">
      <c r="A1986" s="203" t="str">
        <f>IF(DATA!M1916="","",DATA!M1916)</f>
        <v/>
      </c>
      <c r="B1986" s="203" t="str">
        <f>IF(DATA!N1916="","",DATA!N1916)</f>
        <v/>
      </c>
      <c r="C1986" s="203" t="str">
        <f>IF(DATA!O1916="","",DATA!O1916)</f>
        <v/>
      </c>
      <c r="D1986" s="203" t="str">
        <f>IF(DATA!P1916="","",DATA!P1916)</f>
        <v/>
      </c>
      <c r="E1986" s="13"/>
      <c r="F1986" s="5" t="str">
        <f t="shared" si="122"/>
        <v/>
      </c>
      <c r="G1986" s="1"/>
      <c r="H1986" s="77">
        <f>IF(G1986="",0,VLOOKUP(G1986,REFCE!A:D,2,FALSE))</f>
        <v>0</v>
      </c>
      <c r="I1986" s="77" t="str">
        <f t="shared" si="123"/>
        <v/>
      </c>
    </row>
    <row r="1987" spans="1:9" x14ac:dyDescent="0.25">
      <c r="A1987" s="203" t="str">
        <f>IF(DATA!M1917="","",DATA!M1917)</f>
        <v/>
      </c>
      <c r="B1987" s="203" t="str">
        <f>IF(DATA!N1917="","",DATA!N1917)</f>
        <v/>
      </c>
      <c r="C1987" s="203" t="str">
        <f>IF(DATA!O1917="","",DATA!O1917)</f>
        <v/>
      </c>
      <c r="D1987" s="203" t="str">
        <f>IF(DATA!P1917="","",DATA!P1917)</f>
        <v/>
      </c>
      <c r="E1987" s="13"/>
      <c r="F1987" s="5" t="str">
        <f t="shared" si="122"/>
        <v/>
      </c>
      <c r="G1987" s="1"/>
      <c r="H1987" s="77">
        <f>IF(G1987="",0,VLOOKUP(G1987,REFCE!A:D,2,FALSE))</f>
        <v>0</v>
      </c>
      <c r="I1987" s="77" t="str">
        <f t="shared" si="123"/>
        <v/>
      </c>
    </row>
    <row r="1988" spans="1:9" x14ac:dyDescent="0.25">
      <c r="A1988" s="203" t="str">
        <f>IF(DATA!M1918="","",DATA!M1918)</f>
        <v/>
      </c>
      <c r="B1988" s="203" t="str">
        <f>IF(DATA!N1918="","",DATA!N1918)</f>
        <v/>
      </c>
      <c r="C1988" s="203" t="str">
        <f>IF(DATA!O1918="","",DATA!O1918)</f>
        <v/>
      </c>
      <c r="D1988" s="203" t="str">
        <f>IF(DATA!P1918="","",DATA!P1918)</f>
        <v/>
      </c>
      <c r="E1988" s="13"/>
      <c r="F1988" s="5" t="str">
        <f t="shared" si="122"/>
        <v/>
      </c>
      <c r="G1988" s="1"/>
      <c r="H1988" s="77">
        <f>IF(G1988="",0,VLOOKUP(G1988,REFCE!A:D,2,FALSE))</f>
        <v>0</v>
      </c>
      <c r="I1988" s="77" t="str">
        <f t="shared" si="123"/>
        <v/>
      </c>
    </row>
    <row r="1989" spans="1:9" x14ac:dyDescent="0.25">
      <c r="A1989" s="203" t="str">
        <f>IF(DATA!M1919="","",DATA!M1919)</f>
        <v/>
      </c>
      <c r="B1989" s="203" t="str">
        <f>IF(DATA!N1919="","",DATA!N1919)</f>
        <v/>
      </c>
      <c r="C1989" s="203" t="str">
        <f>IF(DATA!O1919="","",DATA!O1919)</f>
        <v/>
      </c>
      <c r="D1989" s="203" t="str">
        <f>IF(DATA!P1919="","",DATA!P1919)</f>
        <v/>
      </c>
      <c r="E1989" s="13"/>
      <c r="F1989" s="5" t="str">
        <f t="shared" si="122"/>
        <v/>
      </c>
      <c r="G1989" s="1"/>
      <c r="H1989" s="77">
        <f>IF(G1989="",0,VLOOKUP(G1989,REFCE!A:D,2,FALSE))</f>
        <v>0</v>
      </c>
      <c r="I1989" s="77" t="str">
        <f t="shared" si="123"/>
        <v/>
      </c>
    </row>
    <row r="1990" spans="1:9" x14ac:dyDescent="0.25">
      <c r="A1990" s="203" t="str">
        <f>IF(DATA!M1920="","",DATA!M1920)</f>
        <v/>
      </c>
      <c r="B1990" s="203" t="str">
        <f>IF(DATA!N1920="","",DATA!N1920)</f>
        <v/>
      </c>
      <c r="C1990" s="203" t="str">
        <f>IF(DATA!O1920="","",DATA!O1920)</f>
        <v/>
      </c>
      <c r="D1990" s="203" t="str">
        <f>IF(DATA!P1920="","",DATA!P1920)</f>
        <v/>
      </c>
      <c r="E1990" s="13"/>
      <c r="F1990" s="5" t="str">
        <f t="shared" si="122"/>
        <v/>
      </c>
      <c r="G1990" s="1"/>
      <c r="H1990" s="77">
        <f>IF(G1990="",0,VLOOKUP(G1990,REFCE!A:D,2,FALSE))</f>
        <v>0</v>
      </c>
      <c r="I1990" s="77" t="str">
        <f t="shared" si="123"/>
        <v/>
      </c>
    </row>
    <row r="1991" spans="1:9" x14ac:dyDescent="0.25">
      <c r="A1991" s="203" t="str">
        <f>IF(DATA!M1921="","",DATA!M1921)</f>
        <v/>
      </c>
      <c r="B1991" s="203" t="str">
        <f>IF(DATA!N1921="","",DATA!N1921)</f>
        <v/>
      </c>
      <c r="C1991" s="203" t="str">
        <f>IF(DATA!O1921="","",DATA!O1921)</f>
        <v/>
      </c>
      <c r="D1991" s="203" t="str">
        <f>IF(DATA!P1921="","",DATA!P1921)</f>
        <v/>
      </c>
      <c r="E1991" s="13"/>
      <c r="F1991" s="5" t="str">
        <f t="shared" si="122"/>
        <v/>
      </c>
      <c r="G1991" s="1"/>
      <c r="H1991" s="77">
        <f>IF(G1991="",0,VLOOKUP(G1991,REFCE!A:D,2,FALSE))</f>
        <v>0</v>
      </c>
      <c r="I1991" s="77" t="str">
        <f t="shared" si="123"/>
        <v/>
      </c>
    </row>
    <row r="1992" spans="1:9" x14ac:dyDescent="0.25">
      <c r="A1992" s="203" t="str">
        <f>IF(DATA!M1922="","",DATA!M1922)</f>
        <v/>
      </c>
      <c r="B1992" s="203" t="str">
        <f>IF(DATA!N1922="","",DATA!N1922)</f>
        <v/>
      </c>
      <c r="C1992" s="203" t="str">
        <f>IF(DATA!O1922="","",DATA!O1922)</f>
        <v/>
      </c>
      <c r="D1992" s="203" t="str">
        <f>IF(DATA!P1922="","",DATA!P1922)</f>
        <v/>
      </c>
      <c r="E1992" s="13"/>
      <c r="F1992" s="5" t="str">
        <f t="shared" si="122"/>
        <v/>
      </c>
      <c r="G1992" s="1"/>
      <c r="H1992" s="77">
        <f>IF(G1992="",0,VLOOKUP(G1992,REFCE!A:D,2,FALSE))</f>
        <v>0</v>
      </c>
      <c r="I1992" s="77" t="str">
        <f t="shared" si="123"/>
        <v/>
      </c>
    </row>
    <row r="1993" spans="1:9" x14ac:dyDescent="0.25">
      <c r="A1993" s="203" t="str">
        <f>IF(DATA!M1923="","",DATA!M1923)</f>
        <v/>
      </c>
      <c r="B1993" s="203" t="str">
        <f>IF(DATA!N1923="","",DATA!N1923)</f>
        <v/>
      </c>
      <c r="C1993" s="203" t="str">
        <f>IF(DATA!O1923="","",DATA!O1923)</f>
        <v/>
      </c>
      <c r="D1993" s="203" t="str">
        <f>IF(DATA!P1923="","",DATA!P1923)</f>
        <v/>
      </c>
      <c r="E1993" s="13"/>
      <c r="F1993" s="5" t="str">
        <f t="shared" si="122"/>
        <v/>
      </c>
      <c r="G1993" s="1"/>
      <c r="H1993" s="77">
        <f>IF(G1993="",0,VLOOKUP(G1993,REFCE!A:D,2,FALSE))</f>
        <v>0</v>
      </c>
      <c r="I1993" s="77" t="str">
        <f t="shared" si="123"/>
        <v/>
      </c>
    </row>
    <row r="1994" spans="1:9" x14ac:dyDescent="0.25">
      <c r="A1994" s="203" t="str">
        <f>IF(DATA!M1924="","",DATA!M1924)</f>
        <v/>
      </c>
      <c r="B1994" s="203" t="str">
        <f>IF(DATA!N1924="","",DATA!N1924)</f>
        <v/>
      </c>
      <c r="C1994" s="203" t="str">
        <f>IF(DATA!O1924="","",DATA!O1924)</f>
        <v/>
      </c>
      <c r="D1994" s="203" t="str">
        <f>IF(DATA!P1924="","",DATA!P1924)</f>
        <v/>
      </c>
      <c r="E1994" s="13"/>
      <c r="F1994" s="5" t="str">
        <f t="shared" si="122"/>
        <v/>
      </c>
      <c r="G1994" s="1"/>
      <c r="H1994" s="77">
        <f>IF(G1994="",0,VLOOKUP(G1994,REFCE!A:D,2,FALSE))</f>
        <v>0</v>
      </c>
      <c r="I1994" s="77" t="str">
        <f t="shared" si="123"/>
        <v/>
      </c>
    </row>
    <row r="1995" spans="1:9" x14ac:dyDescent="0.25">
      <c r="A1995" s="203" t="str">
        <f>IF(DATA!M1925="","",DATA!M1925)</f>
        <v/>
      </c>
      <c r="B1995" s="203" t="str">
        <f>IF(DATA!N1925="","",DATA!N1925)</f>
        <v/>
      </c>
      <c r="C1995" s="203" t="str">
        <f>IF(DATA!O1925="","",DATA!O1925)</f>
        <v/>
      </c>
      <c r="D1995" s="203" t="str">
        <f>IF(DATA!P1925="","",DATA!P1925)</f>
        <v/>
      </c>
      <c r="E1995" s="13"/>
      <c r="F1995" s="5" t="str">
        <f t="shared" si="122"/>
        <v/>
      </c>
      <c r="G1995" s="1"/>
      <c r="H1995" s="77">
        <f>IF(G1995="",0,VLOOKUP(G1995,REFCE!A:D,2,FALSE))</f>
        <v>0</v>
      </c>
      <c r="I1995" s="77" t="str">
        <f t="shared" si="123"/>
        <v/>
      </c>
    </row>
    <row r="1996" spans="1:9" x14ac:dyDescent="0.25">
      <c r="A1996" s="203" t="str">
        <f>IF(DATA!M1926="","",DATA!M1926)</f>
        <v/>
      </c>
      <c r="B1996" s="203" t="str">
        <f>IF(DATA!N1926="","",DATA!N1926)</f>
        <v/>
      </c>
      <c r="C1996" s="203" t="str">
        <f>IF(DATA!O1926="","",DATA!O1926)</f>
        <v/>
      </c>
      <c r="D1996" s="203" t="str">
        <f>IF(DATA!P1926="","",DATA!P1926)</f>
        <v/>
      </c>
      <c r="E1996" s="13"/>
      <c r="F1996" s="5" t="str">
        <f t="shared" si="122"/>
        <v/>
      </c>
      <c r="G1996" s="1"/>
      <c r="H1996" s="77">
        <f>IF(G1996="",0,VLOOKUP(G1996,REFCE!A:D,2,FALSE))</f>
        <v>0</v>
      </c>
      <c r="I1996" s="77" t="str">
        <f t="shared" si="123"/>
        <v/>
      </c>
    </row>
    <row r="1997" spans="1:9" x14ac:dyDescent="0.25">
      <c r="A1997" s="203" t="str">
        <f>IF(DATA!M1927="","",DATA!M1927)</f>
        <v/>
      </c>
      <c r="B1997" s="203" t="str">
        <f>IF(DATA!N1927="","",DATA!N1927)</f>
        <v/>
      </c>
      <c r="C1997" s="203" t="str">
        <f>IF(DATA!O1927="","",DATA!O1927)</f>
        <v/>
      </c>
      <c r="D1997" s="203" t="str">
        <f>IF(DATA!P1927="","",DATA!P1927)</f>
        <v/>
      </c>
      <c r="E1997" s="13"/>
      <c r="F1997" s="5" t="str">
        <f t="shared" si="122"/>
        <v/>
      </c>
      <c r="G1997" s="1"/>
      <c r="H1997" s="77">
        <f>IF(G1997="",0,VLOOKUP(G1997,REFCE!A:D,2,FALSE))</f>
        <v>0</v>
      </c>
      <c r="I1997" s="77" t="str">
        <f t="shared" si="123"/>
        <v/>
      </c>
    </row>
    <row r="1998" spans="1:9" x14ac:dyDescent="0.25">
      <c r="A1998" s="203" t="str">
        <f>IF(DATA!M1928="","",DATA!M1928)</f>
        <v/>
      </c>
      <c r="B1998" s="203" t="str">
        <f>IF(DATA!N1928="","",DATA!N1928)</f>
        <v/>
      </c>
      <c r="C1998" s="203" t="str">
        <f>IF(DATA!O1928="","",DATA!O1928)</f>
        <v/>
      </c>
      <c r="D1998" s="203" t="str">
        <f>IF(DATA!P1928="","",DATA!P1928)</f>
        <v/>
      </c>
      <c r="E1998" s="13"/>
      <c r="F1998" s="5" t="str">
        <f t="shared" ref="F1998:F2002" si="124">IF(D1998="","",D1998*E1998)</f>
        <v/>
      </c>
      <c r="G1998" s="1"/>
      <c r="H1998" s="77">
        <f>IF(G1998="",0,VLOOKUP(G1998,REFCE!A:D,2,FALSE))</f>
        <v>0</v>
      </c>
      <c r="I1998" s="77" t="str">
        <f t="shared" ref="I1998:I2002" si="125">IF(F1998="","",F1998*H1998)</f>
        <v/>
      </c>
    </row>
    <row r="1999" spans="1:9" x14ac:dyDescent="0.25">
      <c r="A1999" s="203" t="str">
        <f>IF(DATA!M1929="","",DATA!M1929)</f>
        <v/>
      </c>
      <c r="B1999" s="203" t="str">
        <f>IF(DATA!N1929="","",DATA!N1929)</f>
        <v/>
      </c>
      <c r="C1999" s="203" t="str">
        <f>IF(DATA!O1929="","",DATA!O1929)</f>
        <v/>
      </c>
      <c r="D1999" s="203" t="str">
        <f>IF(DATA!P1929="","",DATA!P1929)</f>
        <v/>
      </c>
      <c r="E1999" s="13"/>
      <c r="F1999" s="5" t="str">
        <f t="shared" si="124"/>
        <v/>
      </c>
      <c r="G1999" s="1"/>
      <c r="H1999" s="77">
        <f>IF(G1999="",0,VLOOKUP(G1999,REFCE!A:D,2,FALSE))</f>
        <v>0</v>
      </c>
      <c r="I1999" s="77" t="str">
        <f t="shared" si="125"/>
        <v/>
      </c>
    </row>
    <row r="2000" spans="1:9" x14ac:dyDescent="0.25">
      <c r="A2000" s="203" t="str">
        <f>IF(DATA!M1930="","",DATA!M1930)</f>
        <v/>
      </c>
      <c r="B2000" s="203" t="str">
        <f>IF(DATA!N1930="","",DATA!N1930)</f>
        <v/>
      </c>
      <c r="C2000" s="203" t="str">
        <f>IF(DATA!O1930="","",DATA!O1930)</f>
        <v/>
      </c>
      <c r="D2000" s="203" t="str">
        <f>IF(DATA!P1930="","",DATA!P1930)</f>
        <v/>
      </c>
      <c r="E2000" s="13"/>
      <c r="F2000" s="5" t="str">
        <f t="shared" si="124"/>
        <v/>
      </c>
      <c r="G2000" s="1"/>
      <c r="H2000" s="77">
        <f>IF(G2000="",0,VLOOKUP(G2000,REFCE!A:D,2,FALSE))</f>
        <v>0</v>
      </c>
      <c r="I2000" s="77" t="str">
        <f t="shared" si="125"/>
        <v/>
      </c>
    </row>
    <row r="2001" spans="1:9" x14ac:dyDescent="0.25">
      <c r="A2001" s="203" t="str">
        <f>IF(DATA!M1931="","",DATA!M1931)</f>
        <v/>
      </c>
      <c r="B2001" s="203" t="str">
        <f>IF(DATA!N1931="","",DATA!N1931)</f>
        <v/>
      </c>
      <c r="C2001" s="203" t="str">
        <f>IF(DATA!O1931="","",DATA!O1931)</f>
        <v/>
      </c>
      <c r="D2001" s="203" t="str">
        <f>IF(DATA!P1931="","",DATA!P1931)</f>
        <v/>
      </c>
      <c r="E2001" s="13"/>
      <c r="F2001" s="5" t="str">
        <f t="shared" si="124"/>
        <v/>
      </c>
      <c r="G2001" s="1"/>
      <c r="H2001" s="77">
        <f>IF(G2001="",0,VLOOKUP(G2001,REFCE!A:D,2,FALSE))</f>
        <v>0</v>
      </c>
      <c r="I2001" s="77" t="str">
        <f t="shared" si="125"/>
        <v/>
      </c>
    </row>
    <row r="2002" spans="1:9" x14ac:dyDescent="0.25">
      <c r="A2002" s="203" t="str">
        <f>IF(DATA!M1932="","",DATA!M1932)</f>
        <v/>
      </c>
      <c r="B2002" s="203" t="str">
        <f>IF(DATA!N1932="","",DATA!N1932)</f>
        <v/>
      </c>
      <c r="C2002" s="203" t="str">
        <f>IF(DATA!O1932="","",DATA!O1932)</f>
        <v/>
      </c>
      <c r="D2002" s="203" t="str">
        <f>IF(DATA!P1932="","",DATA!P1932)</f>
        <v/>
      </c>
      <c r="E2002" s="13"/>
      <c r="F2002" s="5" t="str">
        <f t="shared" si="124"/>
        <v/>
      </c>
      <c r="G2002" s="1"/>
      <c r="H2002" s="77">
        <f>IF(G2002="",0,VLOOKUP(G2002,REFCE!A:D,2,FALSE))</f>
        <v>0</v>
      </c>
      <c r="I2002" s="77" t="str">
        <f t="shared" si="125"/>
        <v/>
      </c>
    </row>
  </sheetData>
  <sortState ref="A192:I202">
    <sortCondition ref="A192:A202"/>
  </sortState>
  <mergeCells count="4">
    <mergeCell ref="B1:C1"/>
    <mergeCell ref="H2:I2"/>
    <mergeCell ref="H1:I1"/>
    <mergeCell ref="D1:F1"/>
  </mergeCells>
  <conditionalFormatting sqref="F72">
    <cfRule type="expression" dxfId="1" priority="5">
      <formula>$F$72&lt;&gt;(($K$2)*-1)</formula>
    </cfRule>
  </conditionalFormatting>
  <conditionalFormatting sqref="F70">
    <cfRule type="expression" dxfId="0" priority="1">
      <formula>$F$70&lt;&gt;$L$2</formula>
    </cfRule>
  </conditionalFormatting>
  <pageMargins left="0.7" right="0.7" top="0.75" bottom="0.75" header="0.3" footer="0.3"/>
  <pageSetup scale="92" fitToHeight="0" orientation="portrait" verticalDpi="203" r:id="rId1"/>
  <headerFooter>
    <oddHeader>Page &amp;P of &amp;N</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51"/>
  <sheetViews>
    <sheetView zoomScaleNormal="100" workbookViewId="0"/>
  </sheetViews>
  <sheetFormatPr defaultRowHeight="15" x14ac:dyDescent="0.25"/>
  <cols>
    <col min="1" max="1" width="20.140625" bestFit="1" customWidth="1"/>
    <col min="2" max="2" width="18.42578125" style="6" bestFit="1" customWidth="1"/>
    <col min="3" max="3" width="10.7109375" style="6" customWidth="1"/>
    <col min="4" max="4" width="10.7109375" style="10" hidden="1" customWidth="1"/>
    <col min="5" max="5" width="15.5703125" style="2" hidden="1" customWidth="1"/>
    <col min="6" max="6" width="12" style="2" bestFit="1" customWidth="1"/>
  </cols>
  <sheetData>
    <row r="1" spans="1:3" x14ac:dyDescent="0.25">
      <c r="A1" t="str">
        <f>TOTALS!A1</f>
        <v>Toyota</v>
      </c>
      <c r="B1" s="14" t="str">
        <f>TOTALS!B1</f>
        <v>FULL LOCATION</v>
      </c>
      <c r="C1" t="str">
        <f>TOTALS!D1</f>
        <v>FACILITY</v>
      </c>
    </row>
    <row r="2" spans="1:3" x14ac:dyDescent="0.25">
      <c r="A2" t="str">
        <f>TOTALS!A2</f>
        <v xml:space="preserve">BPS PO </v>
      </c>
      <c r="B2" s="69" t="str">
        <f>TOTALS!B2</f>
        <v/>
      </c>
      <c r="C2"/>
    </row>
    <row r="3" spans="1:3" x14ac:dyDescent="0.25">
      <c r="A3" t="str">
        <f>TOTALS!G1</f>
        <v>Container</v>
      </c>
      <c r="B3" t="str">
        <f>TOTALS!H1</f>
        <v/>
      </c>
    </row>
    <row r="4" spans="1:3" x14ac:dyDescent="0.25">
      <c r="A4" t="str">
        <f>TOTALS!G2</f>
        <v>Date</v>
      </c>
      <c r="B4" s="67">
        <f>TOTALS!H2</f>
        <v>0</v>
      </c>
    </row>
    <row r="5" spans="1:3" x14ac:dyDescent="0.25">
      <c r="B5"/>
    </row>
    <row r="6" spans="1:3" x14ac:dyDescent="0.25">
      <c r="B6"/>
    </row>
    <row r="7" spans="1:3" x14ac:dyDescent="0.25">
      <c r="B7"/>
    </row>
    <row r="8" spans="1:3" x14ac:dyDescent="0.25">
      <c r="B8"/>
    </row>
    <row r="9" spans="1:3" x14ac:dyDescent="0.25">
      <c r="B9"/>
    </row>
    <row r="10" spans="1:3" x14ac:dyDescent="0.25">
      <c r="B10"/>
    </row>
    <row r="11" spans="1:3" x14ac:dyDescent="0.25">
      <c r="B11"/>
    </row>
    <row r="12" spans="1:3" x14ac:dyDescent="0.25">
      <c r="B12"/>
    </row>
    <row r="13" spans="1:3" x14ac:dyDescent="0.25">
      <c r="B13"/>
    </row>
    <row r="14" spans="1:3" x14ac:dyDescent="0.25">
      <c r="B14"/>
    </row>
    <row r="15" spans="1:3" x14ac:dyDescent="0.25">
      <c r="B15"/>
    </row>
    <row r="16" spans="1:3" x14ac:dyDescent="0.25">
      <c r="B16"/>
    </row>
    <row r="17" spans="2:2" x14ac:dyDescent="0.25">
      <c r="B17"/>
    </row>
    <row r="18" spans="2:2" x14ac:dyDescent="0.25">
      <c r="B18"/>
    </row>
    <row r="19" spans="2:2" x14ac:dyDescent="0.25">
      <c r="B19"/>
    </row>
    <row r="20" spans="2:2" x14ac:dyDescent="0.25">
      <c r="B20"/>
    </row>
    <row r="21" spans="2:2" x14ac:dyDescent="0.25">
      <c r="B21"/>
    </row>
    <row r="22" spans="2:2" x14ac:dyDescent="0.25">
      <c r="B22"/>
    </row>
    <row r="23" spans="2:2" x14ac:dyDescent="0.25">
      <c r="B23"/>
    </row>
    <row r="24" spans="2:2" x14ac:dyDescent="0.25">
      <c r="B24"/>
    </row>
    <row r="25" spans="2:2" x14ac:dyDescent="0.25">
      <c r="B25"/>
    </row>
    <row r="26" spans="2:2" x14ac:dyDescent="0.25">
      <c r="B26"/>
    </row>
    <row r="27" spans="2:2" x14ac:dyDescent="0.25">
      <c r="B27"/>
    </row>
    <row r="28" spans="2:2" x14ac:dyDescent="0.25">
      <c r="B28"/>
    </row>
    <row r="29" spans="2:2" x14ac:dyDescent="0.25">
      <c r="B29"/>
    </row>
    <row r="30" spans="2:2" x14ac:dyDescent="0.25">
      <c r="B30"/>
    </row>
    <row r="31" spans="2:2" x14ac:dyDescent="0.25">
      <c r="B31"/>
    </row>
    <row r="32" spans="2:2" x14ac:dyDescent="0.25">
      <c r="B32"/>
    </row>
    <row r="33" spans="2:2" x14ac:dyDescent="0.25">
      <c r="B33"/>
    </row>
    <row r="34" spans="2:2" x14ac:dyDescent="0.25">
      <c r="B34"/>
    </row>
    <row r="35" spans="2:2" x14ac:dyDescent="0.25">
      <c r="B35"/>
    </row>
    <row r="36" spans="2:2" x14ac:dyDescent="0.25">
      <c r="B36"/>
    </row>
    <row r="37" spans="2:2" x14ac:dyDescent="0.25">
      <c r="B37"/>
    </row>
    <row r="38" spans="2:2" x14ac:dyDescent="0.25">
      <c r="B38"/>
    </row>
    <row r="39" spans="2:2" x14ac:dyDescent="0.25">
      <c r="B39"/>
    </row>
    <row r="40" spans="2:2" x14ac:dyDescent="0.25">
      <c r="B40"/>
    </row>
    <row r="41" spans="2:2" x14ac:dyDescent="0.25">
      <c r="B41"/>
    </row>
    <row r="42" spans="2:2" x14ac:dyDescent="0.25">
      <c r="B42"/>
    </row>
    <row r="43" spans="2:2" x14ac:dyDescent="0.25">
      <c r="B43"/>
    </row>
    <row r="44" spans="2:2" x14ac:dyDescent="0.25">
      <c r="B44"/>
    </row>
    <row r="45" spans="2:2" x14ac:dyDescent="0.25">
      <c r="B45"/>
    </row>
    <row r="46" spans="2:2" x14ac:dyDescent="0.25">
      <c r="B46"/>
    </row>
    <row r="47" spans="2:2" x14ac:dyDescent="0.25">
      <c r="B47"/>
    </row>
    <row r="48" spans="2:2" x14ac:dyDescent="0.25">
      <c r="B48"/>
    </row>
    <row r="49" spans="2:2" x14ac:dyDescent="0.25">
      <c r="B49"/>
    </row>
    <row r="50" spans="2:2" x14ac:dyDescent="0.25">
      <c r="B50"/>
    </row>
    <row r="51" spans="2:2" x14ac:dyDescent="0.25">
      <c r="B51"/>
    </row>
  </sheetData>
  <pageMargins left="0.7" right="0.7" top="0.6" bottom="0.25" header="0.3" footer="0.3"/>
  <pageSetup orientation="portrait" verticalDpi="1200" r:id="rId1"/>
  <headerFooter>
    <oddHeader>&amp;C&amp;"-,Bold"AX INVOICE</oddHeader>
    <oddFooter>&amp;LPage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pageSetUpPr fitToPage="1"/>
  </sheetPr>
  <dimension ref="C7:O50"/>
  <sheetViews>
    <sheetView workbookViewId="0">
      <selection activeCell="F25" sqref="F25:G25"/>
    </sheetView>
  </sheetViews>
  <sheetFormatPr defaultRowHeight="12.75" x14ac:dyDescent="0.2"/>
  <cols>
    <col min="1" max="1" width="9.140625" style="23"/>
    <col min="2" max="2" width="1" style="23" customWidth="1"/>
    <col min="3" max="5" width="10.7109375" style="23" customWidth="1"/>
    <col min="6" max="7" width="7.7109375" style="23" customWidth="1"/>
    <col min="8" max="12" width="10.7109375" style="23" customWidth="1"/>
    <col min="13" max="13" width="11.85546875" style="23" customWidth="1"/>
    <col min="14" max="15" width="7.7109375" style="23" customWidth="1"/>
    <col min="16" max="16" width="1" style="23" customWidth="1"/>
    <col min="17" max="257" width="9.140625" style="23"/>
    <col min="258" max="258" width="1" style="23" customWidth="1"/>
    <col min="259" max="261" width="10.7109375" style="23" customWidth="1"/>
    <col min="262" max="263" width="7.7109375" style="23" customWidth="1"/>
    <col min="264" max="268" width="10.7109375" style="23" customWidth="1"/>
    <col min="269" max="269" width="11.85546875" style="23" customWidth="1"/>
    <col min="270" max="271" width="7.7109375" style="23" customWidth="1"/>
    <col min="272" max="272" width="1" style="23" customWidth="1"/>
    <col min="273" max="513" width="9.140625" style="23"/>
    <col min="514" max="514" width="1" style="23" customWidth="1"/>
    <col min="515" max="517" width="10.7109375" style="23" customWidth="1"/>
    <col min="518" max="519" width="7.7109375" style="23" customWidth="1"/>
    <col min="520" max="524" width="10.7109375" style="23" customWidth="1"/>
    <col min="525" max="525" width="11.85546875" style="23" customWidth="1"/>
    <col min="526" max="527" width="7.7109375" style="23" customWidth="1"/>
    <col min="528" max="528" width="1" style="23" customWidth="1"/>
    <col min="529" max="769" width="9.140625" style="23"/>
    <col min="770" max="770" width="1" style="23" customWidth="1"/>
    <col min="771" max="773" width="10.7109375" style="23" customWidth="1"/>
    <col min="774" max="775" width="7.7109375" style="23" customWidth="1"/>
    <col min="776" max="780" width="10.7109375" style="23" customWidth="1"/>
    <col min="781" max="781" width="11.85546875" style="23" customWidth="1"/>
    <col min="782" max="783" width="7.7109375" style="23" customWidth="1"/>
    <col min="784" max="784" width="1" style="23" customWidth="1"/>
    <col min="785" max="1025" width="9.140625" style="23"/>
    <col min="1026" max="1026" width="1" style="23" customWidth="1"/>
    <col min="1027" max="1029" width="10.7109375" style="23" customWidth="1"/>
    <col min="1030" max="1031" width="7.7109375" style="23" customWidth="1"/>
    <col min="1032" max="1036" width="10.7109375" style="23" customWidth="1"/>
    <col min="1037" max="1037" width="11.85546875" style="23" customWidth="1"/>
    <col min="1038" max="1039" width="7.7109375" style="23" customWidth="1"/>
    <col min="1040" max="1040" width="1" style="23" customWidth="1"/>
    <col min="1041" max="1281" width="9.140625" style="23"/>
    <col min="1282" max="1282" width="1" style="23" customWidth="1"/>
    <col min="1283" max="1285" width="10.7109375" style="23" customWidth="1"/>
    <col min="1286" max="1287" width="7.7109375" style="23" customWidth="1"/>
    <col min="1288" max="1292" width="10.7109375" style="23" customWidth="1"/>
    <col min="1293" max="1293" width="11.85546875" style="23" customWidth="1"/>
    <col min="1294" max="1295" width="7.7109375" style="23" customWidth="1"/>
    <col min="1296" max="1296" width="1" style="23" customWidth="1"/>
    <col min="1297" max="1537" width="9.140625" style="23"/>
    <col min="1538" max="1538" width="1" style="23" customWidth="1"/>
    <col min="1539" max="1541" width="10.7109375" style="23" customWidth="1"/>
    <col min="1542" max="1543" width="7.7109375" style="23" customWidth="1"/>
    <col min="1544" max="1548" width="10.7109375" style="23" customWidth="1"/>
    <col min="1549" max="1549" width="11.85546875" style="23" customWidth="1"/>
    <col min="1550" max="1551" width="7.7109375" style="23" customWidth="1"/>
    <col min="1552" max="1552" width="1" style="23" customWidth="1"/>
    <col min="1553" max="1793" width="9.140625" style="23"/>
    <col min="1794" max="1794" width="1" style="23" customWidth="1"/>
    <col min="1795" max="1797" width="10.7109375" style="23" customWidth="1"/>
    <col min="1798" max="1799" width="7.7109375" style="23" customWidth="1"/>
    <col min="1800" max="1804" width="10.7109375" style="23" customWidth="1"/>
    <col min="1805" max="1805" width="11.85546875" style="23" customWidth="1"/>
    <col min="1806" max="1807" width="7.7109375" style="23" customWidth="1"/>
    <col min="1808" max="1808" width="1" style="23" customWidth="1"/>
    <col min="1809" max="2049" width="9.140625" style="23"/>
    <col min="2050" max="2050" width="1" style="23" customWidth="1"/>
    <col min="2051" max="2053" width="10.7109375" style="23" customWidth="1"/>
    <col min="2054" max="2055" width="7.7109375" style="23" customWidth="1"/>
    <col min="2056" max="2060" width="10.7109375" style="23" customWidth="1"/>
    <col min="2061" max="2061" width="11.85546875" style="23" customWidth="1"/>
    <col min="2062" max="2063" width="7.7109375" style="23" customWidth="1"/>
    <col min="2064" max="2064" width="1" style="23" customWidth="1"/>
    <col min="2065" max="2305" width="9.140625" style="23"/>
    <col min="2306" max="2306" width="1" style="23" customWidth="1"/>
    <col min="2307" max="2309" width="10.7109375" style="23" customWidth="1"/>
    <col min="2310" max="2311" width="7.7109375" style="23" customWidth="1"/>
    <col min="2312" max="2316" width="10.7109375" style="23" customWidth="1"/>
    <col min="2317" max="2317" width="11.85546875" style="23" customWidth="1"/>
    <col min="2318" max="2319" width="7.7109375" style="23" customWidth="1"/>
    <col min="2320" max="2320" width="1" style="23" customWidth="1"/>
    <col min="2321" max="2561" width="9.140625" style="23"/>
    <col min="2562" max="2562" width="1" style="23" customWidth="1"/>
    <col min="2563" max="2565" width="10.7109375" style="23" customWidth="1"/>
    <col min="2566" max="2567" width="7.7109375" style="23" customWidth="1"/>
    <col min="2568" max="2572" width="10.7109375" style="23" customWidth="1"/>
    <col min="2573" max="2573" width="11.85546875" style="23" customWidth="1"/>
    <col min="2574" max="2575" width="7.7109375" style="23" customWidth="1"/>
    <col min="2576" max="2576" width="1" style="23" customWidth="1"/>
    <col min="2577" max="2817" width="9.140625" style="23"/>
    <col min="2818" max="2818" width="1" style="23" customWidth="1"/>
    <col min="2819" max="2821" width="10.7109375" style="23" customWidth="1"/>
    <col min="2822" max="2823" width="7.7109375" style="23" customWidth="1"/>
    <col min="2824" max="2828" width="10.7109375" style="23" customWidth="1"/>
    <col min="2829" max="2829" width="11.85546875" style="23" customWidth="1"/>
    <col min="2830" max="2831" width="7.7109375" style="23" customWidth="1"/>
    <col min="2832" max="2832" width="1" style="23" customWidth="1"/>
    <col min="2833" max="3073" width="9.140625" style="23"/>
    <col min="3074" max="3074" width="1" style="23" customWidth="1"/>
    <col min="3075" max="3077" width="10.7109375" style="23" customWidth="1"/>
    <col min="3078" max="3079" width="7.7109375" style="23" customWidth="1"/>
    <col min="3080" max="3084" width="10.7109375" style="23" customWidth="1"/>
    <col min="3085" max="3085" width="11.85546875" style="23" customWidth="1"/>
    <col min="3086" max="3087" width="7.7109375" style="23" customWidth="1"/>
    <col min="3088" max="3088" width="1" style="23" customWidth="1"/>
    <col min="3089" max="3329" width="9.140625" style="23"/>
    <col min="3330" max="3330" width="1" style="23" customWidth="1"/>
    <col min="3331" max="3333" width="10.7109375" style="23" customWidth="1"/>
    <col min="3334" max="3335" width="7.7109375" style="23" customWidth="1"/>
    <col min="3336" max="3340" width="10.7109375" style="23" customWidth="1"/>
    <col min="3341" max="3341" width="11.85546875" style="23" customWidth="1"/>
    <col min="3342" max="3343" width="7.7109375" style="23" customWidth="1"/>
    <col min="3344" max="3344" width="1" style="23" customWidth="1"/>
    <col min="3345" max="3585" width="9.140625" style="23"/>
    <col min="3586" max="3586" width="1" style="23" customWidth="1"/>
    <col min="3587" max="3589" width="10.7109375" style="23" customWidth="1"/>
    <col min="3590" max="3591" width="7.7109375" style="23" customWidth="1"/>
    <col min="3592" max="3596" width="10.7109375" style="23" customWidth="1"/>
    <col min="3597" max="3597" width="11.85546875" style="23" customWidth="1"/>
    <col min="3598" max="3599" width="7.7109375" style="23" customWidth="1"/>
    <col min="3600" max="3600" width="1" style="23" customWidth="1"/>
    <col min="3601" max="3841" width="9.140625" style="23"/>
    <col min="3842" max="3842" width="1" style="23" customWidth="1"/>
    <col min="3843" max="3845" width="10.7109375" style="23" customWidth="1"/>
    <col min="3846" max="3847" width="7.7109375" style="23" customWidth="1"/>
    <col min="3848" max="3852" width="10.7109375" style="23" customWidth="1"/>
    <col min="3853" max="3853" width="11.85546875" style="23" customWidth="1"/>
    <col min="3854" max="3855" width="7.7109375" style="23" customWidth="1"/>
    <col min="3856" max="3856" width="1" style="23" customWidth="1"/>
    <col min="3857" max="4097" width="9.140625" style="23"/>
    <col min="4098" max="4098" width="1" style="23" customWidth="1"/>
    <col min="4099" max="4101" width="10.7109375" style="23" customWidth="1"/>
    <col min="4102" max="4103" width="7.7109375" style="23" customWidth="1"/>
    <col min="4104" max="4108" width="10.7109375" style="23" customWidth="1"/>
    <col min="4109" max="4109" width="11.85546875" style="23" customWidth="1"/>
    <col min="4110" max="4111" width="7.7109375" style="23" customWidth="1"/>
    <col min="4112" max="4112" width="1" style="23" customWidth="1"/>
    <col min="4113" max="4353" width="9.140625" style="23"/>
    <col min="4354" max="4354" width="1" style="23" customWidth="1"/>
    <col min="4355" max="4357" width="10.7109375" style="23" customWidth="1"/>
    <col min="4358" max="4359" width="7.7109375" style="23" customWidth="1"/>
    <col min="4360" max="4364" width="10.7109375" style="23" customWidth="1"/>
    <col min="4365" max="4365" width="11.85546875" style="23" customWidth="1"/>
    <col min="4366" max="4367" width="7.7109375" style="23" customWidth="1"/>
    <col min="4368" max="4368" width="1" style="23" customWidth="1"/>
    <col min="4369" max="4609" width="9.140625" style="23"/>
    <col min="4610" max="4610" width="1" style="23" customWidth="1"/>
    <col min="4611" max="4613" width="10.7109375" style="23" customWidth="1"/>
    <col min="4614" max="4615" width="7.7109375" style="23" customWidth="1"/>
    <col min="4616" max="4620" width="10.7109375" style="23" customWidth="1"/>
    <col min="4621" max="4621" width="11.85546875" style="23" customWidth="1"/>
    <col min="4622" max="4623" width="7.7109375" style="23" customWidth="1"/>
    <col min="4624" max="4624" width="1" style="23" customWidth="1"/>
    <col min="4625" max="4865" width="9.140625" style="23"/>
    <col min="4866" max="4866" width="1" style="23" customWidth="1"/>
    <col min="4867" max="4869" width="10.7109375" style="23" customWidth="1"/>
    <col min="4870" max="4871" width="7.7109375" style="23" customWidth="1"/>
    <col min="4872" max="4876" width="10.7109375" style="23" customWidth="1"/>
    <col min="4877" max="4877" width="11.85546875" style="23" customWidth="1"/>
    <col min="4878" max="4879" width="7.7109375" style="23" customWidth="1"/>
    <col min="4880" max="4880" width="1" style="23" customWidth="1"/>
    <col min="4881" max="5121" width="9.140625" style="23"/>
    <col min="5122" max="5122" width="1" style="23" customWidth="1"/>
    <col min="5123" max="5125" width="10.7109375" style="23" customWidth="1"/>
    <col min="5126" max="5127" width="7.7109375" style="23" customWidth="1"/>
    <col min="5128" max="5132" width="10.7109375" style="23" customWidth="1"/>
    <col min="5133" max="5133" width="11.85546875" style="23" customWidth="1"/>
    <col min="5134" max="5135" width="7.7109375" style="23" customWidth="1"/>
    <col min="5136" max="5136" width="1" style="23" customWidth="1"/>
    <col min="5137" max="5377" width="9.140625" style="23"/>
    <col min="5378" max="5378" width="1" style="23" customWidth="1"/>
    <col min="5379" max="5381" width="10.7109375" style="23" customWidth="1"/>
    <col min="5382" max="5383" width="7.7109375" style="23" customWidth="1"/>
    <col min="5384" max="5388" width="10.7109375" style="23" customWidth="1"/>
    <col min="5389" max="5389" width="11.85546875" style="23" customWidth="1"/>
    <col min="5390" max="5391" width="7.7109375" style="23" customWidth="1"/>
    <col min="5392" max="5392" width="1" style="23" customWidth="1"/>
    <col min="5393" max="5633" width="9.140625" style="23"/>
    <col min="5634" max="5634" width="1" style="23" customWidth="1"/>
    <col min="5635" max="5637" width="10.7109375" style="23" customWidth="1"/>
    <col min="5638" max="5639" width="7.7109375" style="23" customWidth="1"/>
    <col min="5640" max="5644" width="10.7109375" style="23" customWidth="1"/>
    <col min="5645" max="5645" width="11.85546875" style="23" customWidth="1"/>
    <col min="5646" max="5647" width="7.7109375" style="23" customWidth="1"/>
    <col min="5648" max="5648" width="1" style="23" customWidth="1"/>
    <col min="5649" max="5889" width="9.140625" style="23"/>
    <col min="5890" max="5890" width="1" style="23" customWidth="1"/>
    <col min="5891" max="5893" width="10.7109375" style="23" customWidth="1"/>
    <col min="5894" max="5895" width="7.7109375" style="23" customWidth="1"/>
    <col min="5896" max="5900" width="10.7109375" style="23" customWidth="1"/>
    <col min="5901" max="5901" width="11.85546875" style="23" customWidth="1"/>
    <col min="5902" max="5903" width="7.7109375" style="23" customWidth="1"/>
    <col min="5904" max="5904" width="1" style="23" customWidth="1"/>
    <col min="5905" max="6145" width="9.140625" style="23"/>
    <col min="6146" max="6146" width="1" style="23" customWidth="1"/>
    <col min="6147" max="6149" width="10.7109375" style="23" customWidth="1"/>
    <col min="6150" max="6151" width="7.7109375" style="23" customWidth="1"/>
    <col min="6152" max="6156" width="10.7109375" style="23" customWidth="1"/>
    <col min="6157" max="6157" width="11.85546875" style="23" customWidth="1"/>
    <col min="6158" max="6159" width="7.7109375" style="23" customWidth="1"/>
    <col min="6160" max="6160" width="1" style="23" customWidth="1"/>
    <col min="6161" max="6401" width="9.140625" style="23"/>
    <col min="6402" max="6402" width="1" style="23" customWidth="1"/>
    <col min="6403" max="6405" width="10.7109375" style="23" customWidth="1"/>
    <col min="6406" max="6407" width="7.7109375" style="23" customWidth="1"/>
    <col min="6408" max="6412" width="10.7109375" style="23" customWidth="1"/>
    <col min="6413" max="6413" width="11.85546875" style="23" customWidth="1"/>
    <col min="6414" max="6415" width="7.7109375" style="23" customWidth="1"/>
    <col min="6416" max="6416" width="1" style="23" customWidth="1"/>
    <col min="6417" max="6657" width="9.140625" style="23"/>
    <col min="6658" max="6658" width="1" style="23" customWidth="1"/>
    <col min="6659" max="6661" width="10.7109375" style="23" customWidth="1"/>
    <col min="6662" max="6663" width="7.7109375" style="23" customWidth="1"/>
    <col min="6664" max="6668" width="10.7109375" style="23" customWidth="1"/>
    <col min="6669" max="6669" width="11.85546875" style="23" customWidth="1"/>
    <col min="6670" max="6671" width="7.7109375" style="23" customWidth="1"/>
    <col min="6672" max="6672" width="1" style="23" customWidth="1"/>
    <col min="6673" max="6913" width="9.140625" style="23"/>
    <col min="6914" max="6914" width="1" style="23" customWidth="1"/>
    <col min="6915" max="6917" width="10.7109375" style="23" customWidth="1"/>
    <col min="6918" max="6919" width="7.7109375" style="23" customWidth="1"/>
    <col min="6920" max="6924" width="10.7109375" style="23" customWidth="1"/>
    <col min="6925" max="6925" width="11.85546875" style="23" customWidth="1"/>
    <col min="6926" max="6927" width="7.7109375" style="23" customWidth="1"/>
    <col min="6928" max="6928" width="1" style="23" customWidth="1"/>
    <col min="6929" max="7169" width="9.140625" style="23"/>
    <col min="7170" max="7170" width="1" style="23" customWidth="1"/>
    <col min="7171" max="7173" width="10.7109375" style="23" customWidth="1"/>
    <col min="7174" max="7175" width="7.7109375" style="23" customWidth="1"/>
    <col min="7176" max="7180" width="10.7109375" style="23" customWidth="1"/>
    <col min="7181" max="7181" width="11.85546875" style="23" customWidth="1"/>
    <col min="7182" max="7183" width="7.7109375" style="23" customWidth="1"/>
    <col min="7184" max="7184" width="1" style="23" customWidth="1"/>
    <col min="7185" max="7425" width="9.140625" style="23"/>
    <col min="7426" max="7426" width="1" style="23" customWidth="1"/>
    <col min="7427" max="7429" width="10.7109375" style="23" customWidth="1"/>
    <col min="7430" max="7431" width="7.7109375" style="23" customWidth="1"/>
    <col min="7432" max="7436" width="10.7109375" style="23" customWidth="1"/>
    <col min="7437" max="7437" width="11.85546875" style="23" customWidth="1"/>
    <col min="7438" max="7439" width="7.7109375" style="23" customWidth="1"/>
    <col min="7440" max="7440" width="1" style="23" customWidth="1"/>
    <col min="7441" max="7681" width="9.140625" style="23"/>
    <col min="7682" max="7682" width="1" style="23" customWidth="1"/>
    <col min="7683" max="7685" width="10.7109375" style="23" customWidth="1"/>
    <col min="7686" max="7687" width="7.7109375" style="23" customWidth="1"/>
    <col min="7688" max="7692" width="10.7109375" style="23" customWidth="1"/>
    <col min="7693" max="7693" width="11.85546875" style="23" customWidth="1"/>
    <col min="7694" max="7695" width="7.7109375" style="23" customWidth="1"/>
    <col min="7696" max="7696" width="1" style="23" customWidth="1"/>
    <col min="7697" max="7937" width="9.140625" style="23"/>
    <col min="7938" max="7938" width="1" style="23" customWidth="1"/>
    <col min="7939" max="7941" width="10.7109375" style="23" customWidth="1"/>
    <col min="7942" max="7943" width="7.7109375" style="23" customWidth="1"/>
    <col min="7944" max="7948" width="10.7109375" style="23" customWidth="1"/>
    <col min="7949" max="7949" width="11.85546875" style="23" customWidth="1"/>
    <col min="7950" max="7951" width="7.7109375" style="23" customWidth="1"/>
    <col min="7952" max="7952" width="1" style="23" customWidth="1"/>
    <col min="7953" max="8193" width="9.140625" style="23"/>
    <col min="8194" max="8194" width="1" style="23" customWidth="1"/>
    <col min="8195" max="8197" width="10.7109375" style="23" customWidth="1"/>
    <col min="8198" max="8199" width="7.7109375" style="23" customWidth="1"/>
    <col min="8200" max="8204" width="10.7109375" style="23" customWidth="1"/>
    <col min="8205" max="8205" width="11.85546875" style="23" customWidth="1"/>
    <col min="8206" max="8207" width="7.7109375" style="23" customWidth="1"/>
    <col min="8208" max="8208" width="1" style="23" customWidth="1"/>
    <col min="8209" max="8449" width="9.140625" style="23"/>
    <col min="8450" max="8450" width="1" style="23" customWidth="1"/>
    <col min="8451" max="8453" width="10.7109375" style="23" customWidth="1"/>
    <col min="8454" max="8455" width="7.7109375" style="23" customWidth="1"/>
    <col min="8456" max="8460" width="10.7109375" style="23" customWidth="1"/>
    <col min="8461" max="8461" width="11.85546875" style="23" customWidth="1"/>
    <col min="8462" max="8463" width="7.7109375" style="23" customWidth="1"/>
    <col min="8464" max="8464" width="1" style="23" customWidth="1"/>
    <col min="8465" max="8705" width="9.140625" style="23"/>
    <col min="8706" max="8706" width="1" style="23" customWidth="1"/>
    <col min="8707" max="8709" width="10.7109375" style="23" customWidth="1"/>
    <col min="8710" max="8711" width="7.7109375" style="23" customWidth="1"/>
    <col min="8712" max="8716" width="10.7109375" style="23" customWidth="1"/>
    <col min="8717" max="8717" width="11.85546875" style="23" customWidth="1"/>
    <col min="8718" max="8719" width="7.7109375" style="23" customWidth="1"/>
    <col min="8720" max="8720" width="1" style="23" customWidth="1"/>
    <col min="8721" max="8961" width="9.140625" style="23"/>
    <col min="8962" max="8962" width="1" style="23" customWidth="1"/>
    <col min="8963" max="8965" width="10.7109375" style="23" customWidth="1"/>
    <col min="8966" max="8967" width="7.7109375" style="23" customWidth="1"/>
    <col min="8968" max="8972" width="10.7109375" style="23" customWidth="1"/>
    <col min="8973" max="8973" width="11.85546875" style="23" customWidth="1"/>
    <col min="8974" max="8975" width="7.7109375" style="23" customWidth="1"/>
    <col min="8976" max="8976" width="1" style="23" customWidth="1"/>
    <col min="8977" max="9217" width="9.140625" style="23"/>
    <col min="9218" max="9218" width="1" style="23" customWidth="1"/>
    <col min="9219" max="9221" width="10.7109375" style="23" customWidth="1"/>
    <col min="9222" max="9223" width="7.7109375" style="23" customWidth="1"/>
    <col min="9224" max="9228" width="10.7109375" style="23" customWidth="1"/>
    <col min="9229" max="9229" width="11.85546875" style="23" customWidth="1"/>
    <col min="9230" max="9231" width="7.7109375" style="23" customWidth="1"/>
    <col min="9232" max="9232" width="1" style="23" customWidth="1"/>
    <col min="9233" max="9473" width="9.140625" style="23"/>
    <col min="9474" max="9474" width="1" style="23" customWidth="1"/>
    <col min="9475" max="9477" width="10.7109375" style="23" customWidth="1"/>
    <col min="9478" max="9479" width="7.7109375" style="23" customWidth="1"/>
    <col min="9480" max="9484" width="10.7109375" style="23" customWidth="1"/>
    <col min="9485" max="9485" width="11.85546875" style="23" customWidth="1"/>
    <col min="9486" max="9487" width="7.7109375" style="23" customWidth="1"/>
    <col min="9488" max="9488" width="1" style="23" customWidth="1"/>
    <col min="9489" max="9729" width="9.140625" style="23"/>
    <col min="9730" max="9730" width="1" style="23" customWidth="1"/>
    <col min="9731" max="9733" width="10.7109375" style="23" customWidth="1"/>
    <col min="9734" max="9735" width="7.7109375" style="23" customWidth="1"/>
    <col min="9736" max="9740" width="10.7109375" style="23" customWidth="1"/>
    <col min="9741" max="9741" width="11.85546875" style="23" customWidth="1"/>
    <col min="9742" max="9743" width="7.7109375" style="23" customWidth="1"/>
    <col min="9744" max="9744" width="1" style="23" customWidth="1"/>
    <col min="9745" max="9985" width="9.140625" style="23"/>
    <col min="9986" max="9986" width="1" style="23" customWidth="1"/>
    <col min="9987" max="9989" width="10.7109375" style="23" customWidth="1"/>
    <col min="9990" max="9991" width="7.7109375" style="23" customWidth="1"/>
    <col min="9992" max="9996" width="10.7109375" style="23" customWidth="1"/>
    <col min="9997" max="9997" width="11.85546875" style="23" customWidth="1"/>
    <col min="9998" max="9999" width="7.7109375" style="23" customWidth="1"/>
    <col min="10000" max="10000" width="1" style="23" customWidth="1"/>
    <col min="10001" max="10241" width="9.140625" style="23"/>
    <col min="10242" max="10242" width="1" style="23" customWidth="1"/>
    <col min="10243" max="10245" width="10.7109375" style="23" customWidth="1"/>
    <col min="10246" max="10247" width="7.7109375" style="23" customWidth="1"/>
    <col min="10248" max="10252" width="10.7109375" style="23" customWidth="1"/>
    <col min="10253" max="10253" width="11.85546875" style="23" customWidth="1"/>
    <col min="10254" max="10255" width="7.7109375" style="23" customWidth="1"/>
    <col min="10256" max="10256" width="1" style="23" customWidth="1"/>
    <col min="10257" max="10497" width="9.140625" style="23"/>
    <col min="10498" max="10498" width="1" style="23" customWidth="1"/>
    <col min="10499" max="10501" width="10.7109375" style="23" customWidth="1"/>
    <col min="10502" max="10503" width="7.7109375" style="23" customWidth="1"/>
    <col min="10504" max="10508" width="10.7109375" style="23" customWidth="1"/>
    <col min="10509" max="10509" width="11.85546875" style="23" customWidth="1"/>
    <col min="10510" max="10511" width="7.7109375" style="23" customWidth="1"/>
    <col min="10512" max="10512" width="1" style="23" customWidth="1"/>
    <col min="10513" max="10753" width="9.140625" style="23"/>
    <col min="10754" max="10754" width="1" style="23" customWidth="1"/>
    <col min="10755" max="10757" width="10.7109375" style="23" customWidth="1"/>
    <col min="10758" max="10759" width="7.7109375" style="23" customWidth="1"/>
    <col min="10760" max="10764" width="10.7109375" style="23" customWidth="1"/>
    <col min="10765" max="10765" width="11.85546875" style="23" customWidth="1"/>
    <col min="10766" max="10767" width="7.7109375" style="23" customWidth="1"/>
    <col min="10768" max="10768" width="1" style="23" customWidth="1"/>
    <col min="10769" max="11009" width="9.140625" style="23"/>
    <col min="11010" max="11010" width="1" style="23" customWidth="1"/>
    <col min="11011" max="11013" width="10.7109375" style="23" customWidth="1"/>
    <col min="11014" max="11015" width="7.7109375" style="23" customWidth="1"/>
    <col min="11016" max="11020" width="10.7109375" style="23" customWidth="1"/>
    <col min="11021" max="11021" width="11.85546875" style="23" customWidth="1"/>
    <col min="11022" max="11023" width="7.7109375" style="23" customWidth="1"/>
    <col min="11024" max="11024" width="1" style="23" customWidth="1"/>
    <col min="11025" max="11265" width="9.140625" style="23"/>
    <col min="11266" max="11266" width="1" style="23" customWidth="1"/>
    <col min="11267" max="11269" width="10.7109375" style="23" customWidth="1"/>
    <col min="11270" max="11271" width="7.7109375" style="23" customWidth="1"/>
    <col min="11272" max="11276" width="10.7109375" style="23" customWidth="1"/>
    <col min="11277" max="11277" width="11.85546875" style="23" customWidth="1"/>
    <col min="11278" max="11279" width="7.7109375" style="23" customWidth="1"/>
    <col min="11280" max="11280" width="1" style="23" customWidth="1"/>
    <col min="11281" max="11521" width="9.140625" style="23"/>
    <col min="11522" max="11522" width="1" style="23" customWidth="1"/>
    <col min="11523" max="11525" width="10.7109375" style="23" customWidth="1"/>
    <col min="11526" max="11527" width="7.7109375" style="23" customWidth="1"/>
    <col min="11528" max="11532" width="10.7109375" style="23" customWidth="1"/>
    <col min="11533" max="11533" width="11.85546875" style="23" customWidth="1"/>
    <col min="11534" max="11535" width="7.7109375" style="23" customWidth="1"/>
    <col min="11536" max="11536" width="1" style="23" customWidth="1"/>
    <col min="11537" max="11777" width="9.140625" style="23"/>
    <col min="11778" max="11778" width="1" style="23" customWidth="1"/>
    <col min="11779" max="11781" width="10.7109375" style="23" customWidth="1"/>
    <col min="11782" max="11783" width="7.7109375" style="23" customWidth="1"/>
    <col min="11784" max="11788" width="10.7109375" style="23" customWidth="1"/>
    <col min="11789" max="11789" width="11.85546875" style="23" customWidth="1"/>
    <col min="11790" max="11791" width="7.7109375" style="23" customWidth="1"/>
    <col min="11792" max="11792" width="1" style="23" customWidth="1"/>
    <col min="11793" max="12033" width="9.140625" style="23"/>
    <col min="12034" max="12034" width="1" style="23" customWidth="1"/>
    <col min="12035" max="12037" width="10.7109375" style="23" customWidth="1"/>
    <col min="12038" max="12039" width="7.7109375" style="23" customWidth="1"/>
    <col min="12040" max="12044" width="10.7109375" style="23" customWidth="1"/>
    <col min="12045" max="12045" width="11.85546875" style="23" customWidth="1"/>
    <col min="12046" max="12047" width="7.7109375" style="23" customWidth="1"/>
    <col min="12048" max="12048" width="1" style="23" customWidth="1"/>
    <col min="12049" max="12289" width="9.140625" style="23"/>
    <col min="12290" max="12290" width="1" style="23" customWidth="1"/>
    <col min="12291" max="12293" width="10.7109375" style="23" customWidth="1"/>
    <col min="12294" max="12295" width="7.7109375" style="23" customWidth="1"/>
    <col min="12296" max="12300" width="10.7109375" style="23" customWidth="1"/>
    <col min="12301" max="12301" width="11.85546875" style="23" customWidth="1"/>
    <col min="12302" max="12303" width="7.7109375" style="23" customWidth="1"/>
    <col min="12304" max="12304" width="1" style="23" customWidth="1"/>
    <col min="12305" max="12545" width="9.140625" style="23"/>
    <col min="12546" max="12546" width="1" style="23" customWidth="1"/>
    <col min="12547" max="12549" width="10.7109375" style="23" customWidth="1"/>
    <col min="12550" max="12551" width="7.7109375" style="23" customWidth="1"/>
    <col min="12552" max="12556" width="10.7109375" style="23" customWidth="1"/>
    <col min="12557" max="12557" width="11.85546875" style="23" customWidth="1"/>
    <col min="12558" max="12559" width="7.7109375" style="23" customWidth="1"/>
    <col min="12560" max="12560" width="1" style="23" customWidth="1"/>
    <col min="12561" max="12801" width="9.140625" style="23"/>
    <col min="12802" max="12802" width="1" style="23" customWidth="1"/>
    <col min="12803" max="12805" width="10.7109375" style="23" customWidth="1"/>
    <col min="12806" max="12807" width="7.7109375" style="23" customWidth="1"/>
    <col min="12808" max="12812" width="10.7109375" style="23" customWidth="1"/>
    <col min="12813" max="12813" width="11.85546875" style="23" customWidth="1"/>
    <col min="12814" max="12815" width="7.7109375" style="23" customWidth="1"/>
    <col min="12816" max="12816" width="1" style="23" customWidth="1"/>
    <col min="12817" max="13057" width="9.140625" style="23"/>
    <col min="13058" max="13058" width="1" style="23" customWidth="1"/>
    <col min="13059" max="13061" width="10.7109375" style="23" customWidth="1"/>
    <col min="13062" max="13063" width="7.7109375" style="23" customWidth="1"/>
    <col min="13064" max="13068" width="10.7109375" style="23" customWidth="1"/>
    <col min="13069" max="13069" width="11.85546875" style="23" customWidth="1"/>
    <col min="13070" max="13071" width="7.7109375" style="23" customWidth="1"/>
    <col min="13072" max="13072" width="1" style="23" customWidth="1"/>
    <col min="13073" max="13313" width="9.140625" style="23"/>
    <col min="13314" max="13314" width="1" style="23" customWidth="1"/>
    <col min="13315" max="13317" width="10.7109375" style="23" customWidth="1"/>
    <col min="13318" max="13319" width="7.7109375" style="23" customWidth="1"/>
    <col min="13320" max="13324" width="10.7109375" style="23" customWidth="1"/>
    <col min="13325" max="13325" width="11.85546875" style="23" customWidth="1"/>
    <col min="13326" max="13327" width="7.7109375" style="23" customWidth="1"/>
    <col min="13328" max="13328" width="1" style="23" customWidth="1"/>
    <col min="13329" max="13569" width="9.140625" style="23"/>
    <col min="13570" max="13570" width="1" style="23" customWidth="1"/>
    <col min="13571" max="13573" width="10.7109375" style="23" customWidth="1"/>
    <col min="13574" max="13575" width="7.7109375" style="23" customWidth="1"/>
    <col min="13576" max="13580" width="10.7109375" style="23" customWidth="1"/>
    <col min="13581" max="13581" width="11.85546875" style="23" customWidth="1"/>
    <col min="13582" max="13583" width="7.7109375" style="23" customWidth="1"/>
    <col min="13584" max="13584" width="1" style="23" customWidth="1"/>
    <col min="13585" max="13825" width="9.140625" style="23"/>
    <col min="13826" max="13826" width="1" style="23" customWidth="1"/>
    <col min="13827" max="13829" width="10.7109375" style="23" customWidth="1"/>
    <col min="13830" max="13831" width="7.7109375" style="23" customWidth="1"/>
    <col min="13832" max="13836" width="10.7109375" style="23" customWidth="1"/>
    <col min="13837" max="13837" width="11.85546875" style="23" customWidth="1"/>
    <col min="13838" max="13839" width="7.7109375" style="23" customWidth="1"/>
    <col min="13840" max="13840" width="1" style="23" customWidth="1"/>
    <col min="13841" max="14081" width="9.140625" style="23"/>
    <col min="14082" max="14082" width="1" style="23" customWidth="1"/>
    <col min="14083" max="14085" width="10.7109375" style="23" customWidth="1"/>
    <col min="14086" max="14087" width="7.7109375" style="23" customWidth="1"/>
    <col min="14088" max="14092" width="10.7109375" style="23" customWidth="1"/>
    <col min="14093" max="14093" width="11.85546875" style="23" customWidth="1"/>
    <col min="14094" max="14095" width="7.7109375" style="23" customWidth="1"/>
    <col min="14096" max="14096" width="1" style="23" customWidth="1"/>
    <col min="14097" max="14337" width="9.140625" style="23"/>
    <col min="14338" max="14338" width="1" style="23" customWidth="1"/>
    <col min="14339" max="14341" width="10.7109375" style="23" customWidth="1"/>
    <col min="14342" max="14343" width="7.7109375" style="23" customWidth="1"/>
    <col min="14344" max="14348" width="10.7109375" style="23" customWidth="1"/>
    <col min="14349" max="14349" width="11.85546875" style="23" customWidth="1"/>
    <col min="14350" max="14351" width="7.7109375" style="23" customWidth="1"/>
    <col min="14352" max="14352" width="1" style="23" customWidth="1"/>
    <col min="14353" max="14593" width="9.140625" style="23"/>
    <col min="14594" max="14594" width="1" style="23" customWidth="1"/>
    <col min="14595" max="14597" width="10.7109375" style="23" customWidth="1"/>
    <col min="14598" max="14599" width="7.7109375" style="23" customWidth="1"/>
    <col min="14600" max="14604" width="10.7109375" style="23" customWidth="1"/>
    <col min="14605" max="14605" width="11.85546875" style="23" customWidth="1"/>
    <col min="14606" max="14607" width="7.7109375" style="23" customWidth="1"/>
    <col min="14608" max="14608" width="1" style="23" customWidth="1"/>
    <col min="14609" max="14849" width="9.140625" style="23"/>
    <col min="14850" max="14850" width="1" style="23" customWidth="1"/>
    <col min="14851" max="14853" width="10.7109375" style="23" customWidth="1"/>
    <col min="14854" max="14855" width="7.7109375" style="23" customWidth="1"/>
    <col min="14856" max="14860" width="10.7109375" style="23" customWidth="1"/>
    <col min="14861" max="14861" width="11.85546875" style="23" customWidth="1"/>
    <col min="14862" max="14863" width="7.7109375" style="23" customWidth="1"/>
    <col min="14864" max="14864" width="1" style="23" customWidth="1"/>
    <col min="14865" max="15105" width="9.140625" style="23"/>
    <col min="15106" max="15106" width="1" style="23" customWidth="1"/>
    <col min="15107" max="15109" width="10.7109375" style="23" customWidth="1"/>
    <col min="15110" max="15111" width="7.7109375" style="23" customWidth="1"/>
    <col min="15112" max="15116" width="10.7109375" style="23" customWidth="1"/>
    <col min="15117" max="15117" width="11.85546875" style="23" customWidth="1"/>
    <col min="15118" max="15119" width="7.7109375" style="23" customWidth="1"/>
    <col min="15120" max="15120" width="1" style="23" customWidth="1"/>
    <col min="15121" max="15361" width="9.140625" style="23"/>
    <col min="15362" max="15362" width="1" style="23" customWidth="1"/>
    <col min="15363" max="15365" width="10.7109375" style="23" customWidth="1"/>
    <col min="15366" max="15367" width="7.7109375" style="23" customWidth="1"/>
    <col min="15368" max="15372" width="10.7109375" style="23" customWidth="1"/>
    <col min="15373" max="15373" width="11.85546875" style="23" customWidth="1"/>
    <col min="15374" max="15375" width="7.7109375" style="23" customWidth="1"/>
    <col min="15376" max="15376" width="1" style="23" customWidth="1"/>
    <col min="15377" max="15617" width="9.140625" style="23"/>
    <col min="15618" max="15618" width="1" style="23" customWidth="1"/>
    <col min="15619" max="15621" width="10.7109375" style="23" customWidth="1"/>
    <col min="15622" max="15623" width="7.7109375" style="23" customWidth="1"/>
    <col min="15624" max="15628" width="10.7109375" style="23" customWidth="1"/>
    <col min="15629" max="15629" width="11.85546875" style="23" customWidth="1"/>
    <col min="15630" max="15631" width="7.7109375" style="23" customWidth="1"/>
    <col min="15632" max="15632" width="1" style="23" customWidth="1"/>
    <col min="15633" max="15873" width="9.140625" style="23"/>
    <col min="15874" max="15874" width="1" style="23" customWidth="1"/>
    <col min="15875" max="15877" width="10.7109375" style="23" customWidth="1"/>
    <col min="15878" max="15879" width="7.7109375" style="23" customWidth="1"/>
    <col min="15880" max="15884" width="10.7109375" style="23" customWidth="1"/>
    <col min="15885" max="15885" width="11.85546875" style="23" customWidth="1"/>
    <col min="15886" max="15887" width="7.7109375" style="23" customWidth="1"/>
    <col min="15888" max="15888" width="1" style="23" customWidth="1"/>
    <col min="15889" max="16129" width="9.140625" style="23"/>
    <col min="16130" max="16130" width="1" style="23" customWidth="1"/>
    <col min="16131" max="16133" width="10.7109375" style="23" customWidth="1"/>
    <col min="16134" max="16135" width="7.7109375" style="23" customWidth="1"/>
    <col min="16136" max="16140" width="10.7109375" style="23" customWidth="1"/>
    <col min="16141" max="16141" width="11.85546875" style="23" customWidth="1"/>
    <col min="16142" max="16143" width="7.7109375" style="23" customWidth="1"/>
    <col min="16144" max="16144" width="1" style="23" customWidth="1"/>
    <col min="16145" max="16384" width="9.140625" style="23"/>
  </cols>
  <sheetData>
    <row r="7" spans="3:15" ht="45" x14ac:dyDescent="0.6">
      <c r="E7" s="24" t="s">
        <v>89</v>
      </c>
    </row>
    <row r="10" spans="3:15" ht="19.5" thickBot="1" x14ac:dyDescent="0.35">
      <c r="C10" s="25" t="s">
        <v>90</v>
      </c>
      <c r="D10" s="26"/>
      <c r="E10" s="26"/>
      <c r="F10" s="26"/>
      <c r="G10" s="26"/>
      <c r="H10" s="26"/>
      <c r="I10" s="26"/>
      <c r="J10" s="26"/>
      <c r="K10" s="26"/>
      <c r="L10" s="26"/>
      <c r="M10" s="26"/>
      <c r="N10" s="26"/>
      <c r="O10" s="26"/>
    </row>
    <row r="11" spans="3:15" ht="16.5" thickTop="1" x14ac:dyDescent="0.25">
      <c r="C11" s="27" t="s">
        <v>91</v>
      </c>
    </row>
    <row r="13" spans="3:15" ht="21" x14ac:dyDescent="0.35">
      <c r="C13" s="263" t="s">
        <v>92</v>
      </c>
      <c r="D13" s="263"/>
      <c r="E13" s="263"/>
      <c r="F13" s="263"/>
      <c r="G13" s="263"/>
      <c r="H13" s="263"/>
      <c r="I13" s="263"/>
      <c r="J13" s="263"/>
      <c r="K13" s="263"/>
      <c r="L13" s="263"/>
      <c r="M13" s="263"/>
      <c r="N13" s="263"/>
      <c r="O13" s="263"/>
    </row>
    <row r="14" spans="3:15" ht="21" x14ac:dyDescent="0.35">
      <c r="C14" s="263" t="s">
        <v>93</v>
      </c>
      <c r="D14" s="263"/>
      <c r="E14" s="263"/>
      <c r="F14" s="263"/>
      <c r="G14" s="263"/>
      <c r="H14" s="263"/>
      <c r="I14" s="263"/>
      <c r="J14" s="263"/>
      <c r="K14" s="263"/>
      <c r="L14" s="263"/>
      <c r="M14" s="263"/>
      <c r="N14" s="263"/>
      <c r="O14" s="263"/>
    </row>
    <row r="16" spans="3:15" ht="15.75" x14ac:dyDescent="0.25">
      <c r="C16" s="241" t="s">
        <v>94</v>
      </c>
      <c r="D16" s="241"/>
      <c r="E16" s="264" t="s">
        <v>95</v>
      </c>
      <c r="F16" s="264"/>
      <c r="G16" s="264"/>
      <c r="I16" s="241" t="s">
        <v>96</v>
      </c>
      <c r="J16" s="241"/>
      <c r="K16" s="265" t="str">
        <f>VLOOKUP(DATA!B6,REFCE!I:L,2,FALSE)</f>
        <v>LOCATION</v>
      </c>
      <c r="L16" s="265"/>
      <c r="M16" s="265"/>
      <c r="N16" s="28" t="s">
        <v>98</v>
      </c>
      <c r="O16" s="29" t="str">
        <f>IF(K16="","",VLOOKUP(K16,REFCE!J:K,2,FALSE))</f>
        <v>STATE</v>
      </c>
    </row>
    <row r="18" spans="3:15" ht="15.75" x14ac:dyDescent="0.25">
      <c r="C18" s="260"/>
      <c r="D18" s="260"/>
      <c r="E18" s="261"/>
      <c r="F18" s="261"/>
      <c r="G18" s="261"/>
      <c r="I18" s="241" t="s">
        <v>99</v>
      </c>
      <c r="J18" s="241"/>
      <c r="K18" s="265" t="str">
        <f>TOTALS!B2</f>
        <v/>
      </c>
      <c r="L18" s="265"/>
      <c r="M18" s="241" t="s">
        <v>100</v>
      </c>
      <c r="N18" s="241"/>
      <c r="O18" s="29">
        <v>1</v>
      </c>
    </row>
    <row r="20" spans="3:15" ht="15.75" x14ac:dyDescent="0.25">
      <c r="C20" s="241" t="s">
        <v>101</v>
      </c>
      <c r="D20" s="241"/>
      <c r="E20" s="264" t="s">
        <v>102</v>
      </c>
      <c r="F20" s="264"/>
      <c r="G20" s="264"/>
      <c r="I20" s="241" t="s">
        <v>103</v>
      </c>
      <c r="J20" s="241"/>
      <c r="K20" s="30"/>
      <c r="L20" s="30"/>
      <c r="M20" s="31"/>
      <c r="N20" s="262">
        <f>TOTALS!H2</f>
        <v>0</v>
      </c>
      <c r="O20" s="262"/>
    </row>
    <row r="21" spans="3:15" ht="13.5" x14ac:dyDescent="0.25">
      <c r="K21" s="230" t="s">
        <v>104</v>
      </c>
      <c r="L21" s="230"/>
      <c r="M21" s="230"/>
      <c r="N21" s="230" t="s">
        <v>105</v>
      </c>
      <c r="O21" s="230"/>
    </row>
    <row r="23" spans="3:15" x14ac:dyDescent="0.2">
      <c r="C23" s="231" t="s">
        <v>106</v>
      </c>
      <c r="D23" s="232"/>
      <c r="E23" s="233"/>
      <c r="F23" s="231" t="s">
        <v>107</v>
      </c>
      <c r="G23" s="233"/>
      <c r="H23" s="231" t="s">
        <v>108</v>
      </c>
      <c r="I23" s="232"/>
      <c r="J23" s="233"/>
    </row>
    <row r="24" spans="3:15" hidden="1" x14ac:dyDescent="0.2">
      <c r="C24" s="255" t="s">
        <v>65</v>
      </c>
      <c r="D24" s="256"/>
      <c r="E24" s="257"/>
      <c r="F24" s="258" t="str">
        <f>IF(ISERROR(VLOOKUP((C24&amp;" TOTAL"),PIVOT!K:P,3,FALSE)),"",(VLOOKUP((C24&amp;" TOTAL"),PIVOT!K:P,3,FALSE)))</f>
        <v/>
      </c>
      <c r="G24" s="259"/>
      <c r="H24" s="255" t="s">
        <v>65</v>
      </c>
      <c r="I24" s="256"/>
      <c r="J24" s="257"/>
    </row>
    <row r="25" spans="3:15" hidden="1" x14ac:dyDescent="0.2">
      <c r="C25" s="249" t="s">
        <v>274</v>
      </c>
      <c r="D25" s="250"/>
      <c r="E25" s="251"/>
      <c r="F25" s="258" t="str">
        <f>IF(ISERROR(VLOOKUP((C25&amp;" TOTAL"),PIVOT!K:P,3,FALSE)),"",(VLOOKUP((C25&amp;" TOTAL"),PIVOT!K:P,3,FALSE)))</f>
        <v/>
      </c>
      <c r="G25" s="259"/>
      <c r="H25" s="249" t="s">
        <v>25</v>
      </c>
      <c r="I25" s="250"/>
      <c r="J25" s="251"/>
    </row>
    <row r="26" spans="3:15" hidden="1" x14ac:dyDescent="0.2">
      <c r="C26" s="249" t="s">
        <v>41</v>
      </c>
      <c r="D26" s="250"/>
      <c r="E26" s="251"/>
      <c r="F26" s="252" t="str">
        <f>IF(ISERROR(VLOOKUP((C26&amp;" TOTAL"),PIVOT!K:P,3,FALSE)),"",(VLOOKUP((C26&amp;" TOTAL"),PIVOT!K:P,3,FALSE)))</f>
        <v/>
      </c>
      <c r="G26" s="253"/>
      <c r="H26" s="249" t="s">
        <v>41</v>
      </c>
      <c r="I26" s="250"/>
      <c r="J26" s="251"/>
    </row>
    <row r="27" spans="3:15" hidden="1" x14ac:dyDescent="0.2">
      <c r="C27" s="249" t="s">
        <v>27</v>
      </c>
      <c r="D27" s="250"/>
      <c r="E27" s="251"/>
      <c r="F27" s="252" t="str">
        <f>IF(ISERROR(VLOOKUP((C27&amp;" TOTAL"),PIVOT!K:P,3,FALSE)),"",(VLOOKUP((C27&amp;" TOTAL"),PIVOT!K:P,3,FALSE)))</f>
        <v/>
      </c>
      <c r="G27" s="253"/>
      <c r="H27" s="249" t="s">
        <v>27</v>
      </c>
      <c r="I27" s="250"/>
      <c r="J27" s="251"/>
    </row>
    <row r="28" spans="3:15" hidden="1" x14ac:dyDescent="0.2">
      <c r="C28" s="249" t="s">
        <v>24</v>
      </c>
      <c r="D28" s="250"/>
      <c r="E28" s="251"/>
      <c r="F28" s="252" t="str">
        <f>IF(ISERROR(VLOOKUP((C28&amp;" TOTAL"),PIVOT!K:P,3,FALSE)),"",(VLOOKUP((C28&amp;" TOTAL"),PIVOT!K:P,3,FALSE)))</f>
        <v/>
      </c>
      <c r="G28" s="253"/>
      <c r="H28" s="249" t="s">
        <v>24</v>
      </c>
      <c r="I28" s="250"/>
      <c r="J28" s="251"/>
    </row>
    <row r="29" spans="3:15" hidden="1" x14ac:dyDescent="0.2">
      <c r="C29" s="249" t="s">
        <v>29</v>
      </c>
      <c r="D29" s="250"/>
      <c r="E29" s="251"/>
      <c r="F29" s="252" t="str">
        <f>IF(ISERROR(VLOOKUP((C29&amp;" TOTAL"),PIVOT!K:P,3,FALSE)),"",(VLOOKUP((C29&amp;" TOTAL"),PIVOT!K:P,3,FALSE)))</f>
        <v/>
      </c>
      <c r="G29" s="253"/>
      <c r="H29" s="249" t="s">
        <v>29</v>
      </c>
      <c r="I29" s="250"/>
      <c r="J29" s="251"/>
    </row>
    <row r="30" spans="3:15" hidden="1" x14ac:dyDescent="0.2">
      <c r="C30" s="254" t="s">
        <v>86</v>
      </c>
      <c r="D30" s="250"/>
      <c r="E30" s="251"/>
      <c r="F30" s="252" t="str">
        <f>IF(ISERROR(VLOOKUP((C30&amp;" TOTAL"),PIVOT!K:P,3,FALSE)),"",(VLOOKUP((C30&amp;" TOTAL"),PIVOT!K:P,3,FALSE)))</f>
        <v/>
      </c>
      <c r="G30" s="253"/>
      <c r="H30" s="254" t="s">
        <v>86</v>
      </c>
      <c r="I30" s="250"/>
      <c r="J30" s="251"/>
    </row>
    <row r="31" spans="3:15" hidden="1" x14ac:dyDescent="0.2">
      <c r="C31" s="249" t="s">
        <v>66</v>
      </c>
      <c r="D31" s="250"/>
      <c r="E31" s="251"/>
      <c r="F31" s="252" t="str">
        <f>IF(ISERROR(VLOOKUP((C31&amp;" TOTAL"),PIVOT!K:P,3,FALSE)),"",(VLOOKUP((C31&amp;" TOTAL"),PIVOT!K:P,3,FALSE)))</f>
        <v/>
      </c>
      <c r="G31" s="253"/>
      <c r="H31" s="249" t="s">
        <v>66</v>
      </c>
      <c r="I31" s="250"/>
      <c r="J31" s="251"/>
    </row>
    <row r="32" spans="3:15" hidden="1" x14ac:dyDescent="0.2">
      <c r="C32" s="249" t="s">
        <v>25</v>
      </c>
      <c r="D32" s="250"/>
      <c r="E32" s="251"/>
      <c r="F32" s="252" t="str">
        <f>IF(ISERROR(VLOOKUP((C32&amp;" TOTAL"),PIVOT!K:P,3,FALSE)),"",(VLOOKUP((C32&amp;" TOTAL"),PIVOT!K:P,3,FALSE)))</f>
        <v/>
      </c>
      <c r="G32" s="253"/>
      <c r="H32" s="249" t="s">
        <v>25</v>
      </c>
      <c r="I32" s="250"/>
      <c r="J32" s="251"/>
    </row>
    <row r="33" spans="3:15" hidden="1" x14ac:dyDescent="0.2">
      <c r="C33" s="249" t="s">
        <v>23</v>
      </c>
      <c r="D33" s="250"/>
      <c r="E33" s="251"/>
      <c r="F33" s="252" t="str">
        <f>IF(ISERROR(VLOOKUP((C33&amp;" TOTAL"),PIVOT!K:P,3,FALSE)),"",(VLOOKUP((C33&amp;" TOTAL"),PIVOT!K:P,3,FALSE)))</f>
        <v/>
      </c>
      <c r="G33" s="253"/>
      <c r="H33" s="249" t="s">
        <v>23</v>
      </c>
      <c r="I33" s="250"/>
      <c r="J33" s="251"/>
    </row>
    <row r="34" spans="3:15" hidden="1" x14ac:dyDescent="0.2">
      <c r="C34" s="249" t="s">
        <v>26</v>
      </c>
      <c r="D34" s="250"/>
      <c r="E34" s="251"/>
      <c r="F34" s="252" t="str">
        <f>IF(ISERROR(VLOOKUP((C34&amp;" TOTAL"),PIVOT!K:P,3,FALSE)),"",(VLOOKUP((C34&amp;" TOTAL"),PIVOT!K:P,3,FALSE)))</f>
        <v/>
      </c>
      <c r="G34" s="253"/>
      <c r="H34" s="249" t="s">
        <v>26</v>
      </c>
      <c r="I34" s="250"/>
      <c r="J34" s="251"/>
    </row>
    <row r="35" spans="3:15" hidden="1" x14ac:dyDescent="0.2">
      <c r="C35" s="254" t="s">
        <v>22</v>
      </c>
      <c r="D35" s="250"/>
      <c r="E35" s="251"/>
      <c r="F35" s="252" t="str">
        <f>IF(ISERROR(VLOOKUP((C35&amp;" TOTAL"),PIVOT!K:P,3,FALSE)),"",(VLOOKUP((C35&amp;" TOTAL"),PIVOT!K:P,3,FALSE)))</f>
        <v/>
      </c>
      <c r="G35" s="253"/>
      <c r="H35" s="254" t="s">
        <v>22</v>
      </c>
      <c r="I35" s="250"/>
      <c r="J35" s="251"/>
    </row>
    <row r="36" spans="3:15" hidden="1" x14ac:dyDescent="0.2">
      <c r="C36" s="249" t="s">
        <v>28</v>
      </c>
      <c r="D36" s="250"/>
      <c r="E36" s="251"/>
      <c r="F36" s="252" t="str">
        <f>IF(ISERROR(VLOOKUP((C36&amp;" TOTAL"),PIVOT!K:P,3,FALSE)),"",(VLOOKUP((C36&amp;" TOTAL"),PIVOT!K:P,3,FALSE)))</f>
        <v/>
      </c>
      <c r="G36" s="253"/>
      <c r="H36" s="249" t="s">
        <v>28</v>
      </c>
      <c r="I36" s="250"/>
      <c r="J36" s="251"/>
    </row>
    <row r="37" spans="3:15" hidden="1" x14ac:dyDescent="0.2">
      <c r="C37" s="244" t="s">
        <v>276</v>
      </c>
      <c r="D37" s="245"/>
      <c r="E37" s="246"/>
      <c r="F37" s="247" t="str">
        <f>IF(ISERROR(VLOOKUP((C37&amp;" TOTAL"),PIVOT!K:P,3,FALSE)),"",(VLOOKUP((C37&amp;" TOTAL"),PIVOT!K:P,3,FALSE)))</f>
        <v/>
      </c>
      <c r="G37" s="248"/>
      <c r="H37" s="244" t="s">
        <v>276</v>
      </c>
      <c r="I37" s="245"/>
      <c r="J37" s="246"/>
    </row>
    <row r="38" spans="3:15" x14ac:dyDescent="0.2">
      <c r="C38" s="231" t="s">
        <v>8</v>
      </c>
      <c r="D38" s="232"/>
      <c r="E38" s="233"/>
      <c r="F38" s="234">
        <f>SUM(F24:G37)</f>
        <v>0</v>
      </c>
      <c r="G38" s="235"/>
      <c r="H38" s="236"/>
      <c r="I38" s="237"/>
      <c r="J38" s="238"/>
    </row>
    <row r="40" spans="3:15" ht="12.75" customHeight="1" x14ac:dyDescent="0.2">
      <c r="C40" s="239" t="s">
        <v>109</v>
      </c>
      <c r="D40" s="240"/>
      <c r="E40" s="240"/>
      <c r="F40" s="240"/>
      <c r="G40" s="240"/>
      <c r="H40" s="240"/>
      <c r="I40" s="240"/>
      <c r="J40" s="240"/>
      <c r="K40" s="240"/>
      <c r="L40" s="240"/>
      <c r="M40" s="240"/>
      <c r="N40" s="240"/>
      <c r="O40" s="240"/>
    </row>
    <row r="41" spans="3:15" ht="12.75" customHeight="1" x14ac:dyDescent="0.2">
      <c r="C41" s="240"/>
      <c r="D41" s="240"/>
      <c r="E41" s="240"/>
      <c r="F41" s="240"/>
      <c r="G41" s="240"/>
      <c r="H41" s="240"/>
      <c r="I41" s="240"/>
      <c r="J41" s="240"/>
      <c r="K41" s="240"/>
      <c r="L41" s="240"/>
      <c r="M41" s="240"/>
      <c r="N41" s="240"/>
      <c r="O41" s="240"/>
    </row>
    <row r="42" spans="3:15" ht="12.75" customHeight="1" x14ac:dyDescent="0.2">
      <c r="C42" s="240"/>
      <c r="D42" s="240"/>
      <c r="E42" s="240"/>
      <c r="F42" s="240"/>
      <c r="G42" s="240"/>
      <c r="H42" s="240"/>
      <c r="I42" s="240"/>
      <c r="J42" s="240"/>
      <c r="K42" s="240"/>
      <c r="L42" s="240"/>
      <c r="M42" s="240"/>
      <c r="N42" s="240"/>
      <c r="O42" s="240"/>
    </row>
    <row r="43" spans="3:15" ht="12.75" customHeight="1" x14ac:dyDescent="0.2">
      <c r="C43" s="240"/>
      <c r="D43" s="240"/>
      <c r="E43" s="240"/>
      <c r="F43" s="240"/>
      <c r="G43" s="240"/>
      <c r="H43" s="240"/>
      <c r="I43" s="240"/>
      <c r="J43" s="240"/>
      <c r="K43" s="240"/>
      <c r="L43" s="240"/>
      <c r="M43" s="240"/>
      <c r="N43" s="240"/>
      <c r="O43" s="240"/>
    </row>
    <row r="44" spans="3:15" ht="12.75" customHeight="1" x14ac:dyDescent="0.2">
      <c r="C44" s="240"/>
      <c r="D44" s="240"/>
      <c r="E44" s="240"/>
      <c r="F44" s="240"/>
      <c r="G44" s="240"/>
      <c r="H44" s="240"/>
      <c r="I44" s="240"/>
      <c r="J44" s="240"/>
      <c r="K44" s="240"/>
      <c r="L44" s="240"/>
      <c r="M44" s="240"/>
      <c r="N44" s="240"/>
      <c r="O44" s="240"/>
    </row>
    <row r="45" spans="3:15" ht="12.75" customHeight="1" x14ac:dyDescent="0.2">
      <c r="C45" s="240"/>
      <c r="D45" s="240"/>
      <c r="E45" s="240"/>
      <c r="F45" s="240"/>
      <c r="G45" s="240"/>
      <c r="H45" s="240"/>
      <c r="I45" s="240"/>
      <c r="J45" s="240"/>
      <c r="K45" s="240"/>
      <c r="L45" s="240"/>
      <c r="M45" s="240"/>
      <c r="N45" s="240"/>
      <c r="O45" s="240"/>
    </row>
    <row r="49" spans="3:13" x14ac:dyDescent="0.2">
      <c r="C49" s="241" t="s">
        <v>110</v>
      </c>
      <c r="D49" s="241"/>
      <c r="E49" s="242" t="s">
        <v>111</v>
      </c>
      <c r="F49" s="243"/>
      <c r="G49" s="243"/>
      <c r="H49" s="243"/>
      <c r="I49" s="243"/>
      <c r="J49" s="243"/>
      <c r="K49" s="243"/>
      <c r="L49" s="243"/>
      <c r="M49" s="243"/>
    </row>
    <row r="50" spans="3:13" ht="13.5" x14ac:dyDescent="0.25">
      <c r="E50" s="230" t="s">
        <v>104</v>
      </c>
      <c r="F50" s="230"/>
      <c r="G50" s="230"/>
      <c r="H50" s="230"/>
      <c r="I50" s="230"/>
      <c r="L50" s="230" t="s">
        <v>105</v>
      </c>
      <c r="M50" s="230"/>
    </row>
  </sheetData>
  <autoFilter ref="C23:J38">
    <filterColumn colId="0" showButton="0"/>
    <filterColumn colId="1" showButton="0"/>
    <filterColumn colId="3" showButton="0">
      <customFilters>
        <customFilter operator="notEqual" val=" "/>
      </customFilters>
    </filterColumn>
    <filterColumn colId="5" showButton="0"/>
    <filterColumn colId="6" showButton="0"/>
  </autoFilter>
  <mergeCells count="70">
    <mergeCell ref="C25:E25"/>
    <mergeCell ref="F25:G25"/>
    <mergeCell ref="H25:J25"/>
    <mergeCell ref="C30:E30"/>
    <mergeCell ref="F30:G30"/>
    <mergeCell ref="H30:J30"/>
    <mergeCell ref="C26:E26"/>
    <mergeCell ref="F26:G26"/>
    <mergeCell ref="H26:J26"/>
    <mergeCell ref="C27:E27"/>
    <mergeCell ref="F27:G27"/>
    <mergeCell ref="H27:J27"/>
    <mergeCell ref="C28:E28"/>
    <mergeCell ref="F28:G28"/>
    <mergeCell ref="H28:J28"/>
    <mergeCell ref="C29:E29"/>
    <mergeCell ref="N20:O20"/>
    <mergeCell ref="C13:O13"/>
    <mergeCell ref="C14:O14"/>
    <mergeCell ref="C16:D16"/>
    <mergeCell ref="E16:G16"/>
    <mergeCell ref="I16:J16"/>
    <mergeCell ref="K16:M16"/>
    <mergeCell ref="K18:L18"/>
    <mergeCell ref="M18:N18"/>
    <mergeCell ref="C20:D20"/>
    <mergeCell ref="E20:G20"/>
    <mergeCell ref="I20:J20"/>
    <mergeCell ref="C24:E24"/>
    <mergeCell ref="F24:G24"/>
    <mergeCell ref="H24:J24"/>
    <mergeCell ref="C18:D18"/>
    <mergeCell ref="E18:G18"/>
    <mergeCell ref="I18:J18"/>
    <mergeCell ref="K21:M21"/>
    <mergeCell ref="N21:O21"/>
    <mergeCell ref="C23:E23"/>
    <mergeCell ref="F23:G23"/>
    <mergeCell ref="H23:J23"/>
    <mergeCell ref="F29:G29"/>
    <mergeCell ref="H29:J29"/>
    <mergeCell ref="C31:E31"/>
    <mergeCell ref="F31:G31"/>
    <mergeCell ref="H31:J31"/>
    <mergeCell ref="C32:E32"/>
    <mergeCell ref="F32:G32"/>
    <mergeCell ref="H32:J32"/>
    <mergeCell ref="C33:E33"/>
    <mergeCell ref="F33:G33"/>
    <mergeCell ref="H33:J33"/>
    <mergeCell ref="C34:E34"/>
    <mergeCell ref="F34:G34"/>
    <mergeCell ref="H34:J34"/>
    <mergeCell ref="C35:E35"/>
    <mergeCell ref="F35:G35"/>
    <mergeCell ref="H35:J35"/>
    <mergeCell ref="C37:E37"/>
    <mergeCell ref="F37:G37"/>
    <mergeCell ref="H37:J37"/>
    <mergeCell ref="C36:E36"/>
    <mergeCell ref="F36:G36"/>
    <mergeCell ref="H36:J36"/>
    <mergeCell ref="E50:I50"/>
    <mergeCell ref="L50:M50"/>
    <mergeCell ref="C38:E38"/>
    <mergeCell ref="F38:G38"/>
    <mergeCell ref="H38:J38"/>
    <mergeCell ref="C40:O45"/>
    <mergeCell ref="C49:D49"/>
    <mergeCell ref="E49:M49"/>
  </mergeCells>
  <dataValidations count="1">
    <dataValidation type="list" allowBlank="1" showInputMessage="1" showErrorMessage="1" sqref="WVS983059:WVU983059 JG16:JI16 TC16:TE16 ACY16:ADA16 AMU16:AMW16 AWQ16:AWS16 BGM16:BGO16 BQI16:BQK16 CAE16:CAG16 CKA16:CKC16 CTW16:CTY16 DDS16:DDU16 DNO16:DNQ16 DXK16:DXM16 EHG16:EHI16 ERC16:ERE16 FAY16:FBA16 FKU16:FKW16 FUQ16:FUS16 GEM16:GEO16 GOI16:GOK16 GYE16:GYG16 HIA16:HIC16 HRW16:HRY16 IBS16:IBU16 ILO16:ILQ16 IVK16:IVM16 JFG16:JFI16 JPC16:JPE16 JYY16:JZA16 KIU16:KIW16 KSQ16:KSS16 LCM16:LCO16 LMI16:LMK16 LWE16:LWG16 MGA16:MGC16 MPW16:MPY16 MZS16:MZU16 NJO16:NJQ16 NTK16:NTM16 ODG16:ODI16 ONC16:ONE16 OWY16:OXA16 PGU16:PGW16 PQQ16:PQS16 QAM16:QAO16 QKI16:QKK16 QUE16:QUG16 REA16:REC16 RNW16:RNY16 RXS16:RXU16 SHO16:SHQ16 SRK16:SRM16 TBG16:TBI16 TLC16:TLE16 TUY16:TVA16 UEU16:UEW16 UOQ16:UOS16 UYM16:UYO16 VII16:VIK16 VSE16:VSG16 WCA16:WCC16 WLW16:WLY16 WVS16:WVU16 K65555:M65555 JG65555:JI65555 TC65555:TE65555 ACY65555:ADA65555 AMU65555:AMW65555 AWQ65555:AWS65555 BGM65555:BGO65555 BQI65555:BQK65555 CAE65555:CAG65555 CKA65555:CKC65555 CTW65555:CTY65555 DDS65555:DDU65555 DNO65555:DNQ65555 DXK65555:DXM65555 EHG65555:EHI65555 ERC65555:ERE65555 FAY65555:FBA65555 FKU65555:FKW65555 FUQ65555:FUS65555 GEM65555:GEO65555 GOI65555:GOK65555 GYE65555:GYG65555 HIA65555:HIC65555 HRW65555:HRY65555 IBS65555:IBU65555 ILO65555:ILQ65555 IVK65555:IVM65555 JFG65555:JFI65555 JPC65555:JPE65555 JYY65555:JZA65555 KIU65555:KIW65555 KSQ65555:KSS65555 LCM65555:LCO65555 LMI65555:LMK65555 LWE65555:LWG65555 MGA65555:MGC65555 MPW65555:MPY65555 MZS65555:MZU65555 NJO65555:NJQ65555 NTK65555:NTM65555 ODG65555:ODI65555 ONC65555:ONE65555 OWY65555:OXA65555 PGU65555:PGW65555 PQQ65555:PQS65555 QAM65555:QAO65555 QKI65555:QKK65555 QUE65555:QUG65555 REA65555:REC65555 RNW65555:RNY65555 RXS65555:RXU65555 SHO65555:SHQ65555 SRK65555:SRM65555 TBG65555:TBI65555 TLC65555:TLE65555 TUY65555:TVA65555 UEU65555:UEW65555 UOQ65555:UOS65555 UYM65555:UYO65555 VII65555:VIK65555 VSE65555:VSG65555 WCA65555:WCC65555 WLW65555:WLY65555 WVS65555:WVU65555 K131091:M131091 JG131091:JI131091 TC131091:TE131091 ACY131091:ADA131091 AMU131091:AMW131091 AWQ131091:AWS131091 BGM131091:BGO131091 BQI131091:BQK131091 CAE131091:CAG131091 CKA131091:CKC131091 CTW131091:CTY131091 DDS131091:DDU131091 DNO131091:DNQ131091 DXK131091:DXM131091 EHG131091:EHI131091 ERC131091:ERE131091 FAY131091:FBA131091 FKU131091:FKW131091 FUQ131091:FUS131091 GEM131091:GEO131091 GOI131091:GOK131091 GYE131091:GYG131091 HIA131091:HIC131091 HRW131091:HRY131091 IBS131091:IBU131091 ILO131091:ILQ131091 IVK131091:IVM131091 JFG131091:JFI131091 JPC131091:JPE131091 JYY131091:JZA131091 KIU131091:KIW131091 KSQ131091:KSS131091 LCM131091:LCO131091 LMI131091:LMK131091 LWE131091:LWG131091 MGA131091:MGC131091 MPW131091:MPY131091 MZS131091:MZU131091 NJO131091:NJQ131091 NTK131091:NTM131091 ODG131091:ODI131091 ONC131091:ONE131091 OWY131091:OXA131091 PGU131091:PGW131091 PQQ131091:PQS131091 QAM131091:QAO131091 QKI131091:QKK131091 QUE131091:QUG131091 REA131091:REC131091 RNW131091:RNY131091 RXS131091:RXU131091 SHO131091:SHQ131091 SRK131091:SRM131091 TBG131091:TBI131091 TLC131091:TLE131091 TUY131091:TVA131091 UEU131091:UEW131091 UOQ131091:UOS131091 UYM131091:UYO131091 VII131091:VIK131091 VSE131091:VSG131091 WCA131091:WCC131091 WLW131091:WLY131091 WVS131091:WVU131091 K196627:M196627 JG196627:JI196627 TC196627:TE196627 ACY196627:ADA196627 AMU196627:AMW196627 AWQ196627:AWS196627 BGM196627:BGO196627 BQI196627:BQK196627 CAE196627:CAG196627 CKA196627:CKC196627 CTW196627:CTY196627 DDS196627:DDU196627 DNO196627:DNQ196627 DXK196627:DXM196627 EHG196627:EHI196627 ERC196627:ERE196627 FAY196627:FBA196627 FKU196627:FKW196627 FUQ196627:FUS196627 GEM196627:GEO196627 GOI196627:GOK196627 GYE196627:GYG196627 HIA196627:HIC196627 HRW196627:HRY196627 IBS196627:IBU196627 ILO196627:ILQ196627 IVK196627:IVM196627 JFG196627:JFI196627 JPC196627:JPE196627 JYY196627:JZA196627 KIU196627:KIW196627 KSQ196627:KSS196627 LCM196627:LCO196627 LMI196627:LMK196627 LWE196627:LWG196627 MGA196627:MGC196627 MPW196627:MPY196627 MZS196627:MZU196627 NJO196627:NJQ196627 NTK196627:NTM196627 ODG196627:ODI196627 ONC196627:ONE196627 OWY196627:OXA196627 PGU196627:PGW196627 PQQ196627:PQS196627 QAM196627:QAO196627 QKI196627:QKK196627 QUE196627:QUG196627 REA196627:REC196627 RNW196627:RNY196627 RXS196627:RXU196627 SHO196627:SHQ196627 SRK196627:SRM196627 TBG196627:TBI196627 TLC196627:TLE196627 TUY196627:TVA196627 UEU196627:UEW196627 UOQ196627:UOS196627 UYM196627:UYO196627 VII196627:VIK196627 VSE196627:VSG196627 WCA196627:WCC196627 WLW196627:WLY196627 WVS196627:WVU196627 K262163:M262163 JG262163:JI262163 TC262163:TE262163 ACY262163:ADA262163 AMU262163:AMW262163 AWQ262163:AWS262163 BGM262163:BGO262163 BQI262163:BQK262163 CAE262163:CAG262163 CKA262163:CKC262163 CTW262163:CTY262163 DDS262163:DDU262163 DNO262163:DNQ262163 DXK262163:DXM262163 EHG262163:EHI262163 ERC262163:ERE262163 FAY262163:FBA262163 FKU262163:FKW262163 FUQ262163:FUS262163 GEM262163:GEO262163 GOI262163:GOK262163 GYE262163:GYG262163 HIA262163:HIC262163 HRW262163:HRY262163 IBS262163:IBU262163 ILO262163:ILQ262163 IVK262163:IVM262163 JFG262163:JFI262163 JPC262163:JPE262163 JYY262163:JZA262163 KIU262163:KIW262163 KSQ262163:KSS262163 LCM262163:LCO262163 LMI262163:LMK262163 LWE262163:LWG262163 MGA262163:MGC262163 MPW262163:MPY262163 MZS262163:MZU262163 NJO262163:NJQ262163 NTK262163:NTM262163 ODG262163:ODI262163 ONC262163:ONE262163 OWY262163:OXA262163 PGU262163:PGW262163 PQQ262163:PQS262163 QAM262163:QAO262163 QKI262163:QKK262163 QUE262163:QUG262163 REA262163:REC262163 RNW262163:RNY262163 RXS262163:RXU262163 SHO262163:SHQ262163 SRK262163:SRM262163 TBG262163:TBI262163 TLC262163:TLE262163 TUY262163:TVA262163 UEU262163:UEW262163 UOQ262163:UOS262163 UYM262163:UYO262163 VII262163:VIK262163 VSE262163:VSG262163 WCA262163:WCC262163 WLW262163:WLY262163 WVS262163:WVU262163 K327699:M327699 JG327699:JI327699 TC327699:TE327699 ACY327699:ADA327699 AMU327699:AMW327699 AWQ327699:AWS327699 BGM327699:BGO327699 BQI327699:BQK327699 CAE327699:CAG327699 CKA327699:CKC327699 CTW327699:CTY327699 DDS327699:DDU327699 DNO327699:DNQ327699 DXK327699:DXM327699 EHG327699:EHI327699 ERC327699:ERE327699 FAY327699:FBA327699 FKU327699:FKW327699 FUQ327699:FUS327699 GEM327699:GEO327699 GOI327699:GOK327699 GYE327699:GYG327699 HIA327699:HIC327699 HRW327699:HRY327699 IBS327699:IBU327699 ILO327699:ILQ327699 IVK327699:IVM327699 JFG327699:JFI327699 JPC327699:JPE327699 JYY327699:JZA327699 KIU327699:KIW327699 KSQ327699:KSS327699 LCM327699:LCO327699 LMI327699:LMK327699 LWE327699:LWG327699 MGA327699:MGC327699 MPW327699:MPY327699 MZS327699:MZU327699 NJO327699:NJQ327699 NTK327699:NTM327699 ODG327699:ODI327699 ONC327699:ONE327699 OWY327699:OXA327699 PGU327699:PGW327699 PQQ327699:PQS327699 QAM327699:QAO327699 QKI327699:QKK327699 QUE327699:QUG327699 REA327699:REC327699 RNW327699:RNY327699 RXS327699:RXU327699 SHO327699:SHQ327699 SRK327699:SRM327699 TBG327699:TBI327699 TLC327699:TLE327699 TUY327699:TVA327699 UEU327699:UEW327699 UOQ327699:UOS327699 UYM327699:UYO327699 VII327699:VIK327699 VSE327699:VSG327699 WCA327699:WCC327699 WLW327699:WLY327699 WVS327699:WVU327699 K393235:M393235 JG393235:JI393235 TC393235:TE393235 ACY393235:ADA393235 AMU393235:AMW393235 AWQ393235:AWS393235 BGM393235:BGO393235 BQI393235:BQK393235 CAE393235:CAG393235 CKA393235:CKC393235 CTW393235:CTY393235 DDS393235:DDU393235 DNO393235:DNQ393235 DXK393235:DXM393235 EHG393235:EHI393235 ERC393235:ERE393235 FAY393235:FBA393235 FKU393235:FKW393235 FUQ393235:FUS393235 GEM393235:GEO393235 GOI393235:GOK393235 GYE393235:GYG393235 HIA393235:HIC393235 HRW393235:HRY393235 IBS393235:IBU393235 ILO393235:ILQ393235 IVK393235:IVM393235 JFG393235:JFI393235 JPC393235:JPE393235 JYY393235:JZA393235 KIU393235:KIW393235 KSQ393235:KSS393235 LCM393235:LCO393235 LMI393235:LMK393235 LWE393235:LWG393235 MGA393235:MGC393235 MPW393235:MPY393235 MZS393235:MZU393235 NJO393235:NJQ393235 NTK393235:NTM393235 ODG393235:ODI393235 ONC393235:ONE393235 OWY393235:OXA393235 PGU393235:PGW393235 PQQ393235:PQS393235 QAM393235:QAO393235 QKI393235:QKK393235 QUE393235:QUG393235 REA393235:REC393235 RNW393235:RNY393235 RXS393235:RXU393235 SHO393235:SHQ393235 SRK393235:SRM393235 TBG393235:TBI393235 TLC393235:TLE393235 TUY393235:TVA393235 UEU393235:UEW393235 UOQ393235:UOS393235 UYM393235:UYO393235 VII393235:VIK393235 VSE393235:VSG393235 WCA393235:WCC393235 WLW393235:WLY393235 WVS393235:WVU393235 K458771:M458771 JG458771:JI458771 TC458771:TE458771 ACY458771:ADA458771 AMU458771:AMW458771 AWQ458771:AWS458771 BGM458771:BGO458771 BQI458771:BQK458771 CAE458771:CAG458771 CKA458771:CKC458771 CTW458771:CTY458771 DDS458771:DDU458771 DNO458771:DNQ458771 DXK458771:DXM458771 EHG458771:EHI458771 ERC458771:ERE458771 FAY458771:FBA458771 FKU458771:FKW458771 FUQ458771:FUS458771 GEM458771:GEO458771 GOI458771:GOK458771 GYE458771:GYG458771 HIA458771:HIC458771 HRW458771:HRY458771 IBS458771:IBU458771 ILO458771:ILQ458771 IVK458771:IVM458771 JFG458771:JFI458771 JPC458771:JPE458771 JYY458771:JZA458771 KIU458771:KIW458771 KSQ458771:KSS458771 LCM458771:LCO458771 LMI458771:LMK458771 LWE458771:LWG458771 MGA458771:MGC458771 MPW458771:MPY458771 MZS458771:MZU458771 NJO458771:NJQ458771 NTK458771:NTM458771 ODG458771:ODI458771 ONC458771:ONE458771 OWY458771:OXA458771 PGU458771:PGW458771 PQQ458771:PQS458771 QAM458771:QAO458771 QKI458771:QKK458771 QUE458771:QUG458771 REA458771:REC458771 RNW458771:RNY458771 RXS458771:RXU458771 SHO458771:SHQ458771 SRK458771:SRM458771 TBG458771:TBI458771 TLC458771:TLE458771 TUY458771:TVA458771 UEU458771:UEW458771 UOQ458771:UOS458771 UYM458771:UYO458771 VII458771:VIK458771 VSE458771:VSG458771 WCA458771:WCC458771 WLW458771:WLY458771 WVS458771:WVU458771 K524307:M524307 JG524307:JI524307 TC524307:TE524307 ACY524307:ADA524307 AMU524307:AMW524307 AWQ524307:AWS524307 BGM524307:BGO524307 BQI524307:BQK524307 CAE524307:CAG524307 CKA524307:CKC524307 CTW524307:CTY524307 DDS524307:DDU524307 DNO524307:DNQ524307 DXK524307:DXM524307 EHG524307:EHI524307 ERC524307:ERE524307 FAY524307:FBA524307 FKU524307:FKW524307 FUQ524307:FUS524307 GEM524307:GEO524307 GOI524307:GOK524307 GYE524307:GYG524307 HIA524307:HIC524307 HRW524307:HRY524307 IBS524307:IBU524307 ILO524307:ILQ524307 IVK524307:IVM524307 JFG524307:JFI524307 JPC524307:JPE524307 JYY524307:JZA524307 KIU524307:KIW524307 KSQ524307:KSS524307 LCM524307:LCO524307 LMI524307:LMK524307 LWE524307:LWG524307 MGA524307:MGC524307 MPW524307:MPY524307 MZS524307:MZU524307 NJO524307:NJQ524307 NTK524307:NTM524307 ODG524307:ODI524307 ONC524307:ONE524307 OWY524307:OXA524307 PGU524307:PGW524307 PQQ524307:PQS524307 QAM524307:QAO524307 QKI524307:QKK524307 QUE524307:QUG524307 REA524307:REC524307 RNW524307:RNY524307 RXS524307:RXU524307 SHO524307:SHQ524307 SRK524307:SRM524307 TBG524307:TBI524307 TLC524307:TLE524307 TUY524307:TVA524307 UEU524307:UEW524307 UOQ524307:UOS524307 UYM524307:UYO524307 VII524307:VIK524307 VSE524307:VSG524307 WCA524307:WCC524307 WLW524307:WLY524307 WVS524307:WVU524307 K589843:M589843 JG589843:JI589843 TC589843:TE589843 ACY589843:ADA589843 AMU589843:AMW589843 AWQ589843:AWS589843 BGM589843:BGO589843 BQI589843:BQK589843 CAE589843:CAG589843 CKA589843:CKC589843 CTW589843:CTY589843 DDS589843:DDU589843 DNO589843:DNQ589843 DXK589843:DXM589843 EHG589843:EHI589843 ERC589843:ERE589843 FAY589843:FBA589843 FKU589843:FKW589843 FUQ589843:FUS589843 GEM589843:GEO589843 GOI589843:GOK589843 GYE589843:GYG589843 HIA589843:HIC589843 HRW589843:HRY589843 IBS589843:IBU589843 ILO589843:ILQ589843 IVK589843:IVM589843 JFG589843:JFI589843 JPC589843:JPE589843 JYY589843:JZA589843 KIU589843:KIW589843 KSQ589843:KSS589843 LCM589843:LCO589843 LMI589843:LMK589843 LWE589843:LWG589843 MGA589843:MGC589843 MPW589843:MPY589843 MZS589843:MZU589843 NJO589843:NJQ589843 NTK589843:NTM589843 ODG589843:ODI589843 ONC589843:ONE589843 OWY589843:OXA589843 PGU589843:PGW589843 PQQ589843:PQS589843 QAM589843:QAO589843 QKI589843:QKK589843 QUE589843:QUG589843 REA589843:REC589843 RNW589843:RNY589843 RXS589843:RXU589843 SHO589843:SHQ589843 SRK589843:SRM589843 TBG589843:TBI589843 TLC589843:TLE589843 TUY589843:TVA589843 UEU589843:UEW589843 UOQ589843:UOS589843 UYM589843:UYO589843 VII589843:VIK589843 VSE589843:VSG589843 WCA589843:WCC589843 WLW589843:WLY589843 WVS589843:WVU589843 K655379:M655379 JG655379:JI655379 TC655379:TE655379 ACY655379:ADA655379 AMU655379:AMW655379 AWQ655379:AWS655379 BGM655379:BGO655379 BQI655379:BQK655379 CAE655379:CAG655379 CKA655379:CKC655379 CTW655379:CTY655379 DDS655379:DDU655379 DNO655379:DNQ655379 DXK655379:DXM655379 EHG655379:EHI655379 ERC655379:ERE655379 FAY655379:FBA655379 FKU655379:FKW655379 FUQ655379:FUS655379 GEM655379:GEO655379 GOI655379:GOK655379 GYE655379:GYG655379 HIA655379:HIC655379 HRW655379:HRY655379 IBS655379:IBU655379 ILO655379:ILQ655379 IVK655379:IVM655379 JFG655379:JFI655379 JPC655379:JPE655379 JYY655379:JZA655379 KIU655379:KIW655379 KSQ655379:KSS655379 LCM655379:LCO655379 LMI655379:LMK655379 LWE655379:LWG655379 MGA655379:MGC655379 MPW655379:MPY655379 MZS655379:MZU655379 NJO655379:NJQ655379 NTK655379:NTM655379 ODG655379:ODI655379 ONC655379:ONE655379 OWY655379:OXA655379 PGU655379:PGW655379 PQQ655379:PQS655379 QAM655379:QAO655379 QKI655379:QKK655379 QUE655379:QUG655379 REA655379:REC655379 RNW655379:RNY655379 RXS655379:RXU655379 SHO655379:SHQ655379 SRK655379:SRM655379 TBG655379:TBI655379 TLC655379:TLE655379 TUY655379:TVA655379 UEU655379:UEW655379 UOQ655379:UOS655379 UYM655379:UYO655379 VII655379:VIK655379 VSE655379:VSG655379 WCA655379:WCC655379 WLW655379:WLY655379 WVS655379:WVU655379 K720915:M720915 JG720915:JI720915 TC720915:TE720915 ACY720915:ADA720915 AMU720915:AMW720915 AWQ720915:AWS720915 BGM720915:BGO720915 BQI720915:BQK720915 CAE720915:CAG720915 CKA720915:CKC720915 CTW720915:CTY720915 DDS720915:DDU720915 DNO720915:DNQ720915 DXK720915:DXM720915 EHG720915:EHI720915 ERC720915:ERE720915 FAY720915:FBA720915 FKU720915:FKW720915 FUQ720915:FUS720915 GEM720915:GEO720915 GOI720915:GOK720915 GYE720915:GYG720915 HIA720915:HIC720915 HRW720915:HRY720915 IBS720915:IBU720915 ILO720915:ILQ720915 IVK720915:IVM720915 JFG720915:JFI720915 JPC720915:JPE720915 JYY720915:JZA720915 KIU720915:KIW720915 KSQ720915:KSS720915 LCM720915:LCO720915 LMI720915:LMK720915 LWE720915:LWG720915 MGA720915:MGC720915 MPW720915:MPY720915 MZS720915:MZU720915 NJO720915:NJQ720915 NTK720915:NTM720915 ODG720915:ODI720915 ONC720915:ONE720915 OWY720915:OXA720915 PGU720915:PGW720915 PQQ720915:PQS720915 QAM720915:QAO720915 QKI720915:QKK720915 QUE720915:QUG720915 REA720915:REC720915 RNW720915:RNY720915 RXS720915:RXU720915 SHO720915:SHQ720915 SRK720915:SRM720915 TBG720915:TBI720915 TLC720915:TLE720915 TUY720915:TVA720915 UEU720915:UEW720915 UOQ720915:UOS720915 UYM720915:UYO720915 VII720915:VIK720915 VSE720915:VSG720915 WCA720915:WCC720915 WLW720915:WLY720915 WVS720915:WVU720915 K786451:M786451 JG786451:JI786451 TC786451:TE786451 ACY786451:ADA786451 AMU786451:AMW786451 AWQ786451:AWS786451 BGM786451:BGO786451 BQI786451:BQK786451 CAE786451:CAG786451 CKA786451:CKC786451 CTW786451:CTY786451 DDS786451:DDU786451 DNO786451:DNQ786451 DXK786451:DXM786451 EHG786451:EHI786451 ERC786451:ERE786451 FAY786451:FBA786451 FKU786451:FKW786451 FUQ786451:FUS786451 GEM786451:GEO786451 GOI786451:GOK786451 GYE786451:GYG786451 HIA786451:HIC786451 HRW786451:HRY786451 IBS786451:IBU786451 ILO786451:ILQ786451 IVK786451:IVM786451 JFG786451:JFI786451 JPC786451:JPE786451 JYY786451:JZA786451 KIU786451:KIW786451 KSQ786451:KSS786451 LCM786451:LCO786451 LMI786451:LMK786451 LWE786451:LWG786451 MGA786451:MGC786451 MPW786451:MPY786451 MZS786451:MZU786451 NJO786451:NJQ786451 NTK786451:NTM786451 ODG786451:ODI786451 ONC786451:ONE786451 OWY786451:OXA786451 PGU786451:PGW786451 PQQ786451:PQS786451 QAM786451:QAO786451 QKI786451:QKK786451 QUE786451:QUG786451 REA786451:REC786451 RNW786451:RNY786451 RXS786451:RXU786451 SHO786451:SHQ786451 SRK786451:SRM786451 TBG786451:TBI786451 TLC786451:TLE786451 TUY786451:TVA786451 UEU786451:UEW786451 UOQ786451:UOS786451 UYM786451:UYO786451 VII786451:VIK786451 VSE786451:VSG786451 WCA786451:WCC786451 WLW786451:WLY786451 WVS786451:WVU786451 K851987:M851987 JG851987:JI851987 TC851987:TE851987 ACY851987:ADA851987 AMU851987:AMW851987 AWQ851987:AWS851987 BGM851987:BGO851987 BQI851987:BQK851987 CAE851987:CAG851987 CKA851987:CKC851987 CTW851987:CTY851987 DDS851987:DDU851987 DNO851987:DNQ851987 DXK851987:DXM851987 EHG851987:EHI851987 ERC851987:ERE851987 FAY851987:FBA851987 FKU851987:FKW851987 FUQ851987:FUS851987 GEM851987:GEO851987 GOI851987:GOK851987 GYE851987:GYG851987 HIA851987:HIC851987 HRW851987:HRY851987 IBS851987:IBU851987 ILO851987:ILQ851987 IVK851987:IVM851987 JFG851987:JFI851987 JPC851987:JPE851987 JYY851987:JZA851987 KIU851987:KIW851987 KSQ851987:KSS851987 LCM851987:LCO851987 LMI851987:LMK851987 LWE851987:LWG851987 MGA851987:MGC851987 MPW851987:MPY851987 MZS851987:MZU851987 NJO851987:NJQ851987 NTK851987:NTM851987 ODG851987:ODI851987 ONC851987:ONE851987 OWY851987:OXA851987 PGU851987:PGW851987 PQQ851987:PQS851987 QAM851987:QAO851987 QKI851987:QKK851987 QUE851987:QUG851987 REA851987:REC851987 RNW851987:RNY851987 RXS851987:RXU851987 SHO851987:SHQ851987 SRK851987:SRM851987 TBG851987:TBI851987 TLC851987:TLE851987 TUY851987:TVA851987 UEU851987:UEW851987 UOQ851987:UOS851987 UYM851987:UYO851987 VII851987:VIK851987 VSE851987:VSG851987 WCA851987:WCC851987 WLW851987:WLY851987 WVS851987:WVU851987 K917523:M917523 JG917523:JI917523 TC917523:TE917523 ACY917523:ADA917523 AMU917523:AMW917523 AWQ917523:AWS917523 BGM917523:BGO917523 BQI917523:BQK917523 CAE917523:CAG917523 CKA917523:CKC917523 CTW917523:CTY917523 DDS917523:DDU917523 DNO917523:DNQ917523 DXK917523:DXM917523 EHG917523:EHI917523 ERC917523:ERE917523 FAY917523:FBA917523 FKU917523:FKW917523 FUQ917523:FUS917523 GEM917523:GEO917523 GOI917523:GOK917523 GYE917523:GYG917523 HIA917523:HIC917523 HRW917523:HRY917523 IBS917523:IBU917523 ILO917523:ILQ917523 IVK917523:IVM917523 JFG917523:JFI917523 JPC917523:JPE917523 JYY917523:JZA917523 KIU917523:KIW917523 KSQ917523:KSS917523 LCM917523:LCO917523 LMI917523:LMK917523 LWE917523:LWG917523 MGA917523:MGC917523 MPW917523:MPY917523 MZS917523:MZU917523 NJO917523:NJQ917523 NTK917523:NTM917523 ODG917523:ODI917523 ONC917523:ONE917523 OWY917523:OXA917523 PGU917523:PGW917523 PQQ917523:PQS917523 QAM917523:QAO917523 QKI917523:QKK917523 QUE917523:QUG917523 REA917523:REC917523 RNW917523:RNY917523 RXS917523:RXU917523 SHO917523:SHQ917523 SRK917523:SRM917523 TBG917523:TBI917523 TLC917523:TLE917523 TUY917523:TVA917523 UEU917523:UEW917523 UOQ917523:UOS917523 UYM917523:UYO917523 VII917523:VIK917523 VSE917523:VSG917523 WCA917523:WCC917523 WLW917523:WLY917523 WVS917523:WVU917523 K983059:M983059 JG983059:JI983059 TC983059:TE983059 ACY983059:ADA983059 AMU983059:AMW983059 AWQ983059:AWS983059 BGM983059:BGO983059 BQI983059:BQK983059 CAE983059:CAG983059 CKA983059:CKC983059 CTW983059:CTY983059 DDS983059:DDU983059 DNO983059:DNQ983059 DXK983059:DXM983059 EHG983059:EHI983059 ERC983059:ERE983059 FAY983059:FBA983059 FKU983059:FKW983059 FUQ983059:FUS983059 GEM983059:GEO983059 GOI983059:GOK983059 GYE983059:GYG983059 HIA983059:HIC983059 HRW983059:HRY983059 IBS983059:IBU983059 ILO983059:ILQ983059 IVK983059:IVM983059 JFG983059:JFI983059 JPC983059:JPE983059 JYY983059:JZA983059 KIU983059:KIW983059 KSQ983059:KSS983059 LCM983059:LCO983059 LMI983059:LMK983059 LWE983059:LWG983059 MGA983059:MGC983059 MPW983059:MPY983059 MZS983059:MZU983059 NJO983059:NJQ983059 NTK983059:NTM983059 ODG983059:ODI983059 ONC983059:ONE983059 OWY983059:OXA983059 PGU983059:PGW983059 PQQ983059:PQS983059 QAM983059:QAO983059 QKI983059:QKK983059 QUE983059:QUG983059 REA983059:REC983059 RNW983059:RNY983059 RXS983059:RXU983059 SHO983059:SHQ983059 SRK983059:SRM983059 TBG983059:TBI983059 TLC983059:TLE983059 TUY983059:TVA983059 UEU983059:UEW983059 UOQ983059:UOS983059 UYM983059:UYO983059 VII983059:VIK983059 VSE983059:VSG983059 WCA983059:WCC983059 WLW983059:WLY983059">
      <formula1>CITY</formula1>
    </dataValidation>
  </dataValidations>
  <printOptions horizontalCentered="1" verticalCentered="1"/>
  <pageMargins left="0.75" right="0.75" top="0.25" bottom="0.25" header="0.5" footer="0.5"/>
  <pageSetup scale="94"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90"/>
  <sheetViews>
    <sheetView workbookViewId="0"/>
  </sheetViews>
  <sheetFormatPr defaultColWidth="9.140625" defaultRowHeight="12.75" x14ac:dyDescent="0.2"/>
  <cols>
    <col min="1" max="1" width="25.140625" style="102" bestFit="1" customWidth="1"/>
    <col min="2" max="2" width="9" style="129" bestFit="1" customWidth="1"/>
    <col min="3" max="3" width="14.5703125" style="128" bestFit="1" customWidth="1"/>
    <col min="4" max="4" width="17.85546875" style="130" bestFit="1" customWidth="1"/>
    <col min="5" max="5" width="10.85546875" style="130" bestFit="1" customWidth="1"/>
    <col min="6" max="6" width="15.5703125" style="128" bestFit="1" customWidth="1"/>
    <col min="7" max="7" width="8.42578125" style="131" bestFit="1" customWidth="1"/>
    <col min="8" max="8" width="6.5703125" style="128" customWidth="1"/>
    <col min="9" max="9" width="18.28515625" style="128" bestFit="1" customWidth="1"/>
    <col min="10" max="10" width="14.85546875" style="58" bestFit="1" customWidth="1"/>
    <col min="11" max="11" width="6.85546875" style="58" bestFit="1" customWidth="1"/>
    <col min="12" max="12" width="8.85546875" style="58" bestFit="1" customWidth="1"/>
    <col min="13" max="13" width="17.28515625" style="102" bestFit="1" customWidth="1"/>
    <col min="14" max="14" width="12.5703125" style="104" bestFit="1" customWidth="1"/>
    <col min="15" max="15" width="4.42578125" style="102" customWidth="1"/>
    <col min="16" max="16" width="18.28515625" style="102" bestFit="1" customWidth="1"/>
    <col min="17" max="17" width="3.7109375" style="102" bestFit="1" customWidth="1"/>
    <col min="18" max="18" width="9.140625" style="102"/>
    <col min="19" max="19" width="20.5703125" style="102" bestFit="1" customWidth="1"/>
    <col min="20" max="20" width="11.28515625" style="102" bestFit="1" customWidth="1"/>
    <col min="21" max="21" width="17.28515625" style="102" bestFit="1" customWidth="1"/>
    <col min="22" max="16384" width="9.140625" style="102"/>
  </cols>
  <sheetData>
    <row r="1" spans="1:17" x14ac:dyDescent="0.2">
      <c r="A1" s="105" t="s">
        <v>61</v>
      </c>
      <c r="B1" s="106" t="s">
        <v>7</v>
      </c>
      <c r="C1" s="107" t="s">
        <v>62</v>
      </c>
      <c r="D1" s="108" t="s">
        <v>57</v>
      </c>
      <c r="E1" s="108" t="s">
        <v>257</v>
      </c>
      <c r="F1" s="107" t="s">
        <v>164</v>
      </c>
      <c r="G1" s="109" t="s">
        <v>162</v>
      </c>
      <c r="H1" s="110"/>
      <c r="I1" s="111" t="s">
        <v>298</v>
      </c>
      <c r="J1" s="58" t="s">
        <v>224</v>
      </c>
      <c r="K1" s="58" t="s">
        <v>212</v>
      </c>
      <c r="L1" s="58" t="s">
        <v>223</v>
      </c>
      <c r="M1" s="102" t="s">
        <v>210</v>
      </c>
      <c r="N1" s="71" t="s">
        <v>229</v>
      </c>
      <c r="O1" s="103"/>
      <c r="P1" s="102" t="s">
        <v>165</v>
      </c>
    </row>
    <row r="2" spans="1:17" x14ac:dyDescent="0.2">
      <c r="A2" s="112" t="s">
        <v>39</v>
      </c>
      <c r="B2" s="113">
        <v>2.5000000000000001E-2</v>
      </c>
      <c r="C2" s="114" t="s">
        <v>39</v>
      </c>
      <c r="D2" s="115" t="s">
        <v>230</v>
      </c>
      <c r="E2" s="115" t="s">
        <v>256</v>
      </c>
      <c r="F2" s="116" t="s">
        <v>112</v>
      </c>
      <c r="G2" s="117" t="str">
        <f>IF(ISNA(VLOOKUP(DATA!$B$6,REFCE!$P$1:$P$5,1,FALSE)),F2,"S")</f>
        <v>CA</v>
      </c>
      <c r="H2" s="111"/>
      <c r="I2" s="111" t="str">
        <f>J2 &amp; ", " &amp; K2</f>
        <v>SAN RAMON, CA</v>
      </c>
      <c r="J2" s="58" t="s">
        <v>97</v>
      </c>
      <c r="K2" s="58" t="s">
        <v>112</v>
      </c>
      <c r="L2" s="58" t="s">
        <v>214</v>
      </c>
      <c r="M2" s="91" t="s">
        <v>11</v>
      </c>
      <c r="N2" s="72"/>
      <c r="O2" s="103"/>
      <c r="P2" s="58" t="s">
        <v>321</v>
      </c>
      <c r="Q2" s="58"/>
    </row>
    <row r="3" spans="1:17" x14ac:dyDescent="0.2">
      <c r="A3" s="112" t="s">
        <v>38</v>
      </c>
      <c r="B3" s="113">
        <v>2.5000000000000001E-2</v>
      </c>
      <c r="C3" s="114" t="s">
        <v>38</v>
      </c>
      <c r="D3" s="115" t="s">
        <v>231</v>
      </c>
      <c r="E3" s="115" t="s">
        <v>256</v>
      </c>
      <c r="F3" s="116" t="s">
        <v>112</v>
      </c>
      <c r="G3" s="117" t="str">
        <f>IF(ISNA(VLOOKUP(TOTALS!$B$1,REFCE!$P$1:$P$5,1,FALSE)),F3,"S")</f>
        <v>CA</v>
      </c>
      <c r="H3" s="111"/>
      <c r="I3" s="111" t="str">
        <f t="shared" ref="I3:I13" si="0">J3 &amp; ", " &amp; K3</f>
        <v>TORRANCE, CA</v>
      </c>
      <c r="J3" s="58" t="s">
        <v>113</v>
      </c>
      <c r="K3" s="58" t="s">
        <v>112</v>
      </c>
      <c r="L3" s="58" t="s">
        <v>215</v>
      </c>
      <c r="M3" s="91" t="s">
        <v>11</v>
      </c>
      <c r="N3" s="72"/>
      <c r="O3" s="103"/>
      <c r="P3" s="58" t="s">
        <v>322</v>
      </c>
      <c r="Q3" s="58"/>
    </row>
    <row r="4" spans="1:17" x14ac:dyDescent="0.2">
      <c r="A4" s="112" t="s">
        <v>37</v>
      </c>
      <c r="B4" s="113">
        <v>2.5000000000000001E-2</v>
      </c>
      <c r="C4" s="114" t="s">
        <v>37</v>
      </c>
      <c r="D4" s="115" t="s">
        <v>232</v>
      </c>
      <c r="E4" s="115" t="s">
        <v>256</v>
      </c>
      <c r="F4" s="116" t="s">
        <v>112</v>
      </c>
      <c r="G4" s="117" t="str">
        <f>IF(ISNA(VLOOKUP(TOTALS!$B$1,REFCE!$P$1:$P$5,1,FALSE)),F4,"S")</f>
        <v>CA</v>
      </c>
      <c r="H4" s="111"/>
      <c r="I4" s="111" t="str">
        <f t="shared" si="0"/>
        <v>ONTARIO, CA</v>
      </c>
      <c r="J4" s="58" t="s">
        <v>114</v>
      </c>
      <c r="K4" s="58" t="s">
        <v>112</v>
      </c>
      <c r="L4" s="58" t="s">
        <v>216</v>
      </c>
      <c r="M4" s="91" t="s">
        <v>211</v>
      </c>
      <c r="N4" s="72">
        <f>IF(ISERROR(DATA!$B$15+DATA!$B$16),"",DATA!$B$15+DATA!$B$16)</f>
        <v>0</v>
      </c>
      <c r="O4" s="103"/>
      <c r="P4" s="58" t="s">
        <v>323</v>
      </c>
      <c r="Q4" s="58"/>
    </row>
    <row r="5" spans="1:17" x14ac:dyDescent="0.2">
      <c r="A5" s="112" t="s">
        <v>36</v>
      </c>
      <c r="B5" s="113">
        <v>2.5000000000000001E-2</v>
      </c>
      <c r="C5" s="114" t="s">
        <v>36</v>
      </c>
      <c r="D5" s="115" t="s">
        <v>60</v>
      </c>
      <c r="E5" s="115" t="s">
        <v>256</v>
      </c>
      <c r="F5" s="116" t="s">
        <v>112</v>
      </c>
      <c r="G5" s="117" t="str">
        <f>IF(ISNA(VLOOKUP(TOTALS!$B$1,REFCE!$P$1:$P$5,1,FALSE)),F5,"S")</f>
        <v>CA</v>
      </c>
      <c r="H5" s="111"/>
      <c r="I5" s="111" t="str">
        <f t="shared" si="0"/>
        <v>ONTARIO , CA</v>
      </c>
      <c r="J5" s="58" t="s">
        <v>222</v>
      </c>
      <c r="K5" s="58" t="s">
        <v>112</v>
      </c>
      <c r="L5" s="58" t="s">
        <v>217</v>
      </c>
      <c r="M5" s="91" t="s">
        <v>11</v>
      </c>
      <c r="N5" s="72"/>
      <c r="O5" s="103"/>
      <c r="P5" s="58" t="s">
        <v>324</v>
      </c>
      <c r="Q5" s="58"/>
    </row>
    <row r="6" spans="1:17" x14ac:dyDescent="0.2">
      <c r="A6" s="112" t="s">
        <v>10</v>
      </c>
      <c r="B6" s="113">
        <v>2.5000000000000001E-2</v>
      </c>
      <c r="C6" s="114" t="s">
        <v>10</v>
      </c>
      <c r="D6" s="115" t="s">
        <v>59</v>
      </c>
      <c r="E6" s="115" t="s">
        <v>256</v>
      </c>
      <c r="F6" s="116" t="s">
        <v>112</v>
      </c>
      <c r="G6" s="117" t="str">
        <f>IF(ISNA(VLOOKUP(TOTALS!$B$1,REFCE!$P$1:$P$5,1,FALSE)),F6,"S")</f>
        <v>CA</v>
      </c>
      <c r="H6" s="111"/>
      <c r="I6" s="111" t="str">
        <f t="shared" si="0"/>
        <v>PORTLAND, OR</v>
      </c>
      <c r="J6" s="58" t="s">
        <v>115</v>
      </c>
      <c r="K6" s="58" t="s">
        <v>116</v>
      </c>
      <c r="L6" s="58" t="s">
        <v>247</v>
      </c>
      <c r="M6" s="91" t="s">
        <v>11</v>
      </c>
      <c r="N6" s="72"/>
      <c r="O6" s="103"/>
      <c r="P6" s="58" t="s">
        <v>325</v>
      </c>
      <c r="Q6" s="58"/>
    </row>
    <row r="7" spans="1:17" x14ac:dyDescent="0.2">
      <c r="A7" s="112" t="s">
        <v>35</v>
      </c>
      <c r="B7" s="113">
        <v>2.5000000000000001E-2</v>
      </c>
      <c r="C7" s="114" t="s">
        <v>35</v>
      </c>
      <c r="D7" s="115" t="s">
        <v>60</v>
      </c>
      <c r="E7" s="115" t="s">
        <v>256</v>
      </c>
      <c r="F7" s="116" t="s">
        <v>112</v>
      </c>
      <c r="G7" s="117" t="str">
        <f>IF(ISNA(VLOOKUP(TOTALS!$B$1,REFCE!$P$1:$P$5,1,FALSE)),F7,"S")</f>
        <v>CA</v>
      </c>
      <c r="H7" s="111"/>
      <c r="I7" s="111" t="str">
        <f t="shared" si="0"/>
        <v>AURORA, IL</v>
      </c>
      <c r="J7" s="58" t="s">
        <v>117</v>
      </c>
      <c r="K7" s="58" t="s">
        <v>118</v>
      </c>
      <c r="L7" s="58" t="s">
        <v>218</v>
      </c>
      <c r="M7" s="91" t="s">
        <v>211</v>
      </c>
      <c r="N7" s="72">
        <f>IF(ISERROR(DATA!$B$15+DATA!$B$16),"",DATA!$B$15+DATA!$B$16)</f>
        <v>0</v>
      </c>
      <c r="O7" s="103"/>
    </row>
    <row r="8" spans="1:17" x14ac:dyDescent="0.2">
      <c r="A8" s="112" t="s">
        <v>34</v>
      </c>
      <c r="B8" s="113">
        <v>2.5000000000000001E-2</v>
      </c>
      <c r="C8" s="114" t="s">
        <v>34</v>
      </c>
      <c r="D8" s="115" t="s">
        <v>233</v>
      </c>
      <c r="E8" s="115" t="s">
        <v>256</v>
      </c>
      <c r="F8" s="116" t="s">
        <v>112</v>
      </c>
      <c r="G8" s="117" t="str">
        <f>IF(ISNA(VLOOKUP(TOTALS!$B$1,REFCE!$P$1:$P$5,1,FALSE)),F8,"S")</f>
        <v>CA</v>
      </c>
      <c r="H8" s="111"/>
      <c r="I8" s="111" t="str">
        <f t="shared" si="0"/>
        <v>KANSAS CITY, MO</v>
      </c>
      <c r="J8" s="58" t="s">
        <v>119</v>
      </c>
      <c r="K8" s="58" t="s">
        <v>120</v>
      </c>
      <c r="L8" s="58" t="s">
        <v>219</v>
      </c>
      <c r="M8" s="91" t="s">
        <v>211</v>
      </c>
      <c r="N8" s="72">
        <f>IF(ISERROR(DATA!$B$15+DATA!$B$16),"",DATA!$B$15+DATA!$B$16)</f>
        <v>0</v>
      </c>
      <c r="O8" s="103"/>
    </row>
    <row r="9" spans="1:17" x14ac:dyDescent="0.2">
      <c r="A9" s="112" t="s">
        <v>33</v>
      </c>
      <c r="B9" s="113">
        <v>2.5000000000000001E-2</v>
      </c>
      <c r="C9" s="114" t="s">
        <v>33</v>
      </c>
      <c r="D9" s="115" t="s">
        <v>60</v>
      </c>
      <c r="E9" s="115" t="s">
        <v>256</v>
      </c>
      <c r="F9" s="116" t="s">
        <v>112</v>
      </c>
      <c r="G9" s="117" t="str">
        <f>IF(ISNA(VLOOKUP(TOTALS!$B$1,REFCE!$P$1:$P$5,1,FALSE)),F9,"S")</f>
        <v>CA</v>
      </c>
      <c r="H9" s="111"/>
      <c r="I9" s="111" t="str">
        <f t="shared" si="0"/>
        <v>CINCINNATI, OH</v>
      </c>
      <c r="J9" s="58" t="s">
        <v>121</v>
      </c>
      <c r="K9" s="58" t="s">
        <v>122</v>
      </c>
      <c r="L9" s="58" t="s">
        <v>220</v>
      </c>
      <c r="M9" s="91" t="s">
        <v>211</v>
      </c>
      <c r="N9" s="72">
        <f>IF(ISERROR(DATA!$B$15+DATA!$B$16),"",DATA!$B$15+DATA!$B$16)</f>
        <v>0</v>
      </c>
      <c r="O9" s="103"/>
    </row>
    <row r="10" spans="1:17" x14ac:dyDescent="0.2">
      <c r="A10" s="112" t="s">
        <v>32</v>
      </c>
      <c r="B10" s="113">
        <v>2.5000000000000001E-2</v>
      </c>
      <c r="C10" s="114" t="s">
        <v>32</v>
      </c>
      <c r="D10" s="115" t="s">
        <v>60</v>
      </c>
      <c r="E10" s="115" t="s">
        <v>256</v>
      </c>
      <c r="F10" s="116" t="s">
        <v>112</v>
      </c>
      <c r="G10" s="117" t="str">
        <f>IF(ISNA(VLOOKUP(TOTALS!$B$1,REFCE!$P$1:$P$5,1,FALSE)),F10,"S")</f>
        <v>CA</v>
      </c>
      <c r="H10" s="111"/>
      <c r="I10" s="111" t="str">
        <f t="shared" si="0"/>
        <v>HEBRON, KY</v>
      </c>
      <c r="J10" s="58" t="s">
        <v>123</v>
      </c>
      <c r="K10" s="58" t="s">
        <v>124</v>
      </c>
      <c r="L10" s="58" t="s">
        <v>221</v>
      </c>
      <c r="M10" s="91" t="s">
        <v>211</v>
      </c>
      <c r="N10" s="72">
        <f>IF(ISERROR(DATA!$B$15+DATA!$B$16),"",DATA!$B$15+DATA!$B$16)</f>
        <v>0</v>
      </c>
      <c r="O10" s="103"/>
    </row>
    <row r="11" spans="1:17" x14ac:dyDescent="0.2">
      <c r="A11" s="112" t="s">
        <v>31</v>
      </c>
      <c r="B11" s="113">
        <v>2.5000000000000001E-2</v>
      </c>
      <c r="C11" s="114" t="s">
        <v>31</v>
      </c>
      <c r="D11" s="115" t="s">
        <v>60</v>
      </c>
      <c r="E11" s="115" t="s">
        <v>256</v>
      </c>
      <c r="F11" s="116" t="s">
        <v>112</v>
      </c>
      <c r="G11" s="117" t="str">
        <f>IF(ISNA(VLOOKUP(TOTALS!$B$1,REFCE!$P$1:$P$5,1,FALSE)),F11,"S")</f>
        <v>CA</v>
      </c>
      <c r="H11" s="111"/>
      <c r="I11" s="111" t="str">
        <f t="shared" si="0"/>
        <v>JACKSONVILLE, FL</v>
      </c>
      <c r="J11" s="58" t="s">
        <v>128</v>
      </c>
      <c r="K11" s="58" t="s">
        <v>129</v>
      </c>
      <c r="L11" s="58" t="s">
        <v>225</v>
      </c>
      <c r="M11" s="91" t="s">
        <v>211</v>
      </c>
      <c r="N11" s="72">
        <f>IF(ISERROR(DATA!$B$15+DATA!$B$16),"",DATA!$B$15+DATA!$B$16)</f>
        <v>0</v>
      </c>
      <c r="O11" s="103"/>
    </row>
    <row r="12" spans="1:17" x14ac:dyDescent="0.2">
      <c r="A12" s="112" t="s">
        <v>87</v>
      </c>
      <c r="B12" s="113">
        <v>2.5000000000000001E-2</v>
      </c>
      <c r="C12" s="114" t="s">
        <v>87</v>
      </c>
      <c r="D12" s="118" t="s">
        <v>230</v>
      </c>
      <c r="E12" s="118" t="s">
        <v>256</v>
      </c>
      <c r="F12" s="116" t="s">
        <v>112</v>
      </c>
      <c r="G12" s="117" t="str">
        <f>IF(ISNA(VLOOKUP(TOTALS!$B$1,REFCE!$P$1:$P$5,1,FALSE)),F12,"S")</f>
        <v>CA</v>
      </c>
      <c r="H12" s="111"/>
      <c r="I12" s="111" t="str">
        <f t="shared" si="0"/>
        <v>SEALY, TX</v>
      </c>
      <c r="J12" s="58" t="s">
        <v>131</v>
      </c>
      <c r="K12" s="58" t="s">
        <v>132</v>
      </c>
      <c r="L12" s="58" t="s">
        <v>248</v>
      </c>
      <c r="M12" s="91" t="s">
        <v>211</v>
      </c>
      <c r="N12" s="72">
        <f>IF(ISERROR(DATA!$B$15+DATA!$B$16),"",DATA!$B$15+DATA!$B$16)</f>
        <v>0</v>
      </c>
    </row>
    <row r="13" spans="1:17" x14ac:dyDescent="0.2">
      <c r="A13" s="112" t="s">
        <v>40</v>
      </c>
      <c r="B13" s="113">
        <v>2.5000000000000001E-2</v>
      </c>
      <c r="C13" s="114" t="s">
        <v>40</v>
      </c>
      <c r="D13" s="115" t="s">
        <v>234</v>
      </c>
      <c r="E13" s="115" t="s">
        <v>256</v>
      </c>
      <c r="F13" s="116" t="s">
        <v>112</v>
      </c>
      <c r="G13" s="117" t="str">
        <f>IF(ISNA(VLOOKUP(TOTALS!$B$1,REFCE!$P$1:$P$5,1,FALSE)),F13,"S")</f>
        <v>CA</v>
      </c>
      <c r="H13" s="111"/>
      <c r="I13" s="111" t="str">
        <f t="shared" si="0"/>
        <v>SAN FELIPE, TX</v>
      </c>
      <c r="J13" s="102" t="s">
        <v>249</v>
      </c>
      <c r="K13" s="58" t="s">
        <v>132</v>
      </c>
      <c r="L13" s="102" t="s">
        <v>248</v>
      </c>
      <c r="M13" s="91" t="s">
        <v>211</v>
      </c>
      <c r="N13" s="72">
        <f>IF(ISERROR(DATA!$B$15+DATA!$B$16),"",DATA!$B$15+DATA!$B$16)</f>
        <v>0</v>
      </c>
      <c r="O13" s="103"/>
    </row>
    <row r="14" spans="1:17" x14ac:dyDescent="0.2">
      <c r="A14" s="112" t="s">
        <v>259</v>
      </c>
      <c r="B14" s="113">
        <v>2.5000000000000001E-2</v>
      </c>
      <c r="C14" s="114" t="s">
        <v>39</v>
      </c>
      <c r="D14" s="115" t="s">
        <v>167</v>
      </c>
      <c r="E14" s="115" t="s">
        <v>258</v>
      </c>
      <c r="F14" s="116" t="s">
        <v>163</v>
      </c>
      <c r="G14" s="117" t="str">
        <f>IF(ISNA(VLOOKUP(TOTALS!$B$1,REFCE!$P$1:$P$5,1,FALSE)),F14,"S")</f>
        <v>S</v>
      </c>
      <c r="H14" s="111"/>
      <c r="I14" s="111"/>
      <c r="O14" s="103"/>
    </row>
    <row r="15" spans="1:17" x14ac:dyDescent="0.2">
      <c r="A15" s="112" t="s">
        <v>42</v>
      </c>
      <c r="B15" s="113">
        <v>2.5000000000000001E-2</v>
      </c>
      <c r="C15" s="116" t="s">
        <v>40</v>
      </c>
      <c r="D15" s="115" t="s">
        <v>168</v>
      </c>
      <c r="E15" s="115" t="s">
        <v>258</v>
      </c>
      <c r="F15" s="116" t="s">
        <v>163</v>
      </c>
      <c r="G15" s="117" t="str">
        <f>IF(ISNA(VLOOKUP(TOTALS!$B$1,REFCE!$P$1:$P$5,1,FALSE)),F15,"S")</f>
        <v>S</v>
      </c>
      <c r="H15" s="111"/>
      <c r="I15" s="111"/>
      <c r="O15" s="103"/>
    </row>
    <row r="16" spans="1:17" x14ac:dyDescent="0.2">
      <c r="A16" s="112" t="s">
        <v>43</v>
      </c>
      <c r="B16" s="113">
        <v>2.5000000000000001E-2</v>
      </c>
      <c r="C16" s="116" t="s">
        <v>40</v>
      </c>
      <c r="D16" s="115" t="s">
        <v>169</v>
      </c>
      <c r="E16" s="115" t="s">
        <v>258</v>
      </c>
      <c r="F16" s="116" t="s">
        <v>163</v>
      </c>
      <c r="G16" s="117" t="str">
        <f>IF(ISNA(VLOOKUP(TOTALS!$B$1,REFCE!$P$1:$P$5,1,FALSE)),F16,"S")</f>
        <v>S</v>
      </c>
      <c r="H16" s="111"/>
      <c r="I16" s="111"/>
      <c r="O16" s="103"/>
    </row>
    <row r="17" spans="1:15" x14ac:dyDescent="0.2">
      <c r="A17" s="112" t="s">
        <v>133</v>
      </c>
      <c r="B17" s="113">
        <v>2.5000000000000001E-2</v>
      </c>
      <c r="C17" s="116" t="s">
        <v>34</v>
      </c>
      <c r="D17" s="115" t="s">
        <v>233</v>
      </c>
      <c r="E17" s="115" t="s">
        <v>256</v>
      </c>
      <c r="F17" s="116" t="s">
        <v>112</v>
      </c>
      <c r="G17" s="117" t="str">
        <f>IF(ISNA(VLOOKUP(TOTALS!$B$1,REFCE!$P$1:$P$5,1,FALSE)),F17,"S")</f>
        <v>CA</v>
      </c>
      <c r="H17" s="111"/>
      <c r="I17" s="111"/>
      <c r="O17" s="103"/>
    </row>
    <row r="18" spans="1:15" x14ac:dyDescent="0.2">
      <c r="A18" s="119" t="s">
        <v>58</v>
      </c>
      <c r="B18" s="113">
        <v>2.5000000000000001E-2</v>
      </c>
      <c r="C18" s="116" t="s">
        <v>37</v>
      </c>
      <c r="D18" s="115" t="s">
        <v>235</v>
      </c>
      <c r="E18" s="115" t="s">
        <v>256</v>
      </c>
      <c r="F18" s="116" t="s">
        <v>112</v>
      </c>
      <c r="G18" s="117" t="str">
        <f>IF(ISNA(VLOOKUP(TOTALS!$B$1,REFCE!$P$1:$P$5,1,FALSE)),F18,"S")</f>
        <v>CA</v>
      </c>
      <c r="H18" s="111"/>
      <c r="I18" s="111"/>
      <c r="O18" s="103"/>
    </row>
    <row r="19" spans="1:15" x14ac:dyDescent="0.2">
      <c r="A19" s="112" t="s">
        <v>198</v>
      </c>
      <c r="B19" s="113">
        <v>2.5000000000000001E-2</v>
      </c>
      <c r="C19" s="116" t="s">
        <v>34</v>
      </c>
      <c r="D19" s="115" t="s">
        <v>199</v>
      </c>
      <c r="E19" s="115" t="s">
        <v>258</v>
      </c>
      <c r="F19" s="116" t="s">
        <v>163</v>
      </c>
      <c r="G19" s="117" t="str">
        <f>IF(ISNA(VLOOKUP(TOTALS!$B$1,REFCE!$P$1:$P$5,1,FALSE)),F19,"S")</f>
        <v>S</v>
      </c>
      <c r="H19" s="111"/>
      <c r="I19" s="111"/>
      <c r="O19" s="103"/>
    </row>
    <row r="20" spans="1:15" x14ac:dyDescent="0.2">
      <c r="A20" s="119" t="s">
        <v>134</v>
      </c>
      <c r="B20" s="113">
        <v>2.5000000000000001E-2</v>
      </c>
      <c r="C20" s="116" t="s">
        <v>39</v>
      </c>
      <c r="D20" s="115" t="s">
        <v>230</v>
      </c>
      <c r="E20" s="115" t="s">
        <v>258</v>
      </c>
      <c r="F20" s="116" t="s">
        <v>112</v>
      </c>
      <c r="G20" s="117" t="str">
        <f>IF(ISNA(VLOOKUP(TOTALS!$B$1,REFCE!$P$1:$P$5,1,FALSE)),F20,"S")</f>
        <v>CA</v>
      </c>
      <c r="H20" s="111"/>
      <c r="I20" s="111"/>
      <c r="O20" s="103"/>
    </row>
    <row r="21" spans="1:15" x14ac:dyDescent="0.2">
      <c r="A21" s="119" t="s">
        <v>130</v>
      </c>
      <c r="B21" s="113">
        <v>2.5000000000000001E-2</v>
      </c>
      <c r="C21" s="116" t="s">
        <v>39</v>
      </c>
      <c r="D21" s="115" t="s">
        <v>170</v>
      </c>
      <c r="E21" s="115" t="s">
        <v>258</v>
      </c>
      <c r="F21" s="116" t="s">
        <v>163</v>
      </c>
      <c r="G21" s="117" t="str">
        <f>IF(ISNA(VLOOKUP(TOTALS!$B$1,REFCE!$P$1:$P$5,1,FALSE)),F21,"S")</f>
        <v>S</v>
      </c>
      <c r="H21" s="111"/>
      <c r="I21" s="111"/>
      <c r="O21" s="103"/>
    </row>
    <row r="22" spans="1:15" x14ac:dyDescent="0.2">
      <c r="A22" s="112" t="s">
        <v>271</v>
      </c>
      <c r="B22" s="113">
        <v>2.5000000000000001E-2</v>
      </c>
      <c r="C22" s="116" t="s">
        <v>39</v>
      </c>
      <c r="D22" s="115" t="s">
        <v>171</v>
      </c>
      <c r="E22" s="115" t="s">
        <v>258</v>
      </c>
      <c r="F22" s="116" t="s">
        <v>163</v>
      </c>
      <c r="G22" s="117" t="str">
        <f>IF(ISNA(VLOOKUP(TOTALS!$B$1,REFCE!$P$1:$P$5,1,FALSE)),F22,"S")</f>
        <v>S</v>
      </c>
      <c r="H22" s="111"/>
      <c r="I22" s="111"/>
      <c r="O22" s="103"/>
    </row>
    <row r="23" spans="1:15" x14ac:dyDescent="0.2">
      <c r="A23" s="112" t="s">
        <v>166</v>
      </c>
      <c r="B23" s="113">
        <v>2.5000000000000001E-2</v>
      </c>
      <c r="C23" s="116" t="s">
        <v>39</v>
      </c>
      <c r="D23" s="115" t="s">
        <v>172</v>
      </c>
      <c r="E23" s="115" t="s">
        <v>258</v>
      </c>
      <c r="F23" s="116" t="s">
        <v>163</v>
      </c>
      <c r="G23" s="117" t="str">
        <f>IF(ISNA(VLOOKUP(TOTALS!$B$1,REFCE!$P$1:$P$5,1,FALSE)),F23,"S")</f>
        <v>S</v>
      </c>
      <c r="H23" s="111"/>
      <c r="I23" s="111"/>
      <c r="O23" s="103"/>
    </row>
    <row r="24" spans="1:15" x14ac:dyDescent="0.2">
      <c r="A24" s="119" t="s">
        <v>275</v>
      </c>
      <c r="B24" s="113">
        <v>2.5000000000000001E-2</v>
      </c>
      <c r="C24" s="202" t="s">
        <v>275</v>
      </c>
      <c r="D24" s="115" t="s">
        <v>59</v>
      </c>
      <c r="E24" s="115" t="s">
        <v>256</v>
      </c>
      <c r="F24" s="116" t="s">
        <v>112</v>
      </c>
      <c r="G24" s="117" t="str">
        <f>IF(ISNA(VLOOKUP(TOTALS!$B$1,REFCE!$P$1:$P$5,1,FALSE)),F24,"S")</f>
        <v>CA</v>
      </c>
      <c r="H24" s="111"/>
      <c r="I24" s="111"/>
      <c r="O24" s="103"/>
    </row>
    <row r="25" spans="1:15" x14ac:dyDescent="0.2">
      <c r="A25" s="119" t="s">
        <v>9</v>
      </c>
      <c r="B25" s="113">
        <v>2.5000000000000001E-2</v>
      </c>
      <c r="C25" s="116" t="s">
        <v>10</v>
      </c>
      <c r="D25" s="115" t="s">
        <v>59</v>
      </c>
      <c r="E25" s="115" t="s">
        <v>256</v>
      </c>
      <c r="F25" s="116" t="s">
        <v>112</v>
      </c>
      <c r="G25" s="117" t="str">
        <f>IF(ISNA(VLOOKUP(TOTALS!$B$1,REFCE!$P$1:$P$5,1,FALSE)),F25,"S")</f>
        <v>CA</v>
      </c>
      <c r="H25" s="111"/>
      <c r="I25" s="111"/>
      <c r="O25" s="103"/>
    </row>
    <row r="26" spans="1:15" x14ac:dyDescent="0.2">
      <c r="A26" s="112" t="s">
        <v>44</v>
      </c>
      <c r="B26" s="113">
        <v>2.5000000000000001E-2</v>
      </c>
      <c r="C26" s="116" t="s">
        <v>39</v>
      </c>
      <c r="D26" s="115" t="s">
        <v>173</v>
      </c>
      <c r="E26" s="115" t="s">
        <v>258</v>
      </c>
      <c r="F26" s="116" t="s">
        <v>112</v>
      </c>
      <c r="G26" s="117" t="str">
        <f>IF(ISNA(VLOOKUP(TOTALS!$B$1,REFCE!$P$1:$P$5,1,FALSE)),F26,"S")</f>
        <v>CA</v>
      </c>
      <c r="H26" s="111"/>
      <c r="I26" s="111"/>
      <c r="O26" s="103"/>
    </row>
    <row r="27" spans="1:15" x14ac:dyDescent="0.2">
      <c r="A27" s="112" t="s">
        <v>202</v>
      </c>
      <c r="B27" s="113">
        <v>2.5000000000000001E-2</v>
      </c>
      <c r="C27" s="116" t="s">
        <v>39</v>
      </c>
      <c r="D27" s="115" t="s">
        <v>203</v>
      </c>
      <c r="E27" s="115" t="s">
        <v>258</v>
      </c>
      <c r="F27" s="116" t="s">
        <v>163</v>
      </c>
      <c r="G27" s="117" t="str">
        <f>IF(ISNA(VLOOKUP(TOTALS!$B$1,REFCE!$P$1:$P$5,1,FALSE)),F27,"S")</f>
        <v>S</v>
      </c>
      <c r="H27" s="111"/>
      <c r="I27" s="111"/>
      <c r="O27" s="103"/>
    </row>
    <row r="28" spans="1:15" x14ac:dyDescent="0.2">
      <c r="A28" s="112" t="s">
        <v>208</v>
      </c>
      <c r="B28" s="113">
        <v>2.5000000000000001E-2</v>
      </c>
      <c r="C28" s="116" t="s">
        <v>39</v>
      </c>
      <c r="D28" s="115" t="s">
        <v>209</v>
      </c>
      <c r="E28" s="115" t="s">
        <v>258</v>
      </c>
      <c r="F28" s="116" t="s">
        <v>163</v>
      </c>
      <c r="G28" s="117" t="str">
        <f>IF(ISNA(VLOOKUP(TOTALS!$B$1,REFCE!$P$1:$P$5,1,FALSE)),F28,"S")</f>
        <v>S</v>
      </c>
      <c r="H28" s="111"/>
      <c r="I28" s="111"/>
      <c r="O28" s="103"/>
    </row>
    <row r="29" spans="1:15" x14ac:dyDescent="0.2">
      <c r="A29" s="119" t="s">
        <v>68</v>
      </c>
      <c r="B29" s="113">
        <v>2.5000000000000001E-2</v>
      </c>
      <c r="C29" s="120" t="s">
        <v>40</v>
      </c>
      <c r="D29" s="121" t="s">
        <v>174</v>
      </c>
      <c r="E29" s="121" t="s">
        <v>258</v>
      </c>
      <c r="F29" s="120" t="s">
        <v>163</v>
      </c>
      <c r="G29" s="117" t="str">
        <f>IF(ISNA(VLOOKUP(TOTALS!$B$1,REFCE!$P$1:$P$5,1,FALSE)),F29,"S")</f>
        <v>S</v>
      </c>
      <c r="H29" s="122"/>
      <c r="I29" s="122"/>
      <c r="O29" s="103"/>
    </row>
    <row r="30" spans="1:15" x14ac:dyDescent="0.2">
      <c r="A30" s="112" t="s">
        <v>69</v>
      </c>
      <c r="B30" s="113">
        <v>2.5000000000000001E-2</v>
      </c>
      <c r="C30" s="114" t="s">
        <v>39</v>
      </c>
      <c r="D30" s="118" t="s">
        <v>175</v>
      </c>
      <c r="E30" s="118" t="s">
        <v>258</v>
      </c>
      <c r="F30" s="114" t="s">
        <v>163</v>
      </c>
      <c r="G30" s="117" t="str">
        <f>IF(ISNA(VLOOKUP(TOTALS!$B$1,REFCE!$P$1:$P$5,1,FALSE)),F30,"S")</f>
        <v>S</v>
      </c>
      <c r="H30" s="123"/>
      <c r="I30" s="123"/>
      <c r="O30" s="103"/>
    </row>
    <row r="31" spans="1:15" x14ac:dyDescent="0.2">
      <c r="A31" s="112" t="s">
        <v>206</v>
      </c>
      <c r="B31" s="113">
        <v>2.5000000000000001E-2</v>
      </c>
      <c r="C31" s="114" t="s">
        <v>40</v>
      </c>
      <c r="D31" s="118" t="s">
        <v>207</v>
      </c>
      <c r="E31" s="118" t="s">
        <v>258</v>
      </c>
      <c r="F31" s="114" t="s">
        <v>163</v>
      </c>
      <c r="G31" s="117" t="str">
        <f>IF(ISNA(VLOOKUP(TOTALS!$B$1,REFCE!$P$1:$P$5,1,FALSE)),F31,"S")</f>
        <v>S</v>
      </c>
      <c r="H31" s="123"/>
      <c r="I31" s="123"/>
      <c r="O31" s="103"/>
    </row>
    <row r="32" spans="1:15" x14ac:dyDescent="0.2">
      <c r="A32" s="112" t="s">
        <v>127</v>
      </c>
      <c r="B32" s="113">
        <v>2.5000000000000001E-2</v>
      </c>
      <c r="C32" s="114" t="s">
        <v>39</v>
      </c>
      <c r="D32" s="207" t="s">
        <v>234</v>
      </c>
      <c r="E32" s="207" t="s">
        <v>256</v>
      </c>
      <c r="F32" s="114" t="s">
        <v>163</v>
      </c>
      <c r="G32" s="117" t="str">
        <f>IF(ISNA(VLOOKUP(TOTALS!$B$1,REFCE!$P$1:$P$5,1,FALSE)),F32,"S")</f>
        <v>S</v>
      </c>
      <c r="H32" s="123"/>
      <c r="I32" s="123"/>
      <c r="O32" s="103"/>
    </row>
    <row r="33" spans="1:15" x14ac:dyDescent="0.2">
      <c r="A33" s="112" t="s">
        <v>74</v>
      </c>
      <c r="B33" s="113">
        <v>2.5000000000000001E-2</v>
      </c>
      <c r="C33" s="114" t="s">
        <v>38</v>
      </c>
      <c r="D33" s="118" t="s">
        <v>176</v>
      </c>
      <c r="E33" s="118" t="s">
        <v>258</v>
      </c>
      <c r="F33" s="114" t="s">
        <v>163</v>
      </c>
      <c r="G33" s="117" t="str">
        <f>IF(ISNA(VLOOKUP(TOTALS!$B$1,REFCE!$P$1:$P$5,1,FALSE)),F33,"S")</f>
        <v>S</v>
      </c>
      <c r="H33" s="123"/>
      <c r="I33" s="123"/>
      <c r="O33" s="103"/>
    </row>
    <row r="34" spans="1:15" x14ac:dyDescent="0.2">
      <c r="A34" s="112" t="s">
        <v>46</v>
      </c>
      <c r="B34" s="113">
        <v>2.5000000000000001E-2</v>
      </c>
      <c r="C34" s="116" t="s">
        <v>38</v>
      </c>
      <c r="D34" s="115" t="s">
        <v>177</v>
      </c>
      <c r="E34" s="115" t="s">
        <v>258</v>
      </c>
      <c r="F34" s="116" t="s">
        <v>163</v>
      </c>
      <c r="G34" s="117" t="str">
        <f>IF(ISNA(VLOOKUP(TOTALS!$B$1,REFCE!$P$1:$P$5,1,FALSE)),F34,"S")</f>
        <v>S</v>
      </c>
      <c r="H34" s="111"/>
      <c r="I34" s="111"/>
      <c r="O34" s="103"/>
    </row>
    <row r="35" spans="1:15" x14ac:dyDescent="0.2">
      <c r="A35" s="112" t="s">
        <v>200</v>
      </c>
      <c r="B35" s="113">
        <v>2.5000000000000001E-2</v>
      </c>
      <c r="C35" s="116" t="s">
        <v>40</v>
      </c>
      <c r="D35" s="115" t="s">
        <v>201</v>
      </c>
      <c r="E35" s="115" t="s">
        <v>258</v>
      </c>
      <c r="F35" s="116" t="s">
        <v>163</v>
      </c>
      <c r="G35" s="117" t="str">
        <f>IF(ISNA(VLOOKUP(TOTALS!$B$1,REFCE!$P$1:$P$5,1,FALSE)),F35,"S")</f>
        <v>S</v>
      </c>
      <c r="H35" s="111"/>
      <c r="I35" s="111"/>
      <c r="O35" s="103"/>
    </row>
    <row r="36" spans="1:15" x14ac:dyDescent="0.2">
      <c r="A36" s="112" t="s">
        <v>77</v>
      </c>
      <c r="B36" s="113">
        <v>2.5000000000000001E-2</v>
      </c>
      <c r="C36" s="116" t="s">
        <v>34</v>
      </c>
      <c r="D36" s="115" t="s">
        <v>178</v>
      </c>
      <c r="E36" s="115" t="s">
        <v>258</v>
      </c>
      <c r="F36" s="116" t="s">
        <v>163</v>
      </c>
      <c r="G36" s="117" t="str">
        <f>IF(ISNA(VLOOKUP(TOTALS!$B$1,REFCE!$P$1:$P$5,1,FALSE)),F36,"S")</f>
        <v>S</v>
      </c>
      <c r="H36" s="111"/>
      <c r="I36" s="111"/>
      <c r="O36" s="103"/>
    </row>
    <row r="37" spans="1:15" x14ac:dyDescent="0.2">
      <c r="A37" s="112" t="s">
        <v>193</v>
      </c>
      <c r="B37" s="113">
        <v>2.5000000000000001E-2</v>
      </c>
      <c r="C37" s="116" t="s">
        <v>40</v>
      </c>
      <c r="D37" s="115" t="s">
        <v>194</v>
      </c>
      <c r="E37" s="115" t="s">
        <v>258</v>
      </c>
      <c r="F37" s="116" t="s">
        <v>163</v>
      </c>
      <c r="G37" s="117" t="str">
        <f>IF(ISNA(VLOOKUP(TOTALS!$B$1,REFCE!$P$1:$P$5,1,FALSE)),F37,"S")</f>
        <v>S</v>
      </c>
      <c r="H37" s="111"/>
      <c r="I37" s="111"/>
      <c r="O37" s="103"/>
    </row>
    <row r="38" spans="1:15" x14ac:dyDescent="0.2">
      <c r="A38" s="112" t="s">
        <v>262</v>
      </c>
      <c r="B38" s="113">
        <v>2.5000000000000001E-2</v>
      </c>
      <c r="C38" s="116" t="s">
        <v>39</v>
      </c>
      <c r="D38" s="115" t="s">
        <v>264</v>
      </c>
      <c r="E38" s="115" t="s">
        <v>258</v>
      </c>
      <c r="F38" s="116" t="s">
        <v>163</v>
      </c>
      <c r="G38" s="117" t="str">
        <f>IF(ISNA(VLOOKUP(TOTALS!$B$1,REFCE!$P$1:$P$5,1,FALSE)),F38,"S")</f>
        <v>S</v>
      </c>
      <c r="H38" s="111"/>
      <c r="I38" s="111"/>
      <c r="O38" s="103"/>
    </row>
    <row r="39" spans="1:15" x14ac:dyDescent="0.2">
      <c r="A39" s="112" t="s">
        <v>73</v>
      </c>
      <c r="B39" s="113">
        <v>2.5000000000000001E-2</v>
      </c>
      <c r="C39" s="114" t="s">
        <v>40</v>
      </c>
      <c r="D39" s="207" t="s">
        <v>230</v>
      </c>
      <c r="E39" s="207" t="s">
        <v>256</v>
      </c>
      <c r="F39" s="114" t="s">
        <v>163</v>
      </c>
      <c r="G39" s="117" t="str">
        <f>IF(ISNA(VLOOKUP(TOTALS!$B$1,REFCE!$P$1:$P$5,1,FALSE)),F39,"S")</f>
        <v>S</v>
      </c>
      <c r="H39" s="123"/>
      <c r="I39" s="123"/>
      <c r="O39" s="103"/>
    </row>
    <row r="40" spans="1:15" x14ac:dyDescent="0.2">
      <c r="A40" s="112" t="s">
        <v>45</v>
      </c>
      <c r="B40" s="113">
        <v>2.5000000000000001E-2</v>
      </c>
      <c r="C40" s="116" t="s">
        <v>38</v>
      </c>
      <c r="D40" s="115" t="s">
        <v>231</v>
      </c>
      <c r="E40" s="115" t="s">
        <v>256</v>
      </c>
      <c r="F40" s="116" t="s">
        <v>112</v>
      </c>
      <c r="G40" s="117" t="str">
        <f>IF(ISNA(VLOOKUP(TOTALS!$B$1,REFCE!$P$1:$P$5,1,FALSE)),F40,"S")</f>
        <v>CA</v>
      </c>
      <c r="H40" s="111"/>
      <c r="I40" s="111"/>
      <c r="O40" s="103"/>
    </row>
    <row r="41" spans="1:15" x14ac:dyDescent="0.2">
      <c r="A41" s="112" t="s">
        <v>204</v>
      </c>
      <c r="B41" s="113">
        <v>2.5000000000000001E-2</v>
      </c>
      <c r="C41" s="116" t="s">
        <v>40</v>
      </c>
      <c r="D41" s="115" t="s">
        <v>205</v>
      </c>
      <c r="E41" s="115" t="s">
        <v>258</v>
      </c>
      <c r="F41" s="116" t="s">
        <v>163</v>
      </c>
      <c r="G41" s="117" t="str">
        <f>IF(ISNA(VLOOKUP(TOTALS!$B$1,REFCE!$P$1:$P$5,1,FALSE)),F41,"S")</f>
        <v>S</v>
      </c>
      <c r="H41" s="111"/>
      <c r="I41" s="111"/>
      <c r="O41" s="103"/>
    </row>
    <row r="42" spans="1:15" x14ac:dyDescent="0.2">
      <c r="A42" s="119" t="s">
        <v>250</v>
      </c>
      <c r="B42" s="113">
        <v>2.5000000000000001E-2</v>
      </c>
      <c r="C42" s="116" t="s">
        <v>39</v>
      </c>
      <c r="D42" s="115" t="s">
        <v>179</v>
      </c>
      <c r="E42" s="115" t="s">
        <v>258</v>
      </c>
      <c r="F42" s="116" t="s">
        <v>163</v>
      </c>
      <c r="G42" s="117" t="str">
        <f>IF(ISNA(VLOOKUP(TOTALS!$B$1,REFCE!$P$1:$P$5,1,FALSE)),F42,"S")</f>
        <v>S</v>
      </c>
      <c r="H42" s="111"/>
      <c r="I42" s="111"/>
      <c r="O42" s="103"/>
    </row>
    <row r="43" spans="1:15" x14ac:dyDescent="0.2">
      <c r="A43" s="112" t="s">
        <v>272</v>
      </c>
      <c r="B43" s="113">
        <v>2.5000000000000001E-2</v>
      </c>
      <c r="C43" s="114" t="s">
        <v>40</v>
      </c>
      <c r="D43" s="118" t="s">
        <v>180</v>
      </c>
      <c r="E43" s="118" t="s">
        <v>258</v>
      </c>
      <c r="F43" s="114" t="s">
        <v>163</v>
      </c>
      <c r="G43" s="117" t="str">
        <f>IF(ISNA(VLOOKUP(TOTALS!$B$1,REFCE!$P$1:$P$5,1,FALSE)),F43,"S")</f>
        <v>S</v>
      </c>
      <c r="H43" s="123"/>
      <c r="I43" s="123"/>
      <c r="O43" s="103"/>
    </row>
    <row r="44" spans="1:15" x14ac:dyDescent="0.2">
      <c r="A44" s="112" t="s">
        <v>263</v>
      </c>
      <c r="B44" s="113">
        <v>2.5000000000000001E-2</v>
      </c>
      <c r="C44" s="114" t="s">
        <v>40</v>
      </c>
      <c r="D44" s="118" t="s">
        <v>265</v>
      </c>
      <c r="E44" s="118" t="s">
        <v>258</v>
      </c>
      <c r="F44" s="114" t="s">
        <v>163</v>
      </c>
      <c r="G44" s="117" t="str">
        <f>IF(ISNA(VLOOKUP(TOTALS!$B$1,REFCE!$P$1:$P$5,1,FALSE)),F44,"S")</f>
        <v>S</v>
      </c>
      <c r="H44" s="123"/>
      <c r="I44" s="123"/>
      <c r="O44" s="103"/>
    </row>
    <row r="45" spans="1:15" x14ac:dyDescent="0.2">
      <c r="A45" s="112" t="s">
        <v>47</v>
      </c>
      <c r="B45" s="113">
        <v>2.5000000000000001E-2</v>
      </c>
      <c r="C45" s="116" t="s">
        <v>39</v>
      </c>
      <c r="D45" s="115" t="s">
        <v>181</v>
      </c>
      <c r="E45" s="115" t="s">
        <v>258</v>
      </c>
      <c r="F45" s="116" t="s">
        <v>163</v>
      </c>
      <c r="G45" s="117" t="str">
        <f>IF(ISNA(VLOOKUP(TOTALS!$B$1,REFCE!$P$1:$P$5,1,FALSE)),F45,"S")</f>
        <v>S</v>
      </c>
      <c r="H45" s="111"/>
      <c r="I45" s="111"/>
      <c r="O45" s="103"/>
    </row>
    <row r="46" spans="1:15" x14ac:dyDescent="0.2">
      <c r="A46" s="112" t="s">
        <v>48</v>
      </c>
      <c r="B46" s="113">
        <v>2.5000000000000001E-2</v>
      </c>
      <c r="C46" s="116" t="s">
        <v>39</v>
      </c>
      <c r="D46" s="115" t="s">
        <v>182</v>
      </c>
      <c r="E46" s="115" t="s">
        <v>258</v>
      </c>
      <c r="F46" s="116" t="s">
        <v>163</v>
      </c>
      <c r="G46" s="117" t="str">
        <f>IF(ISNA(VLOOKUP(TOTALS!$B$1,REFCE!$P$1:$P$5,1,FALSE)),F46,"S")</f>
        <v>S</v>
      </c>
      <c r="H46" s="111"/>
      <c r="I46" s="111"/>
      <c r="O46" s="103"/>
    </row>
    <row r="47" spans="1:15" x14ac:dyDescent="0.2">
      <c r="A47" s="112" t="s">
        <v>49</v>
      </c>
      <c r="B47" s="113">
        <v>2.5000000000000001E-2</v>
      </c>
      <c r="C47" s="116" t="s">
        <v>38</v>
      </c>
      <c r="D47" s="115" t="s">
        <v>231</v>
      </c>
      <c r="E47" s="115" t="s">
        <v>256</v>
      </c>
      <c r="F47" s="116" t="s">
        <v>112</v>
      </c>
      <c r="G47" s="117" t="str">
        <f>IF(ISNA(VLOOKUP(TOTALS!$B$1,REFCE!$P$1:$P$5,1,FALSE)),F47,"S")</f>
        <v>CA</v>
      </c>
      <c r="H47" s="111"/>
      <c r="I47" s="111"/>
      <c r="O47" s="103"/>
    </row>
    <row r="48" spans="1:15" x14ac:dyDescent="0.2">
      <c r="A48" s="112" t="s">
        <v>253</v>
      </c>
      <c r="B48" s="113">
        <v>2.5000000000000001E-2</v>
      </c>
      <c r="C48" s="114" t="s">
        <v>40</v>
      </c>
      <c r="D48" s="118" t="s">
        <v>183</v>
      </c>
      <c r="E48" s="118" t="s">
        <v>258</v>
      </c>
      <c r="F48" s="114" t="s">
        <v>163</v>
      </c>
      <c r="G48" s="117" t="str">
        <f>IF(ISNA(VLOOKUP(TOTALS!$B$1,REFCE!$P$1:$P$5,1,FALSE)),F48,"S")</f>
        <v>S</v>
      </c>
      <c r="H48" s="123"/>
      <c r="I48" s="123"/>
      <c r="O48" s="103"/>
    </row>
    <row r="49" spans="1:15" x14ac:dyDescent="0.2">
      <c r="A49" s="112" t="s">
        <v>195</v>
      </c>
      <c r="B49" s="113">
        <v>2.5000000000000001E-2</v>
      </c>
      <c r="C49" s="114" t="s">
        <v>34</v>
      </c>
      <c r="D49" s="118" t="s">
        <v>196</v>
      </c>
      <c r="E49" s="118" t="s">
        <v>258</v>
      </c>
      <c r="F49" s="114" t="s">
        <v>197</v>
      </c>
      <c r="G49" s="117" t="str">
        <f>IF(ISNA(VLOOKUP(TOTALS!$B$1,REFCE!$P$1:$P$5,1,FALSE)),F49,"S")</f>
        <v>s</v>
      </c>
      <c r="H49" s="123"/>
      <c r="I49" s="123"/>
      <c r="O49" s="103"/>
    </row>
    <row r="50" spans="1:15" x14ac:dyDescent="0.2">
      <c r="A50" s="112" t="s">
        <v>50</v>
      </c>
      <c r="B50" s="113">
        <v>2.5000000000000001E-2</v>
      </c>
      <c r="C50" s="116" t="s">
        <v>40</v>
      </c>
      <c r="D50" s="115" t="s">
        <v>184</v>
      </c>
      <c r="E50" s="115" t="s">
        <v>258</v>
      </c>
      <c r="F50" s="116" t="s">
        <v>163</v>
      </c>
      <c r="G50" s="117" t="str">
        <f>IF(ISNA(VLOOKUP(TOTALS!$B$1,REFCE!$P$1:$P$5,1,FALSE)),F50,"S")</f>
        <v>S</v>
      </c>
      <c r="H50" s="111"/>
      <c r="I50" s="111"/>
      <c r="O50" s="103"/>
    </row>
    <row r="51" spans="1:15" x14ac:dyDescent="0.2">
      <c r="A51" s="112" t="s">
        <v>51</v>
      </c>
      <c r="B51" s="113">
        <v>2.5000000000000001E-2</v>
      </c>
      <c r="C51" s="116" t="s">
        <v>39</v>
      </c>
      <c r="D51" s="115" t="s">
        <v>185</v>
      </c>
      <c r="E51" s="115" t="s">
        <v>258</v>
      </c>
      <c r="F51" s="116" t="s">
        <v>163</v>
      </c>
      <c r="G51" s="117" t="str">
        <f>IF(ISNA(VLOOKUP(TOTALS!$B$1,REFCE!$P$1:$P$5,1,FALSE)),F51,"S")</f>
        <v>S</v>
      </c>
      <c r="H51" s="111"/>
      <c r="I51" s="111"/>
      <c r="O51" s="103"/>
    </row>
    <row r="52" spans="1:15" x14ac:dyDescent="0.2">
      <c r="A52" s="112" t="s">
        <v>76</v>
      </c>
      <c r="B52" s="113">
        <v>2.5000000000000001E-2</v>
      </c>
      <c r="C52" s="114" t="s">
        <v>40</v>
      </c>
      <c r="D52" s="118" t="s">
        <v>186</v>
      </c>
      <c r="E52" s="118" t="s">
        <v>258</v>
      </c>
      <c r="F52" s="114" t="s">
        <v>163</v>
      </c>
      <c r="G52" s="117" t="str">
        <f>IF(ISNA(VLOOKUP(TOTALS!$B$1,REFCE!$P$1:$P$5,1,FALSE)),F52,"S")</f>
        <v>S</v>
      </c>
      <c r="H52" s="123"/>
      <c r="I52" s="123"/>
    </row>
    <row r="53" spans="1:15" x14ac:dyDescent="0.2">
      <c r="A53" s="112" t="s">
        <v>78</v>
      </c>
      <c r="B53" s="113">
        <v>2.5000000000000001E-2</v>
      </c>
      <c r="C53" s="114" t="s">
        <v>39</v>
      </c>
      <c r="D53" s="118" t="s">
        <v>187</v>
      </c>
      <c r="E53" s="118" t="s">
        <v>258</v>
      </c>
      <c r="F53" s="114" t="s">
        <v>163</v>
      </c>
      <c r="G53" s="117" t="str">
        <f>IF(ISNA(VLOOKUP(TOTALS!$B$1,REFCE!$P$1:$P$5,1,FALSE)),F53,"S")</f>
        <v>S</v>
      </c>
      <c r="H53" s="123"/>
      <c r="I53" s="123"/>
    </row>
    <row r="54" spans="1:15" x14ac:dyDescent="0.2">
      <c r="A54" s="112" t="s">
        <v>135</v>
      </c>
      <c r="B54" s="113">
        <v>2.5000000000000001E-2</v>
      </c>
      <c r="C54" s="114" t="s">
        <v>38</v>
      </c>
      <c r="D54" s="118" t="s">
        <v>188</v>
      </c>
      <c r="E54" s="118" t="s">
        <v>258</v>
      </c>
      <c r="F54" s="114" t="s">
        <v>163</v>
      </c>
      <c r="G54" s="117" t="str">
        <f>IF(ISNA(VLOOKUP(TOTALS!$B$1,REFCE!$P$1:$P$5,1,FALSE)),F54,"S")</f>
        <v>S</v>
      </c>
      <c r="H54" s="123"/>
      <c r="I54" s="123"/>
    </row>
    <row r="55" spans="1:15" x14ac:dyDescent="0.2">
      <c r="A55" s="112" t="s">
        <v>72</v>
      </c>
      <c r="B55" s="113">
        <v>2.5000000000000001E-2</v>
      </c>
      <c r="C55" s="114" t="s">
        <v>40</v>
      </c>
      <c r="D55" s="118" t="s">
        <v>189</v>
      </c>
      <c r="E55" s="118" t="s">
        <v>258</v>
      </c>
      <c r="F55" s="114" t="s">
        <v>163</v>
      </c>
      <c r="G55" s="117" t="str">
        <f>IF(ISNA(VLOOKUP(TOTALS!$B$1,REFCE!$P$1:$P$5,1,FALSE)),F55,"S")</f>
        <v>S</v>
      </c>
      <c r="H55" s="123"/>
      <c r="I55" s="123"/>
    </row>
    <row r="56" spans="1:15" x14ac:dyDescent="0.2">
      <c r="A56" s="112" t="s">
        <v>52</v>
      </c>
      <c r="B56" s="113">
        <v>2.5000000000000001E-2</v>
      </c>
      <c r="C56" s="116" t="s">
        <v>40</v>
      </c>
      <c r="D56" s="115" t="s">
        <v>190</v>
      </c>
      <c r="E56" s="115" t="s">
        <v>258</v>
      </c>
      <c r="F56" s="116" t="s">
        <v>163</v>
      </c>
      <c r="G56" s="117" t="str">
        <f>IF(ISNA(VLOOKUP(TOTALS!$B$1,REFCE!$P$1:$P$5,1,FALSE)),F56,"S")</f>
        <v>S</v>
      </c>
      <c r="H56" s="111"/>
      <c r="I56" s="111"/>
    </row>
    <row r="57" spans="1:15" x14ac:dyDescent="0.2">
      <c r="A57" s="112" t="s">
        <v>53</v>
      </c>
      <c r="B57" s="113">
        <v>2.5000000000000001E-2</v>
      </c>
      <c r="C57" s="116" t="s">
        <v>39</v>
      </c>
      <c r="D57" s="115" t="s">
        <v>191</v>
      </c>
      <c r="E57" s="115" t="s">
        <v>258</v>
      </c>
      <c r="F57" s="116" t="s">
        <v>163</v>
      </c>
      <c r="G57" s="117" t="str">
        <f>IF(ISNA(VLOOKUP(TOTALS!$B$1,REFCE!$P$1:$P$5,1,FALSE)),F57,"S")</f>
        <v>S</v>
      </c>
      <c r="H57" s="111"/>
      <c r="I57" s="111"/>
    </row>
    <row r="58" spans="1:15" x14ac:dyDescent="0.2">
      <c r="A58" s="112" t="s">
        <v>254</v>
      </c>
      <c r="B58" s="113">
        <v>2.5000000000000001E-2</v>
      </c>
      <c r="C58" s="116" t="s">
        <v>38</v>
      </c>
      <c r="D58" s="115" t="s">
        <v>246</v>
      </c>
      <c r="E58" s="115" t="s">
        <v>256</v>
      </c>
      <c r="F58" s="116" t="s">
        <v>112</v>
      </c>
      <c r="G58" s="117" t="str">
        <f>IF(ISNA(VLOOKUP(TOTALS!$B$1,REFCE!$P$1:$P$5,1,FALSE)),F58,"S")</f>
        <v>CA</v>
      </c>
      <c r="H58" s="111"/>
      <c r="I58" s="111"/>
    </row>
    <row r="59" spans="1:15" x14ac:dyDescent="0.2">
      <c r="A59" s="112" t="s">
        <v>255</v>
      </c>
      <c r="B59" s="113">
        <v>2.5000000000000001E-2</v>
      </c>
      <c r="C59" s="116" t="s">
        <v>38</v>
      </c>
      <c r="D59" s="115" t="s">
        <v>246</v>
      </c>
      <c r="E59" s="115" t="s">
        <v>256</v>
      </c>
      <c r="F59" s="116" t="s">
        <v>112</v>
      </c>
      <c r="G59" s="117" t="str">
        <f>IF(ISNA(VLOOKUP(TOTALS!$B$1,REFCE!$P$1:$P$5,1,FALSE)),F59,"S")</f>
        <v>CA</v>
      </c>
      <c r="H59" s="111"/>
      <c r="I59" s="111"/>
    </row>
    <row r="60" spans="1:15" x14ac:dyDescent="0.2">
      <c r="A60" s="112" t="s">
        <v>226</v>
      </c>
      <c r="B60" s="113">
        <v>2.5000000000000001E-2</v>
      </c>
      <c r="C60" s="116" t="s">
        <v>39</v>
      </c>
      <c r="D60" s="115" t="s">
        <v>192</v>
      </c>
      <c r="E60" s="115" t="s">
        <v>258</v>
      </c>
      <c r="F60" s="116" t="s">
        <v>163</v>
      </c>
      <c r="G60" s="117" t="str">
        <f>IF(ISNA(VLOOKUP(TOTALS!$B$1,REFCE!$P$1:$P$5,1,FALSE)),F60,"S")</f>
        <v>S</v>
      </c>
      <c r="H60" s="111"/>
      <c r="I60" s="111"/>
    </row>
    <row r="61" spans="1:15" x14ac:dyDescent="0.2">
      <c r="A61" s="112" t="s">
        <v>227</v>
      </c>
      <c r="B61" s="113">
        <v>2.5000000000000001E-2</v>
      </c>
      <c r="C61" s="116" t="s">
        <v>39</v>
      </c>
      <c r="D61" s="115" t="s">
        <v>228</v>
      </c>
      <c r="E61" s="115" t="s">
        <v>258</v>
      </c>
      <c r="F61" s="116" t="s">
        <v>163</v>
      </c>
      <c r="G61" s="117" t="str">
        <f>IF(ISNA(VLOOKUP(TOTALS!$B$1,REFCE!$P$1:$P$5,1,FALSE)),F61,"S")</f>
        <v>S</v>
      </c>
      <c r="H61" s="111"/>
      <c r="I61" s="111"/>
    </row>
    <row r="62" spans="1:15" x14ac:dyDescent="0.2">
      <c r="A62" s="112" t="s">
        <v>54</v>
      </c>
      <c r="B62" s="113">
        <v>2.5000000000000001E-2</v>
      </c>
      <c r="C62" s="116" t="s">
        <v>40</v>
      </c>
      <c r="D62" s="115" t="s">
        <v>237</v>
      </c>
      <c r="E62" s="115" t="s">
        <v>256</v>
      </c>
      <c r="F62" s="116" t="s">
        <v>112</v>
      </c>
      <c r="G62" s="117" t="str">
        <f>IF(ISNA(VLOOKUP(TOTALS!$B$1,REFCE!$P$1:$P$5,1,FALSE)),F62,"S")</f>
        <v>CA</v>
      </c>
      <c r="H62" s="111"/>
      <c r="I62" s="111"/>
    </row>
    <row r="63" spans="1:15" x14ac:dyDescent="0.2">
      <c r="A63" s="112" t="s">
        <v>149</v>
      </c>
      <c r="B63" s="113">
        <f t="shared" ref="B63:B75" si="1">VLOOKUP((LEFT(A63,(LEN(A63))-6)),$A:$D,2,FALSE)</f>
        <v>2.5000000000000001E-2</v>
      </c>
      <c r="C63" s="124" t="s">
        <v>38</v>
      </c>
      <c r="D63" s="125" t="s">
        <v>231</v>
      </c>
      <c r="E63" s="125" t="s">
        <v>256</v>
      </c>
      <c r="F63" s="124" t="s">
        <v>112</v>
      </c>
      <c r="G63" s="117" t="str">
        <f>IF(ISNA(VLOOKUP(TOTALS!$B$1,REFCE!$P$1:$P$5,1,FALSE)),F63,"S")</f>
        <v>CA</v>
      </c>
      <c r="H63" s="126"/>
      <c r="I63" s="126"/>
    </row>
    <row r="64" spans="1:15" x14ac:dyDescent="0.2">
      <c r="A64" s="112" t="s">
        <v>150</v>
      </c>
      <c r="B64" s="113">
        <f t="shared" si="1"/>
        <v>2.5000000000000001E-2</v>
      </c>
      <c r="C64" s="124" t="s">
        <v>37</v>
      </c>
      <c r="D64" s="125" t="s">
        <v>235</v>
      </c>
      <c r="E64" s="125" t="s">
        <v>256</v>
      </c>
      <c r="F64" s="124" t="s">
        <v>112</v>
      </c>
      <c r="G64" s="117" t="str">
        <f>IF(ISNA(VLOOKUP(TOTALS!$B$1,REFCE!$P$1:$P$5,1,FALSE)),F64,"S")</f>
        <v>CA</v>
      </c>
      <c r="H64" s="126"/>
      <c r="I64" s="126"/>
    </row>
    <row r="65" spans="1:9" x14ac:dyDescent="0.2">
      <c r="A65" s="112" t="s">
        <v>151</v>
      </c>
      <c r="B65" s="113">
        <f t="shared" si="1"/>
        <v>2.5000000000000001E-2</v>
      </c>
      <c r="C65" s="124" t="s">
        <v>33</v>
      </c>
      <c r="D65" s="125" t="s">
        <v>60</v>
      </c>
      <c r="E65" s="125" t="s">
        <v>256</v>
      </c>
      <c r="F65" s="124" t="s">
        <v>112</v>
      </c>
      <c r="G65" s="117" t="str">
        <f>IF(ISNA(VLOOKUP(TOTALS!$B$1,REFCE!$P$1:$P$5,1,FALSE)),F65,"S")</f>
        <v>CA</v>
      </c>
      <c r="H65" s="126"/>
      <c r="I65" s="126"/>
    </row>
    <row r="66" spans="1:9" x14ac:dyDescent="0.2">
      <c r="A66" s="112" t="s">
        <v>152</v>
      </c>
      <c r="B66" s="113">
        <f t="shared" si="1"/>
        <v>2.5000000000000001E-2</v>
      </c>
      <c r="C66" s="124" t="s">
        <v>34</v>
      </c>
      <c r="D66" s="125" t="s">
        <v>233</v>
      </c>
      <c r="E66" s="125" t="s">
        <v>256</v>
      </c>
      <c r="F66" s="124" t="s">
        <v>112</v>
      </c>
      <c r="G66" s="117" t="str">
        <f>IF(ISNA(VLOOKUP(TOTALS!$B$1,REFCE!$P$1:$P$5,1,FALSE)),F66,"S")</f>
        <v>CA</v>
      </c>
      <c r="H66" s="126"/>
      <c r="I66" s="126"/>
    </row>
    <row r="67" spans="1:9" x14ac:dyDescent="0.2">
      <c r="A67" s="112" t="s">
        <v>153</v>
      </c>
      <c r="B67" s="113">
        <f t="shared" si="1"/>
        <v>2.5000000000000001E-2</v>
      </c>
      <c r="C67" s="124" t="s">
        <v>36</v>
      </c>
      <c r="D67" s="125" t="s">
        <v>60</v>
      </c>
      <c r="E67" s="125" t="s">
        <v>256</v>
      </c>
      <c r="F67" s="124" t="s">
        <v>112</v>
      </c>
      <c r="G67" s="117" t="str">
        <f>IF(ISNA(VLOOKUP(TOTALS!$B$1,REFCE!$P$1:$P$5,1,FALSE)),F67,"S")</f>
        <v>CA</v>
      </c>
      <c r="H67" s="126"/>
      <c r="I67" s="126"/>
    </row>
    <row r="68" spans="1:9" x14ac:dyDescent="0.2">
      <c r="A68" s="112" t="s">
        <v>154</v>
      </c>
      <c r="B68" s="113">
        <f t="shared" si="1"/>
        <v>2.5000000000000001E-2</v>
      </c>
      <c r="C68" s="124" t="s">
        <v>32</v>
      </c>
      <c r="D68" s="125" t="s">
        <v>60</v>
      </c>
      <c r="E68" s="125" t="s">
        <v>256</v>
      </c>
      <c r="F68" s="124" t="s">
        <v>112</v>
      </c>
      <c r="G68" s="117" t="str">
        <f>IF(ISNA(VLOOKUP(TOTALS!$B$1,REFCE!$P$1:$P$5,1,FALSE)),F68,"S")</f>
        <v>CA</v>
      </c>
      <c r="H68" s="126"/>
      <c r="I68" s="126"/>
    </row>
    <row r="69" spans="1:9" x14ac:dyDescent="0.2">
      <c r="A69" s="112" t="s">
        <v>155</v>
      </c>
      <c r="B69" s="113">
        <f t="shared" si="1"/>
        <v>2.5000000000000001E-2</v>
      </c>
      <c r="C69" s="124" t="s">
        <v>87</v>
      </c>
      <c r="D69" s="125" t="s">
        <v>230</v>
      </c>
      <c r="E69" s="125" t="s">
        <v>256</v>
      </c>
      <c r="F69" s="124" t="s">
        <v>112</v>
      </c>
      <c r="G69" s="117" t="str">
        <f>IF(ISNA(VLOOKUP(TOTALS!$B$1,REFCE!$P$1:$P$5,1,FALSE)),F69,"S")</f>
        <v>CA</v>
      </c>
      <c r="H69" s="126"/>
      <c r="I69" s="126"/>
    </row>
    <row r="70" spans="1:9" x14ac:dyDescent="0.2">
      <c r="A70" s="112" t="s">
        <v>156</v>
      </c>
      <c r="B70" s="113">
        <f t="shared" si="1"/>
        <v>2.5000000000000001E-2</v>
      </c>
      <c r="C70" s="124" t="s">
        <v>40</v>
      </c>
      <c r="D70" s="125" t="s">
        <v>234</v>
      </c>
      <c r="E70" s="125" t="s">
        <v>256</v>
      </c>
      <c r="F70" s="124" t="s">
        <v>112</v>
      </c>
      <c r="G70" s="117" t="str">
        <f>IF(ISNA(VLOOKUP(TOTALS!$B$1,REFCE!$P$1:$P$5,1,FALSE)),F70,"S")</f>
        <v>CA</v>
      </c>
      <c r="H70" s="126"/>
      <c r="I70" s="126"/>
    </row>
    <row r="71" spans="1:9" x14ac:dyDescent="0.2">
      <c r="A71" s="112" t="s">
        <v>157</v>
      </c>
      <c r="B71" s="113">
        <f t="shared" si="1"/>
        <v>2.5000000000000001E-2</v>
      </c>
      <c r="C71" s="124" t="s">
        <v>10</v>
      </c>
      <c r="D71" s="125" t="s">
        <v>59</v>
      </c>
      <c r="E71" s="125" t="s">
        <v>256</v>
      </c>
      <c r="F71" s="124" t="s">
        <v>112</v>
      </c>
      <c r="G71" s="117" t="str">
        <f>IF(ISNA(VLOOKUP(TOTALS!$B$1,REFCE!$P$1:$P$5,1,FALSE)),F71,"S")</f>
        <v>CA</v>
      </c>
      <c r="H71" s="126"/>
      <c r="I71" s="126"/>
    </row>
    <row r="72" spans="1:9" x14ac:dyDescent="0.2">
      <c r="A72" s="112" t="s">
        <v>158</v>
      </c>
      <c r="B72" s="113">
        <f t="shared" si="1"/>
        <v>2.5000000000000001E-2</v>
      </c>
      <c r="C72" s="124" t="s">
        <v>37</v>
      </c>
      <c r="D72" s="125" t="s">
        <v>232</v>
      </c>
      <c r="E72" s="125" t="s">
        <v>256</v>
      </c>
      <c r="F72" s="124" t="s">
        <v>112</v>
      </c>
      <c r="G72" s="117" t="str">
        <f>IF(ISNA(VLOOKUP(TOTALS!$B$1,REFCE!$P$1:$P$5,1,FALSE)),F72,"S")</f>
        <v>CA</v>
      </c>
      <c r="H72" s="126"/>
      <c r="I72" s="126"/>
    </row>
    <row r="73" spans="1:9" x14ac:dyDescent="0.2">
      <c r="A73" s="112" t="s">
        <v>159</v>
      </c>
      <c r="B73" s="113">
        <f t="shared" si="1"/>
        <v>2.5000000000000001E-2</v>
      </c>
      <c r="C73" s="124" t="s">
        <v>35</v>
      </c>
      <c r="D73" s="125" t="s">
        <v>60</v>
      </c>
      <c r="E73" s="125" t="s">
        <v>256</v>
      </c>
      <c r="F73" s="124" t="s">
        <v>112</v>
      </c>
      <c r="G73" s="117" t="str">
        <f>IF(ISNA(VLOOKUP(TOTALS!$B$1,REFCE!$P$1:$P$5,1,FALSE)),F73,"S")</f>
        <v>CA</v>
      </c>
      <c r="H73" s="126"/>
      <c r="I73" s="126"/>
    </row>
    <row r="74" spans="1:9" x14ac:dyDescent="0.2">
      <c r="A74" s="112" t="s">
        <v>160</v>
      </c>
      <c r="B74" s="113">
        <f t="shared" si="1"/>
        <v>2.5000000000000001E-2</v>
      </c>
      <c r="C74" s="124" t="s">
        <v>39</v>
      </c>
      <c r="D74" s="125" t="s">
        <v>230</v>
      </c>
      <c r="E74" s="125" t="s">
        <v>256</v>
      </c>
      <c r="F74" s="124" t="s">
        <v>112</v>
      </c>
      <c r="G74" s="117" t="str">
        <f>IF(ISNA(VLOOKUP(TOTALS!$B$1,REFCE!$P$1:$P$5,1,FALSE)),F74,"S")</f>
        <v>CA</v>
      </c>
      <c r="H74" s="126"/>
      <c r="I74" s="126"/>
    </row>
    <row r="75" spans="1:9" x14ac:dyDescent="0.2">
      <c r="A75" s="112" t="s">
        <v>161</v>
      </c>
      <c r="B75" s="113">
        <f t="shared" si="1"/>
        <v>2.5000000000000001E-2</v>
      </c>
      <c r="C75" s="124" t="s">
        <v>31</v>
      </c>
      <c r="D75" s="125" t="s">
        <v>60</v>
      </c>
      <c r="E75" s="125" t="s">
        <v>256</v>
      </c>
      <c r="F75" s="124" t="s">
        <v>112</v>
      </c>
      <c r="G75" s="117" t="str">
        <f>IF(ISNA(VLOOKUP(TOTALS!$B$1,REFCE!$P$1:$P$5,1,FALSE)),F75,"S")</f>
        <v>CA</v>
      </c>
      <c r="H75" s="126"/>
      <c r="I75" s="126"/>
    </row>
    <row r="76" spans="1:9" x14ac:dyDescent="0.2">
      <c r="A76" s="112" t="s">
        <v>136</v>
      </c>
      <c r="B76" s="113">
        <f t="shared" ref="B76:B88" si="2">VLOOKUP((LEFT($A76,(LEN($A76))-7)),$A:$D,2,FALSE)</f>
        <v>2.5000000000000001E-2</v>
      </c>
      <c r="C76" s="124" t="s">
        <v>38</v>
      </c>
      <c r="D76" s="125" t="s">
        <v>238</v>
      </c>
      <c r="E76" s="185" t="s">
        <v>310</v>
      </c>
      <c r="F76" s="124" t="s">
        <v>163</v>
      </c>
      <c r="G76" s="117" t="str">
        <f>IF(ISNA(VLOOKUP(TOTALS!$B$1,REFCE!$P$1:$P$5,1,FALSE)),F76,"S")</f>
        <v>S</v>
      </c>
      <c r="H76" s="126"/>
      <c r="I76" s="126"/>
    </row>
    <row r="77" spans="1:9" x14ac:dyDescent="0.2">
      <c r="A77" s="112" t="s">
        <v>137</v>
      </c>
      <c r="B77" s="113">
        <f t="shared" si="2"/>
        <v>2.5000000000000001E-2</v>
      </c>
      <c r="C77" s="124" t="s">
        <v>37</v>
      </c>
      <c r="D77" s="125" t="s">
        <v>239</v>
      </c>
      <c r="E77" s="185" t="s">
        <v>310</v>
      </c>
      <c r="F77" s="124" t="s">
        <v>163</v>
      </c>
      <c r="G77" s="117" t="str">
        <f>IF(ISNA(VLOOKUP(TOTALS!$B$1,REFCE!$P$1:$P$5,1,FALSE)),F77,"S")</f>
        <v>S</v>
      </c>
      <c r="H77" s="126"/>
      <c r="I77" s="126"/>
    </row>
    <row r="78" spans="1:9" x14ac:dyDescent="0.2">
      <c r="A78" s="112" t="s">
        <v>138</v>
      </c>
      <c r="B78" s="113">
        <f t="shared" si="2"/>
        <v>2.5000000000000001E-2</v>
      </c>
      <c r="C78" s="124" t="s">
        <v>33</v>
      </c>
      <c r="D78" s="125" t="s">
        <v>243</v>
      </c>
      <c r="E78" s="185" t="s">
        <v>310</v>
      </c>
      <c r="F78" s="124" t="s">
        <v>163</v>
      </c>
      <c r="G78" s="117" t="str">
        <f>IF(ISNA(VLOOKUP(TOTALS!$B$1,REFCE!$P$1:$P$5,1,FALSE)),F78,"S")</f>
        <v>S</v>
      </c>
      <c r="H78" s="126"/>
      <c r="I78" s="126"/>
    </row>
    <row r="79" spans="1:9" x14ac:dyDescent="0.2">
      <c r="A79" s="112" t="s">
        <v>139</v>
      </c>
      <c r="B79" s="113">
        <f t="shared" si="2"/>
        <v>2.5000000000000001E-2</v>
      </c>
      <c r="C79" s="124" t="s">
        <v>34</v>
      </c>
      <c r="D79" s="125" t="s">
        <v>240</v>
      </c>
      <c r="E79" s="185" t="s">
        <v>310</v>
      </c>
      <c r="F79" s="124" t="s">
        <v>163</v>
      </c>
      <c r="G79" s="117" t="str">
        <f>IF(ISNA(VLOOKUP(TOTALS!$B$1,REFCE!$P$1:$P$5,1,FALSE)),F79,"S")</f>
        <v>S</v>
      </c>
      <c r="H79" s="126"/>
      <c r="I79" s="126"/>
    </row>
    <row r="80" spans="1:9" x14ac:dyDescent="0.2">
      <c r="A80" s="112" t="s">
        <v>140</v>
      </c>
      <c r="B80" s="113">
        <f t="shared" si="2"/>
        <v>2.5000000000000001E-2</v>
      </c>
      <c r="C80" s="124" t="s">
        <v>36</v>
      </c>
      <c r="D80" s="125" t="s">
        <v>60</v>
      </c>
      <c r="E80" s="186" t="s">
        <v>310</v>
      </c>
      <c r="F80" s="124" t="s">
        <v>163</v>
      </c>
      <c r="G80" s="117" t="str">
        <f>IF(ISNA(VLOOKUP(TOTALS!$B$1,REFCE!$P$1:$P$5,1,FALSE)),F80,"S")</f>
        <v>S</v>
      </c>
      <c r="H80" s="126"/>
      <c r="I80" s="126"/>
    </row>
    <row r="81" spans="1:9" x14ac:dyDescent="0.2">
      <c r="A81" s="112" t="s">
        <v>141</v>
      </c>
      <c r="B81" s="113">
        <f t="shared" si="2"/>
        <v>2.5000000000000001E-2</v>
      </c>
      <c r="C81" s="124" t="s">
        <v>32</v>
      </c>
      <c r="D81" s="125" t="s">
        <v>244</v>
      </c>
      <c r="E81" s="185" t="s">
        <v>310</v>
      </c>
      <c r="F81" s="124" t="s">
        <v>163</v>
      </c>
      <c r="G81" s="117" t="str">
        <f>IF(ISNA(VLOOKUP(TOTALS!$B$1,REFCE!$P$1:$P$5,1,FALSE)),F81,"S")</f>
        <v>S</v>
      </c>
      <c r="H81" s="126"/>
      <c r="I81" s="126"/>
    </row>
    <row r="82" spans="1:9" x14ac:dyDescent="0.2">
      <c r="A82" s="112" t="s">
        <v>142</v>
      </c>
      <c r="B82" s="113">
        <f t="shared" si="2"/>
        <v>2.5000000000000001E-2</v>
      </c>
      <c r="C82" s="124" t="s">
        <v>87</v>
      </c>
      <c r="D82" s="125" t="s">
        <v>88</v>
      </c>
      <c r="E82" s="185" t="s">
        <v>310</v>
      </c>
      <c r="F82" s="124" t="s">
        <v>163</v>
      </c>
      <c r="G82" s="117" t="str">
        <f>IF(ISNA(VLOOKUP(TOTALS!$B$1,REFCE!$P$1:$P$5,1,FALSE)),F82,"S")</f>
        <v>S</v>
      </c>
      <c r="H82" s="126"/>
      <c r="I82" s="126"/>
    </row>
    <row r="83" spans="1:9" x14ac:dyDescent="0.2">
      <c r="A83" s="112" t="s">
        <v>143</v>
      </c>
      <c r="B83" s="113">
        <f t="shared" si="2"/>
        <v>2.5000000000000001E-2</v>
      </c>
      <c r="C83" s="124" t="s">
        <v>40</v>
      </c>
      <c r="D83" s="125" t="s">
        <v>241</v>
      </c>
      <c r="E83" s="185" t="s">
        <v>310</v>
      </c>
      <c r="F83" s="124" t="s">
        <v>163</v>
      </c>
      <c r="G83" s="117" t="str">
        <f>IF(ISNA(VLOOKUP(TOTALS!$B$1,REFCE!$P$1:$P$5,1,FALSE)),F83,"S")</f>
        <v>S</v>
      </c>
      <c r="H83" s="126"/>
      <c r="I83" s="126"/>
    </row>
    <row r="84" spans="1:9" x14ac:dyDescent="0.2">
      <c r="A84" s="112" t="s">
        <v>144</v>
      </c>
      <c r="B84" s="113">
        <f t="shared" si="2"/>
        <v>2.5000000000000001E-2</v>
      </c>
      <c r="C84" s="124" t="s">
        <v>10</v>
      </c>
      <c r="D84" s="125" t="s">
        <v>59</v>
      </c>
      <c r="E84" s="185" t="s">
        <v>310</v>
      </c>
      <c r="F84" s="124" t="s">
        <v>163</v>
      </c>
      <c r="G84" s="117" t="str">
        <f>IF(ISNA(VLOOKUP(TOTALS!$B$1,REFCE!$P$1:$P$5,1,FALSE)),F84,"S")</f>
        <v>S</v>
      </c>
      <c r="H84" s="126"/>
      <c r="I84" s="126"/>
    </row>
    <row r="85" spans="1:9" x14ac:dyDescent="0.2">
      <c r="A85" s="112" t="s">
        <v>145</v>
      </c>
      <c r="B85" s="113">
        <f t="shared" si="2"/>
        <v>2.5000000000000001E-2</v>
      </c>
      <c r="C85" s="124" t="s">
        <v>37</v>
      </c>
      <c r="D85" s="125" t="s">
        <v>242</v>
      </c>
      <c r="E85" s="185" t="s">
        <v>310</v>
      </c>
      <c r="F85" s="124" t="s">
        <v>163</v>
      </c>
      <c r="G85" s="117" t="str">
        <f>IF(ISNA(VLOOKUP(TOTALS!$B$1,REFCE!$P$1:$P$5,1,FALSE)),F85,"S")</f>
        <v>S</v>
      </c>
      <c r="H85" s="126"/>
      <c r="I85" s="126"/>
    </row>
    <row r="86" spans="1:9" x14ac:dyDescent="0.2">
      <c r="A86" s="112" t="s">
        <v>146</v>
      </c>
      <c r="B86" s="113">
        <f t="shared" si="2"/>
        <v>2.5000000000000001E-2</v>
      </c>
      <c r="C86" s="124" t="s">
        <v>35</v>
      </c>
      <c r="D86" s="125" t="s">
        <v>245</v>
      </c>
      <c r="E86" s="185" t="s">
        <v>310</v>
      </c>
      <c r="F86" s="124" t="s">
        <v>163</v>
      </c>
      <c r="G86" s="117" t="str">
        <f>IF(ISNA(VLOOKUP(TOTALS!$B$1,REFCE!$P$1:$P$5,1,FALSE)),F86,"S")</f>
        <v>S</v>
      </c>
      <c r="H86" s="126"/>
      <c r="I86" s="126"/>
    </row>
    <row r="87" spans="1:9" x14ac:dyDescent="0.2">
      <c r="A87" s="112" t="s">
        <v>147</v>
      </c>
      <c r="B87" s="113">
        <f t="shared" si="2"/>
        <v>2.5000000000000001E-2</v>
      </c>
      <c r="C87" s="124" t="s">
        <v>39</v>
      </c>
      <c r="D87" s="125" t="s">
        <v>56</v>
      </c>
      <c r="E87" s="185" t="s">
        <v>310</v>
      </c>
      <c r="F87" s="124" t="s">
        <v>163</v>
      </c>
      <c r="G87" s="117" t="str">
        <f>IF(ISNA(VLOOKUP(TOTALS!$B$1,REFCE!$P$1:$P$5,1,FALSE)),F87,"S")</f>
        <v>S</v>
      </c>
      <c r="H87" s="126"/>
      <c r="I87" s="126"/>
    </row>
    <row r="88" spans="1:9" x14ac:dyDescent="0.2">
      <c r="A88" s="112" t="s">
        <v>148</v>
      </c>
      <c r="B88" s="113">
        <f t="shared" si="2"/>
        <v>2.5000000000000001E-2</v>
      </c>
      <c r="C88" s="124" t="s">
        <v>31</v>
      </c>
      <c r="D88" s="125" t="s">
        <v>236</v>
      </c>
      <c r="E88" s="185" t="s">
        <v>310</v>
      </c>
      <c r="F88" s="124" t="s">
        <v>163</v>
      </c>
      <c r="G88" s="117" t="str">
        <f>IF(ISNA(VLOOKUP(TOTALS!$B$1,REFCE!$P$1:$P$5,1,FALSE)),F88,"S")</f>
        <v>S</v>
      </c>
      <c r="H88" s="126"/>
      <c r="I88" s="126"/>
    </row>
    <row r="89" spans="1:9" x14ac:dyDescent="0.2">
      <c r="A89" s="112" t="s">
        <v>276</v>
      </c>
      <c r="B89" s="113">
        <v>0</v>
      </c>
      <c r="C89" s="124" t="s">
        <v>277</v>
      </c>
      <c r="D89" s="125" t="s">
        <v>60</v>
      </c>
      <c r="E89" s="186" t="s">
        <v>310</v>
      </c>
      <c r="F89" s="114" t="s">
        <v>112</v>
      </c>
      <c r="G89" s="117" t="str">
        <f>IF(ISNA(VLOOKUP(TOTALS!$B$1,REFCE!$P$1:$P$5,1,FALSE)),F89,"S")</f>
        <v>CA</v>
      </c>
      <c r="H89" s="126"/>
      <c r="I89" s="126"/>
    </row>
    <row r="90" spans="1:9" x14ac:dyDescent="0.2">
      <c r="A90" s="112" t="s">
        <v>273</v>
      </c>
      <c r="B90" s="127">
        <v>0</v>
      </c>
      <c r="C90" s="114"/>
      <c r="D90" s="114" t="s">
        <v>273</v>
      </c>
      <c r="E90" s="118" t="s">
        <v>256</v>
      </c>
      <c r="F90" s="114" t="s">
        <v>112</v>
      </c>
      <c r="G90" s="117" t="str">
        <f>IF(ISNA(VLOOKUP(TOTALS!$B$1,REFCE!$P$1:$P$5,1,FALSE)),F90,"S")</f>
        <v>CA</v>
      </c>
    </row>
  </sheetData>
  <sortState ref="A13:D40">
    <sortCondition ref="A13:A40"/>
  </sortState>
  <printOptions horizontalCentered="1"/>
  <pageMargins left="0.7" right="0.7" top="0.75" bottom="0.75" header="0.3" footer="0.3"/>
  <pageSetup orientation="portrait"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77"/>
  <sheetViews>
    <sheetView workbookViewId="0"/>
  </sheetViews>
  <sheetFormatPr defaultRowHeight="15" x14ac:dyDescent="0.25"/>
  <cols>
    <col min="1" max="1" width="25.140625" bestFit="1" customWidth="1"/>
    <col min="2" max="2" width="7.85546875" style="6" bestFit="1" customWidth="1"/>
    <col min="3" max="3" width="9.28515625" style="6" bestFit="1" customWidth="1"/>
    <col min="4" max="4" width="10.42578125" style="6" bestFit="1" customWidth="1"/>
    <col min="5" max="5" width="10.85546875" style="6" bestFit="1" customWidth="1"/>
    <col min="6" max="6" width="13.140625" bestFit="1" customWidth="1"/>
    <col min="7" max="7" width="8" style="75" bestFit="1" customWidth="1"/>
    <col min="8" max="8" width="9.140625" style="2" bestFit="1" customWidth="1"/>
    <col min="9" max="9" width="16" bestFit="1" customWidth="1"/>
    <col min="10" max="10" width="16.28515625" style="12" bestFit="1" customWidth="1"/>
    <col min="11" max="11" width="13.140625" bestFit="1" customWidth="1"/>
    <col min="12" max="12" width="8.42578125" bestFit="1" customWidth="1"/>
  </cols>
  <sheetData>
    <row r="1" spans="1:12" x14ac:dyDescent="0.25">
      <c r="A1" t="s">
        <v>1</v>
      </c>
      <c r="B1" s="6" t="s">
        <v>2</v>
      </c>
      <c r="C1" s="6" t="s">
        <v>3</v>
      </c>
      <c r="D1" s="6" t="s">
        <v>4</v>
      </c>
      <c r="E1" s="6" t="s">
        <v>5</v>
      </c>
      <c r="F1" t="s">
        <v>6</v>
      </c>
      <c r="G1" s="75" t="s">
        <v>7</v>
      </c>
      <c r="H1" s="2" t="s">
        <v>8</v>
      </c>
      <c r="I1" t="s">
        <v>55</v>
      </c>
      <c r="J1" s="12" t="s">
        <v>57</v>
      </c>
      <c r="K1" t="s">
        <v>257</v>
      </c>
      <c r="L1" t="s">
        <v>162</v>
      </c>
    </row>
    <row r="2" spans="1:12" x14ac:dyDescent="0.25">
      <c r="A2" t="s">
        <v>273</v>
      </c>
      <c r="B2" s="6">
        <v>1</v>
      </c>
      <c r="C2" s="6">
        <v>1</v>
      </c>
      <c r="D2" s="6">
        <v>1</v>
      </c>
      <c r="E2" s="6">
        <v>1</v>
      </c>
      <c r="G2" s="75">
        <v>0</v>
      </c>
      <c r="H2" s="2">
        <v>0</v>
      </c>
      <c r="J2" s="12" t="str">
        <f>IF(ISNA(VLOOKUP(A2,REFCE!A:D,4,FALSE)),"",(VLOOKUP(A2,REFCE!A:D,4,FALSE)))</f>
        <v>TOYOTA-HDLG</v>
      </c>
      <c r="K2" t="s">
        <v>256</v>
      </c>
      <c r="L2" t="str">
        <f>IF(ISNA(VLOOKUP(A2,REFCE!A:G,7,FALSE)),"",(VLOOKUP(A2,REFCE!A:G,7,FALSE)))</f>
        <v>CA</v>
      </c>
    </row>
    <row r="3" spans="1:12" x14ac:dyDescent="0.25">
      <c r="A3" t="s">
        <v>259</v>
      </c>
      <c r="B3" s="6">
        <f>IF(VLOOKUP(A3,PALLETS!A:C,2,FALSE)="",0,VLOOKUP(A3,PALLETS!A:C,2,FALSE))</f>
        <v>0</v>
      </c>
      <c r="C3" s="6">
        <f t="shared" ref="C3" si="0">IF(B3="",0,B3)</f>
        <v>0</v>
      </c>
      <c r="D3" s="6">
        <f>IF(VLOOKUP(A3,PALLETS!A:C,3,FALSE)=0,0,(VLOOKUP(A3,PALLETS!A:C,3,FALSE))/C3)</f>
        <v>0</v>
      </c>
      <c r="E3" s="6">
        <f t="shared" ref="E3" si="1">C3*D3</f>
        <v>0</v>
      </c>
      <c r="F3" t="str">
        <f>IF(ISNA(VLOOKUP(A3,REFCE!A:D,3,FALSE)),"",(VLOOKUP(A3,REFCE!A:D,3,FALSE)))</f>
        <v>Steel</v>
      </c>
      <c r="G3" s="75">
        <f>IF(A3="",0,VLOOKUP(A3,REFCE!A:D,2,FALSE))</f>
        <v>2.5000000000000001E-2</v>
      </c>
      <c r="H3" s="2">
        <f t="shared" ref="H3" si="2">E3*G3</f>
        <v>0</v>
      </c>
      <c r="I3" t="str">
        <f>IF(ISNA(VLOOKUP(A3,REFCE!A:D,3,FALSE)),"",(VLOOKUP(A3,REFCE!A:D,3,FALSE)))</f>
        <v>Steel</v>
      </c>
      <c r="J3" s="12" t="str">
        <f>IF(ISNA(VLOOKUP(A3,REFCE!A:D,4,FALSE)),"",(VLOOKUP(A3,REFCE!A:D,4,FALSE)))</f>
        <v>ABS1000</v>
      </c>
      <c r="K3" t="str">
        <f>IF(ISNA(VLOOKUP(A3,REFCE!A:G,5,FALSE)),"",(VLOOKUP(A3,REFCE!A:G,5,FALSE)))</f>
        <v>Quar</v>
      </c>
      <c r="L3" t="str">
        <f>IF(ISNA(VLOOKUP(A3,REFCE!A:G,7,FALSE)),"",(VLOOKUP(A3,REFCE!A:G,7,FALSE)))</f>
        <v>S</v>
      </c>
    </row>
    <row r="4" spans="1:12" x14ac:dyDescent="0.25">
      <c r="A4" t="s">
        <v>42</v>
      </c>
      <c r="B4" s="6">
        <f>IF(VLOOKUP(A4,PALLETS!A:C,2,FALSE)="",0,VLOOKUP(A4,PALLETS!A:C,2,FALSE))</f>
        <v>0</v>
      </c>
      <c r="C4" s="6">
        <f t="shared" ref="C4:C67" si="3">IF(B4="",0,B4)</f>
        <v>0</v>
      </c>
      <c r="D4" s="6">
        <f>IF(VLOOKUP(A4,PALLETS!A:C,3,FALSE)=0,0,(VLOOKUP(A4,PALLETS!A:C,3,FALSE))/C4)</f>
        <v>0</v>
      </c>
      <c r="E4" s="6">
        <f t="shared" ref="E4:E67" si="4">C4*D4</f>
        <v>0</v>
      </c>
      <c r="F4" t="str">
        <f>IF(ISNA(VLOOKUP(A4,REFCE!A:D,3,FALSE)),"",(VLOOKUP(A4,REFCE!A:D,3,FALSE)))</f>
        <v>Mixed Metals</v>
      </c>
      <c r="G4" s="75">
        <f>IF(A4="",0,VLOOKUP(A4,REFCE!A:D,2,FALSE))</f>
        <v>2.5000000000000001E-2</v>
      </c>
      <c r="H4" s="2">
        <f t="shared" ref="H4:H67" si="5">E4*G4</f>
        <v>0</v>
      </c>
      <c r="I4" t="str">
        <f>IF(ISNA(VLOOKUP(A4,REFCE!A:D,3,FALSE)),"",(VLOOKUP(A4,REFCE!A:D,3,FALSE)))</f>
        <v>Mixed Metals</v>
      </c>
      <c r="J4" s="12" t="str">
        <f>IF(ISNA(VLOOKUP(A4,REFCE!A:D,4,FALSE)),"",(VLOOKUP(A4,REFCE!A:D,4,FALSE)))</f>
        <v>ACC1000</v>
      </c>
      <c r="K4" t="str">
        <f>IF(ISNA(VLOOKUP(A4,REFCE!A:G,5,FALSE)),"",(VLOOKUP(A4,REFCE!A:G,5,FALSE)))</f>
        <v>Quar</v>
      </c>
      <c r="L4" t="str">
        <f>IF(ISNA(VLOOKUP(A4,REFCE!A:G,7,FALSE)),"",(VLOOKUP(A4,REFCE!A:G,7,FALSE)))</f>
        <v>S</v>
      </c>
    </row>
    <row r="5" spans="1:12" x14ac:dyDescent="0.25">
      <c r="A5" t="s">
        <v>43</v>
      </c>
      <c r="B5" s="6">
        <f>IF(VLOOKUP(A5,PALLETS!A:C,2,FALSE)="",0,VLOOKUP(A5,PALLETS!A:C,2,FALSE))</f>
        <v>0</v>
      </c>
      <c r="C5" s="6">
        <f t="shared" si="3"/>
        <v>0</v>
      </c>
      <c r="D5" s="6">
        <f>IF(VLOOKUP(A5,PALLETS!A:C,3,FALSE)=0,0,(VLOOKUP(A5,PALLETS!A:C,3,FALSE))/C5)</f>
        <v>0</v>
      </c>
      <c r="E5" s="6">
        <f t="shared" si="4"/>
        <v>0</v>
      </c>
      <c r="F5" t="str">
        <f>IF(ISNA(VLOOKUP(A5,REFCE!A:D,3,FALSE)),"",(VLOOKUP(A5,REFCE!A:D,3,FALSE)))</f>
        <v>Mixed Metals</v>
      </c>
      <c r="G5" s="75">
        <f>IF(A5="",0,VLOOKUP(A5,REFCE!A:D,2,FALSE))</f>
        <v>2.5000000000000001E-2</v>
      </c>
      <c r="H5" s="2">
        <f t="shared" si="5"/>
        <v>0</v>
      </c>
      <c r="I5" t="str">
        <f>IF(ISNA(VLOOKUP(A5,REFCE!A:D,3,FALSE)),"",(VLOOKUP(A5,REFCE!A:D,3,FALSE)))</f>
        <v>Mixed Metals</v>
      </c>
      <c r="J5" s="12" t="str">
        <f>IF(ISNA(VLOOKUP(A5,REFCE!A:D,4,FALSE)),"",(VLOOKUP(A5,REFCE!A:D,4,FALSE)))</f>
        <v>ALT1000</v>
      </c>
      <c r="K5" t="str">
        <f>IF(ISNA(VLOOKUP(A5,REFCE!A:G,5,FALSE)),"",(VLOOKUP(A5,REFCE!A:G,5,FALSE)))</f>
        <v>Quar</v>
      </c>
      <c r="L5" t="str">
        <f>IF(ISNA(VLOOKUP(A5,REFCE!A:G,7,FALSE)),"",(VLOOKUP(A5,REFCE!A:G,7,FALSE)))</f>
        <v>S</v>
      </c>
    </row>
    <row r="6" spans="1:12" x14ac:dyDescent="0.25">
      <c r="A6" t="s">
        <v>133</v>
      </c>
      <c r="B6" s="6">
        <f>IF(VLOOKUP(A6,PALLETS!A:C,2,FALSE)="",0,VLOOKUP(A6,PALLETS!A:C,2,FALSE))</f>
        <v>0</v>
      </c>
      <c r="C6" s="6">
        <f t="shared" si="3"/>
        <v>0</v>
      </c>
      <c r="D6" s="6">
        <f>IF(VLOOKUP(A6,PALLETS!A:C,3,FALSE)=0,0,(VLOOKUP(A6,PALLETS!A:C,3,FALSE))/C6)</f>
        <v>0</v>
      </c>
      <c r="E6" s="6">
        <f t="shared" si="4"/>
        <v>0</v>
      </c>
      <c r="F6" t="str">
        <f>IF(ISNA(VLOOKUP(A6,REFCE!A:D,3,FALSE)),"",(VLOOKUP(A6,REFCE!A:D,3,FALSE)))</f>
        <v>E-Waste</v>
      </c>
      <c r="G6" s="75">
        <f>IF(A6="",0,VLOOKUP(A6,REFCE!A:D,2,FALSE))</f>
        <v>2.5000000000000001E-2</v>
      </c>
      <c r="H6" s="2">
        <f t="shared" si="5"/>
        <v>0</v>
      </c>
      <c r="I6" t="str">
        <f>IF(ISNA(VLOOKUP(A6,REFCE!A:D,3,FALSE)),"",(VLOOKUP(A6,REFCE!A:D,3,FALSE)))</f>
        <v>E-Waste</v>
      </c>
      <c r="J6" s="12" t="str">
        <f>IF(ISNA(VLOOKUP(A6,REFCE!A:D,4,FALSE)),"",(VLOOKUP(A6,REFCE!A:D,4,FALSE)))</f>
        <v>SCR-EWASTE</v>
      </c>
      <c r="K6" t="str">
        <f>IF(ISNA(VLOOKUP(A6,REFCE!A:G,5,FALSE)),"",(VLOOKUP(A6,REFCE!A:G,5,FALSE)))</f>
        <v>Scrap</v>
      </c>
      <c r="L6" t="str">
        <f>IF(ISNA(VLOOKUP(A6,REFCE!A:G,7,FALSE)),"",(VLOOKUP(A6,REFCE!A:G,7,FALSE)))</f>
        <v>CA</v>
      </c>
    </row>
    <row r="7" spans="1:12" x14ac:dyDescent="0.25">
      <c r="A7" t="s">
        <v>198</v>
      </c>
      <c r="B7" s="6">
        <f>IF(VLOOKUP(A7,PALLETS!A:C,2,FALSE)="",0,VLOOKUP(A7,PALLETS!A:C,2,FALSE))</f>
        <v>0</v>
      </c>
      <c r="C7" s="6">
        <f t="shared" si="3"/>
        <v>0</v>
      </c>
      <c r="D7" s="6">
        <f>IF(VLOOKUP(A7,PALLETS!A:C,3,FALSE)=0,0,(VLOOKUP(A7,PALLETS!A:C,3,FALSE))/C7)</f>
        <v>0</v>
      </c>
      <c r="E7" s="6">
        <f t="shared" si="4"/>
        <v>0</v>
      </c>
      <c r="F7" t="str">
        <f>IF(ISNA(VLOOKUP(A7,REFCE!A:D,3,FALSE)),"",(VLOOKUP(A7,REFCE!A:D,3,FALSE)))</f>
        <v>E-Waste</v>
      </c>
      <c r="G7" s="75">
        <f>IF(A7="",0,VLOOKUP(A7,REFCE!A:D,2,FALSE))</f>
        <v>2.5000000000000001E-2</v>
      </c>
      <c r="H7" s="2">
        <f t="shared" si="5"/>
        <v>0</v>
      </c>
      <c r="I7" t="str">
        <f>IF(ISNA(VLOOKUP(A7,REFCE!A:D,3,FALSE)),"",(VLOOKUP(A7,REFCE!A:D,3,FALSE)))</f>
        <v>E-Waste</v>
      </c>
      <c r="J7" s="12" t="str">
        <f>IF(ISNA(VLOOKUP(A7,REFCE!A:D,4,FALSE)),"",(VLOOKUP(A7,REFCE!A:D,4,FALSE)))</f>
        <v>BCC1000</v>
      </c>
      <c r="K7" t="str">
        <f>IF(ISNA(VLOOKUP(A7,REFCE!A:G,5,FALSE)),"",(VLOOKUP(A7,REFCE!A:G,5,FALSE)))</f>
        <v>Quar</v>
      </c>
      <c r="L7" t="str">
        <f>IF(ISNA(VLOOKUP(A7,REFCE!A:G,7,FALSE)),"",(VLOOKUP(A7,REFCE!A:G,7,FALSE)))</f>
        <v>S</v>
      </c>
    </row>
    <row r="8" spans="1:12" x14ac:dyDescent="0.25">
      <c r="A8" t="s">
        <v>134</v>
      </c>
      <c r="B8" s="6">
        <f>IF(VLOOKUP(A8,PALLETS!A:C,2,FALSE)="",0,VLOOKUP(A8,PALLETS!A:C,2,FALSE))</f>
        <v>0</v>
      </c>
      <c r="C8" s="6">
        <f t="shared" si="3"/>
        <v>0</v>
      </c>
      <c r="D8" s="6">
        <f>IF(VLOOKUP(A8,PALLETS!A:C,3,FALSE)=0,0,(VLOOKUP(A8,PALLETS!A:C,3,FALSE))/C8)</f>
        <v>0</v>
      </c>
      <c r="E8" s="6">
        <f t="shared" si="4"/>
        <v>0</v>
      </c>
      <c r="F8" t="str">
        <f>IF(ISNA(VLOOKUP(A8,REFCE!A:D,3,FALSE)),"",(VLOOKUP(A8,REFCE!A:D,3,FALSE)))</f>
        <v>Steel</v>
      </c>
      <c r="G8" s="75">
        <f>IF(A8="",0,VLOOKUP(A8,REFCE!A:D,2,FALSE))</f>
        <v>2.5000000000000001E-2</v>
      </c>
      <c r="H8" s="2">
        <f t="shared" si="5"/>
        <v>0</v>
      </c>
      <c r="I8" t="str">
        <f>IF(ISNA(VLOOKUP(A8,REFCE!A:D,3,FALSE)),"",(VLOOKUP(A8,REFCE!A:D,3,FALSE)))</f>
        <v>Steel</v>
      </c>
      <c r="J8" s="12" t="str">
        <f>IF(ISNA(VLOOKUP(A8,REFCE!A:D,4,FALSE)),"",(VLOOKUP(A8,REFCE!A:D,4,FALSE)))</f>
        <v>SCR-STEEL</v>
      </c>
      <c r="K8" t="str">
        <f>IF(ISNA(VLOOKUP(A8,REFCE!A:G,5,FALSE)),"",(VLOOKUP(A8,REFCE!A:G,5,FALSE)))</f>
        <v>Quar</v>
      </c>
      <c r="L8" t="str">
        <f>IF(ISNA(VLOOKUP(A8,REFCE!A:G,7,FALSE)),"",(VLOOKUP(A8,REFCE!A:G,7,FALSE)))</f>
        <v>CA</v>
      </c>
    </row>
    <row r="9" spans="1:12" x14ac:dyDescent="0.25">
      <c r="A9" t="s">
        <v>130</v>
      </c>
      <c r="B9" s="6">
        <f>IF(VLOOKUP(A9,PALLETS!A:C,2,FALSE)="",0,VLOOKUP(A9,PALLETS!A:C,2,FALSE))</f>
        <v>0</v>
      </c>
      <c r="C9" s="6">
        <f t="shared" si="3"/>
        <v>0</v>
      </c>
      <c r="D9" s="6">
        <f>IF(VLOOKUP(A9,PALLETS!A:C,3,FALSE)=0,0,(VLOOKUP(A9,PALLETS!A:C,3,FALSE))/C9)</f>
        <v>0</v>
      </c>
      <c r="E9" s="6">
        <f t="shared" si="4"/>
        <v>0</v>
      </c>
      <c r="F9" t="str">
        <f>IF(ISNA(VLOOKUP(A9,REFCE!A:D,3,FALSE)),"",(VLOOKUP(A9,REFCE!A:D,3,FALSE)))</f>
        <v>Steel</v>
      </c>
      <c r="G9" s="75">
        <f>IF(A9="",0,VLOOKUP(A9,REFCE!A:D,2,FALSE))</f>
        <v>2.5000000000000001E-2</v>
      </c>
      <c r="H9" s="2">
        <f t="shared" si="5"/>
        <v>0</v>
      </c>
      <c r="I9" t="str">
        <f>IF(ISNA(VLOOKUP(A9,REFCE!A:D,3,FALSE)),"",(VLOOKUP(A9,REFCE!A:D,3,FALSE)))</f>
        <v>Steel</v>
      </c>
      <c r="J9" s="12" t="str">
        <f>IF(ISNA(VLOOKUP(A9,REFCE!A:D,4,FALSE)),"",(VLOOKUP(A9,REFCE!A:D,4,FALSE)))</f>
        <v>UBS1000</v>
      </c>
      <c r="K9" t="str">
        <f>IF(ISNA(VLOOKUP(A9,REFCE!A:G,5,FALSE)),"",(VLOOKUP(A9,REFCE!A:G,5,FALSE)))</f>
        <v>Quar</v>
      </c>
      <c r="L9" t="str">
        <f>IF(ISNA(VLOOKUP(A9,REFCE!A:G,7,FALSE)),"",(VLOOKUP(A9,REFCE!A:G,7,FALSE)))</f>
        <v>S</v>
      </c>
    </row>
    <row r="10" spans="1:12" x14ac:dyDescent="0.25">
      <c r="A10" t="s">
        <v>271</v>
      </c>
      <c r="B10" s="6">
        <f>IF(VLOOKUP(A10,PALLETS!A:C,2,FALSE)="",0,VLOOKUP(A10,PALLETS!A:C,2,FALSE))</f>
        <v>0</v>
      </c>
      <c r="C10" s="6">
        <f t="shared" si="3"/>
        <v>0</v>
      </c>
      <c r="D10" s="6">
        <f>IF(VLOOKUP(A10,PALLETS!A:C,3,FALSE)=0,0,(VLOOKUP(A10,PALLETS!A:C,3,FALSE))/C10)</f>
        <v>0</v>
      </c>
      <c r="E10" s="6">
        <f t="shared" si="4"/>
        <v>0</v>
      </c>
      <c r="F10" t="str">
        <f>IF(ISNA(VLOOKUP(A10,REFCE!A:D,3,FALSE)),"",(VLOOKUP(A10,REFCE!A:D,3,FALSE)))</f>
        <v>Steel</v>
      </c>
      <c r="G10" s="75">
        <f>IF(A10="",0,VLOOKUP(A10,REFCE!A:D,2,FALSE))</f>
        <v>2.5000000000000001E-2</v>
      </c>
      <c r="H10" s="2">
        <f t="shared" si="5"/>
        <v>0</v>
      </c>
      <c r="I10" t="str">
        <f>IF(ISNA(VLOOKUP(A10,REFCE!A:D,3,FALSE)),"",(VLOOKUP(A10,REFCE!A:D,3,FALSE)))</f>
        <v>Steel</v>
      </c>
      <c r="J10" s="12" t="str">
        <f>IF(ISNA(VLOOKUP(A10,REFCE!A:D,4,FALSE)),"",(VLOOKUP(A10,REFCE!A:D,4,FALSE)))</f>
        <v>CAL1000</v>
      </c>
      <c r="K10" t="str">
        <f>IF(ISNA(VLOOKUP(A10,REFCE!A:G,5,FALSE)),"",(VLOOKUP(A10,REFCE!A:G,5,FALSE)))</f>
        <v>Quar</v>
      </c>
      <c r="L10" t="str">
        <f>IF(ISNA(VLOOKUP(A10,REFCE!A:G,7,FALSE)),"",(VLOOKUP(A10,REFCE!A:G,7,FALSE)))</f>
        <v>S</v>
      </c>
    </row>
    <row r="11" spans="1:12" x14ac:dyDescent="0.25">
      <c r="A11" t="s">
        <v>166</v>
      </c>
      <c r="B11" s="6">
        <f>IF(VLOOKUP(A11,PALLETS!A:C,2,FALSE)="",0,VLOOKUP(A11,PALLETS!A:C,2,FALSE))</f>
        <v>0</v>
      </c>
      <c r="C11" s="6">
        <f t="shared" si="3"/>
        <v>0</v>
      </c>
      <c r="D11" s="6">
        <f>IF(VLOOKUP(A11,PALLETS!A:C,3,FALSE)=0,0,(VLOOKUP(A11,PALLETS!A:C,3,FALSE))/C11)</f>
        <v>0</v>
      </c>
      <c r="E11" s="6">
        <f t="shared" si="4"/>
        <v>0</v>
      </c>
      <c r="F11" t="str">
        <f>IF(ISNA(VLOOKUP(A11,REFCE!A:D,3,FALSE)),"",(VLOOKUP(A11,REFCE!A:D,3,FALSE)))</f>
        <v>Steel</v>
      </c>
      <c r="G11" s="75">
        <f>IF(A11="",0,VLOOKUP(A11,REFCE!A:D,2,FALSE))</f>
        <v>2.5000000000000001E-2</v>
      </c>
      <c r="H11" s="2">
        <f t="shared" si="5"/>
        <v>0</v>
      </c>
      <c r="I11" t="str">
        <f>IF(ISNA(VLOOKUP(A11,REFCE!A:D,3,FALSE)),"",(VLOOKUP(A11,REFCE!A:D,3,FALSE)))</f>
        <v>Steel</v>
      </c>
      <c r="J11" s="12" t="str">
        <f>IF(ISNA(VLOOKUP(A11,REFCE!A:D,4,FALSE)),"",(VLOOKUP(A11,REFCE!A:D,4,FALSE)))</f>
        <v>CAM1000</v>
      </c>
      <c r="K11" t="str">
        <f>IF(ISNA(VLOOKUP(A11,REFCE!A:G,5,FALSE)),"",(VLOOKUP(A11,REFCE!A:G,5,FALSE)))</f>
        <v>Quar</v>
      </c>
      <c r="L11" t="str">
        <f>IF(ISNA(VLOOKUP(A11,REFCE!A:G,7,FALSE)),"",(VLOOKUP(A11,REFCE!A:G,7,FALSE)))</f>
        <v>S</v>
      </c>
    </row>
    <row r="12" spans="1:12" x14ac:dyDescent="0.25">
      <c r="A12" t="s">
        <v>44</v>
      </c>
      <c r="B12" s="6">
        <f>IF(VLOOKUP(A12,PALLETS!A:C,2,FALSE)="",0,VLOOKUP(A12,PALLETS!A:C,2,FALSE))</f>
        <v>0</v>
      </c>
      <c r="C12" s="6">
        <f t="shared" si="3"/>
        <v>0</v>
      </c>
      <c r="D12" s="6">
        <f>IF(VLOOKUP(A12,PALLETS!A:C,3,FALSE)=0,0,(VLOOKUP(A12,PALLETS!A:C,3,FALSE))/C12)</f>
        <v>0</v>
      </c>
      <c r="E12" s="6">
        <f t="shared" si="4"/>
        <v>0</v>
      </c>
      <c r="F12" t="str">
        <f>IF(ISNA(VLOOKUP(A12,REFCE!A:D,3,FALSE)),"",(VLOOKUP(A12,REFCE!A:D,3,FALSE)))</f>
        <v>Steel</v>
      </c>
      <c r="G12" s="75">
        <f>IF(A12="",0,VLOOKUP(A12,REFCE!A:D,2,FALSE))</f>
        <v>2.5000000000000001E-2</v>
      </c>
      <c r="H12" s="2">
        <f t="shared" si="5"/>
        <v>0</v>
      </c>
      <c r="I12" t="str">
        <f>IF(ISNA(VLOOKUP(A12,REFCE!A:D,3,FALSE)),"",(VLOOKUP(A12,REFCE!A:D,3,FALSE)))</f>
        <v>Steel</v>
      </c>
      <c r="J12" s="12" t="str">
        <f>IF(ISNA(VLOOKUP(A12,REFCE!A:D,4,FALSE)),"",(VLOOKUP(A12,REFCE!A:D,4,FALSE)))</f>
        <v>CCV1000</v>
      </c>
      <c r="K12" t="str">
        <f>IF(ISNA(VLOOKUP(A12,REFCE!A:G,5,FALSE)),"",(VLOOKUP(A12,REFCE!A:G,5,FALSE)))</f>
        <v>Quar</v>
      </c>
      <c r="L12" t="str">
        <f>IF(ISNA(VLOOKUP(A12,REFCE!A:G,7,FALSE)),"",(VLOOKUP(A12,REFCE!A:G,7,FALSE)))</f>
        <v>CA</v>
      </c>
    </row>
    <row r="13" spans="1:12" x14ac:dyDescent="0.25">
      <c r="A13" t="s">
        <v>202</v>
      </c>
      <c r="B13" s="6">
        <f>IF(VLOOKUP(A13,PALLETS!A:C,2,FALSE)="",0,VLOOKUP(A13,PALLETS!A:C,2,FALSE))</f>
        <v>0</v>
      </c>
      <c r="C13" s="6">
        <f t="shared" si="3"/>
        <v>0</v>
      </c>
      <c r="D13" s="6">
        <f>IF(VLOOKUP(A13,PALLETS!A:C,3,FALSE)=0,0,(VLOOKUP(A13,PALLETS!A:C,3,FALSE))/C13)</f>
        <v>0</v>
      </c>
      <c r="E13" s="6">
        <f t="shared" si="4"/>
        <v>0</v>
      </c>
      <c r="F13" t="str">
        <f>IF(ISNA(VLOOKUP(A13,REFCE!A:D,3,FALSE)),"",(VLOOKUP(A13,REFCE!A:D,3,FALSE)))</f>
        <v>Steel</v>
      </c>
      <c r="G13" s="75">
        <f>IF(A13="",0,VLOOKUP(A13,REFCE!A:D,2,FALSE))</f>
        <v>2.5000000000000001E-2</v>
      </c>
      <c r="H13" s="2">
        <f t="shared" si="5"/>
        <v>0</v>
      </c>
      <c r="I13" t="str">
        <f>IF(ISNA(VLOOKUP(A13,REFCE!A:D,3,FALSE)),"",(VLOOKUP(A13,REFCE!A:D,3,FALSE)))</f>
        <v>Steel</v>
      </c>
      <c r="J13" s="12" t="str">
        <f>IF(ISNA(VLOOKUP(A13,REFCE!A:D,4,FALSE)),"",(VLOOKUP(A13,REFCE!A:D,4,FALSE)))</f>
        <v>CLA1000</v>
      </c>
      <c r="K13" t="str">
        <f>IF(ISNA(VLOOKUP(A13,REFCE!A:G,5,FALSE)),"",(VLOOKUP(A13,REFCE!A:G,5,FALSE)))</f>
        <v>Quar</v>
      </c>
      <c r="L13" t="str">
        <f>IF(ISNA(VLOOKUP(A13,REFCE!A:G,7,FALSE)),"",(VLOOKUP(A13,REFCE!A:G,7,FALSE)))</f>
        <v>S</v>
      </c>
    </row>
    <row r="14" spans="1:12" x14ac:dyDescent="0.25">
      <c r="A14" t="s">
        <v>208</v>
      </c>
      <c r="B14" s="6">
        <f>IF(VLOOKUP(A14,PALLETS!A:C,2,FALSE)="",0,VLOOKUP(A14,PALLETS!A:C,2,FALSE))</f>
        <v>0</v>
      </c>
      <c r="C14" s="6">
        <f t="shared" si="3"/>
        <v>0</v>
      </c>
      <c r="D14" s="6">
        <f>IF(VLOOKUP(A14,PALLETS!A:C,3,FALSE)=0,0,(VLOOKUP(A14,PALLETS!A:C,3,FALSE))/C14)</f>
        <v>0</v>
      </c>
      <c r="E14" s="6">
        <f t="shared" si="4"/>
        <v>0</v>
      </c>
      <c r="F14" t="str">
        <f>IF(ISNA(VLOOKUP(A14,REFCE!A:D,3,FALSE)),"",(VLOOKUP(A14,REFCE!A:D,3,FALSE)))</f>
        <v>Steel</v>
      </c>
      <c r="G14" s="75">
        <f>IF(A14="",0,VLOOKUP(A14,REFCE!A:D,2,FALSE))</f>
        <v>2.5000000000000001E-2</v>
      </c>
      <c r="H14" s="2">
        <f t="shared" si="5"/>
        <v>0</v>
      </c>
      <c r="I14" t="str">
        <f>IF(ISNA(VLOOKUP(A14,REFCE!A:D,3,FALSE)),"",(VLOOKUP(A14,REFCE!A:D,3,FALSE)))</f>
        <v>Steel</v>
      </c>
      <c r="J14" s="12" t="str">
        <f>IF(ISNA(VLOOKUP(A14,REFCE!A:D,4,FALSE)),"",(VLOOKUP(A14,REFCE!A:D,4,FALSE)))</f>
        <v>ECS1000</v>
      </c>
      <c r="K14" t="str">
        <f>IF(ISNA(VLOOKUP(A14,REFCE!A:G,5,FALSE)),"",(VLOOKUP(A14,REFCE!A:G,5,FALSE)))</f>
        <v>Quar</v>
      </c>
      <c r="L14" t="str">
        <f>IF(ISNA(VLOOKUP(A14,REFCE!A:G,7,FALSE)),"",(VLOOKUP(A14,REFCE!A:G,7,FALSE)))</f>
        <v>S</v>
      </c>
    </row>
    <row r="15" spans="1:12" x14ac:dyDescent="0.25">
      <c r="A15" t="s">
        <v>68</v>
      </c>
      <c r="B15" s="6">
        <f>IF(VLOOKUP(A15,PALLETS!A:C,2,FALSE)="",0,VLOOKUP(A15,PALLETS!A:C,2,FALSE))</f>
        <v>0</v>
      </c>
      <c r="C15" s="6">
        <f t="shared" si="3"/>
        <v>0</v>
      </c>
      <c r="D15" s="6">
        <f>IF(VLOOKUP(A15,PALLETS!A:C,3,FALSE)=0,0,(VLOOKUP(A15,PALLETS!A:C,3,FALSE))/C15)</f>
        <v>0</v>
      </c>
      <c r="E15" s="6">
        <f t="shared" si="4"/>
        <v>0</v>
      </c>
      <c r="F15" t="str">
        <f>IF(ISNA(VLOOKUP(A15,REFCE!A:D,3,FALSE)),"",(VLOOKUP(A15,REFCE!A:D,3,FALSE)))</f>
        <v>Mixed Metals</v>
      </c>
      <c r="G15" s="75">
        <f>IF(A15="",0,VLOOKUP(A15,REFCE!A:D,2,FALSE))</f>
        <v>2.5000000000000001E-2</v>
      </c>
      <c r="H15" s="2">
        <f t="shared" si="5"/>
        <v>0</v>
      </c>
      <c r="I15" t="str">
        <f>IF(ISNA(VLOOKUP(A15,REFCE!A:D,3,FALSE)),"",(VLOOKUP(A15,REFCE!A:D,3,FALSE)))</f>
        <v>Mixed Metals</v>
      </c>
      <c r="J15" s="12" t="str">
        <f>IF(ISNA(VLOOKUP(A15,REFCE!A:D,4,FALSE)),"",(VLOOKUP(A15,REFCE!A:D,4,FALSE)))</f>
        <v>FWD1000</v>
      </c>
      <c r="K15" t="str">
        <f>IF(ISNA(VLOOKUP(A15,REFCE!A:G,5,FALSE)),"",(VLOOKUP(A15,REFCE!A:G,5,FALSE)))</f>
        <v>Quar</v>
      </c>
      <c r="L15" t="str">
        <f>IF(ISNA(VLOOKUP(A15,REFCE!A:G,7,FALSE)),"",(VLOOKUP(A15,REFCE!A:G,7,FALSE)))</f>
        <v>S</v>
      </c>
    </row>
    <row r="16" spans="1:12" x14ac:dyDescent="0.25">
      <c r="A16" t="s">
        <v>69</v>
      </c>
      <c r="B16" s="6">
        <f>IF(VLOOKUP(A16,PALLETS!A:C,2,FALSE)="",0,VLOOKUP(A16,PALLETS!A:C,2,FALSE))</f>
        <v>0</v>
      </c>
      <c r="C16" s="6">
        <f t="shared" si="3"/>
        <v>0</v>
      </c>
      <c r="D16" s="6">
        <f>IF(VLOOKUP(A16,PALLETS!A:C,3,FALSE)=0,0,(VLOOKUP(A16,PALLETS!A:C,3,FALSE))/C16)</f>
        <v>0</v>
      </c>
      <c r="E16" s="6">
        <f t="shared" si="4"/>
        <v>0</v>
      </c>
      <c r="F16" t="str">
        <f>IF(ISNA(VLOOKUP(A16,REFCE!A:D,3,FALSE)),"",(VLOOKUP(A16,REFCE!A:D,3,FALSE)))</f>
        <v>Steel</v>
      </c>
      <c r="G16" s="75">
        <f>IF(A16="",0,VLOOKUP(A16,REFCE!A:D,2,FALSE))</f>
        <v>2.5000000000000001E-2</v>
      </c>
      <c r="H16" s="2">
        <f t="shared" si="5"/>
        <v>0</v>
      </c>
      <c r="I16" t="str">
        <f>IF(ISNA(VLOOKUP(A16,REFCE!A:D,3,FALSE)),"",(VLOOKUP(A16,REFCE!A:D,3,FALSE)))</f>
        <v>Steel</v>
      </c>
      <c r="J16" s="12" t="str">
        <f>IF(ISNA(VLOOKUP(A16,REFCE!A:D,4,FALSE)),"",(VLOOKUP(A16,REFCE!A:D,4,FALSE)))</f>
        <v>DIF1000</v>
      </c>
      <c r="K16" t="str">
        <f>IF(ISNA(VLOOKUP(A16,REFCE!A:G,5,FALSE)),"",(VLOOKUP(A16,REFCE!A:G,5,FALSE)))</f>
        <v>Quar</v>
      </c>
      <c r="L16" t="str">
        <f>IF(ISNA(VLOOKUP(A16,REFCE!A:G,7,FALSE)),"",(VLOOKUP(A16,REFCE!A:G,7,FALSE)))</f>
        <v>S</v>
      </c>
    </row>
    <row r="17" spans="1:12" x14ac:dyDescent="0.25">
      <c r="A17" t="s">
        <v>206</v>
      </c>
      <c r="B17" s="6">
        <f>IF(VLOOKUP(A17,PALLETS!A:C,2,FALSE)="",0,VLOOKUP(A17,PALLETS!A:C,2,FALSE))</f>
        <v>0</v>
      </c>
      <c r="C17" s="6">
        <f t="shared" si="3"/>
        <v>0</v>
      </c>
      <c r="D17" s="6">
        <f>IF(VLOOKUP(A17,PALLETS!A:C,3,FALSE)=0,0,(VLOOKUP(A17,PALLETS!A:C,3,FALSE))/C17)</f>
        <v>0</v>
      </c>
      <c r="E17" s="6">
        <f t="shared" si="4"/>
        <v>0</v>
      </c>
      <c r="F17" t="str">
        <f>IF(ISNA(VLOOKUP(A17,REFCE!A:D,3,FALSE)),"",(VLOOKUP(A17,REFCE!A:D,3,FALSE)))</f>
        <v>Mixed Metals</v>
      </c>
      <c r="G17" s="75">
        <f>IF(A17="",0,VLOOKUP(A17,REFCE!A:D,2,FALSE))</f>
        <v>2.5000000000000001E-2</v>
      </c>
      <c r="H17" s="2">
        <f t="shared" si="5"/>
        <v>0</v>
      </c>
      <c r="I17" t="str">
        <f>IF(ISNA(VLOOKUP(A17,REFCE!A:D,3,FALSE)),"",(VLOOKUP(A17,REFCE!A:D,3,FALSE)))</f>
        <v>Mixed Metals</v>
      </c>
      <c r="J17" s="12" t="str">
        <f>IF(ISNA(VLOOKUP(A17,REFCE!A:D,4,FALSE)),"",(VLOOKUP(A17,REFCE!A:D,4,FALSE)))</f>
        <v>DIP1000</v>
      </c>
      <c r="K17" t="str">
        <f>IF(ISNA(VLOOKUP(A17,REFCE!A:G,5,FALSE)),"",(VLOOKUP(A17,REFCE!A:G,5,FALSE)))</f>
        <v>Quar</v>
      </c>
      <c r="L17" t="str">
        <f>IF(ISNA(VLOOKUP(A17,REFCE!A:G,7,FALSE)),"",(VLOOKUP(A17,REFCE!A:G,7,FALSE)))</f>
        <v>S</v>
      </c>
    </row>
    <row r="18" spans="1:12" x14ac:dyDescent="0.25">
      <c r="A18" t="s">
        <v>127</v>
      </c>
      <c r="B18" s="6">
        <f>IF(VLOOKUP(A18,PALLETS!A:C,2,FALSE)="",0,VLOOKUP(A18,PALLETS!A:C,2,FALSE))</f>
        <v>0</v>
      </c>
      <c r="C18" s="6">
        <f t="shared" si="3"/>
        <v>0</v>
      </c>
      <c r="D18" s="6">
        <f>IF(VLOOKUP(A18,PALLETS!A:C,3,FALSE)=0,0,(VLOOKUP(A18,PALLETS!A:C,3,FALSE))/C18)</f>
        <v>0</v>
      </c>
      <c r="E18" s="6">
        <f t="shared" si="4"/>
        <v>0</v>
      </c>
      <c r="F18" t="str">
        <f>IF(ISNA(VLOOKUP(A18,REFCE!A:D,3,FALSE)),"",(VLOOKUP(A18,REFCE!A:D,3,FALSE)))</f>
        <v>Steel</v>
      </c>
      <c r="G18" s="75">
        <f>IF(A18="",0,VLOOKUP(A18,REFCE!A:D,2,FALSE))</f>
        <v>2.5000000000000001E-2</v>
      </c>
      <c r="H18" s="2">
        <f t="shared" si="5"/>
        <v>0</v>
      </c>
      <c r="I18" t="str">
        <f>IF(ISNA(VLOOKUP(A18,REFCE!A:D,3,FALSE)),"",(VLOOKUP(A18,REFCE!A:D,3,FALSE)))</f>
        <v>Steel</v>
      </c>
      <c r="J18" s="12" t="str">
        <f>IF(ISNA(VLOOKUP(A18,REFCE!A:D,4,FALSE)),"",(VLOOKUP(A18,REFCE!A:D,4,FALSE)))</f>
        <v>SCR-MXMET</v>
      </c>
      <c r="K18" t="str">
        <f>IF(ISNA(VLOOKUP(A18,REFCE!A:G,5,FALSE)),"",(VLOOKUP(A18,REFCE!A:G,5,FALSE)))</f>
        <v>Scrap</v>
      </c>
      <c r="L18" t="str">
        <f>IF(ISNA(VLOOKUP(A18,REFCE!A:G,7,FALSE)),"",(VLOOKUP(A18,REFCE!A:G,7,FALSE)))</f>
        <v>S</v>
      </c>
    </row>
    <row r="19" spans="1:12" x14ac:dyDescent="0.25">
      <c r="A19" t="s">
        <v>77</v>
      </c>
      <c r="B19" s="6">
        <f>IF(VLOOKUP(A19,PALLETS!A:C,2,FALSE)="",0,VLOOKUP(A19,PALLETS!A:C,2,FALSE))</f>
        <v>0</v>
      </c>
      <c r="C19" s="6">
        <f t="shared" si="3"/>
        <v>0</v>
      </c>
      <c r="D19" s="6">
        <f>IF(VLOOKUP(A19,PALLETS!A:C,3,FALSE)=0,0,(VLOOKUP(A19,PALLETS!A:C,3,FALSE))/C19)</f>
        <v>0</v>
      </c>
      <c r="E19" s="6">
        <f t="shared" si="4"/>
        <v>0</v>
      </c>
      <c r="F19" t="str">
        <f>IF(ISNA(VLOOKUP(A19,REFCE!A:D,3,FALSE)),"",(VLOOKUP(A19,REFCE!A:D,3,FALSE)))</f>
        <v>E-Waste</v>
      </c>
      <c r="G19" s="75">
        <f>IF(A19="",0,VLOOKUP(A19,REFCE!A:D,2,FALSE))</f>
        <v>2.5000000000000001E-2</v>
      </c>
      <c r="H19" s="2">
        <f t="shared" si="5"/>
        <v>0</v>
      </c>
      <c r="I19" t="str">
        <f>IF(ISNA(VLOOKUP(A19,REFCE!A:D,3,FALSE)),"",(VLOOKUP(A19,REFCE!A:D,3,FALSE)))</f>
        <v>E-Waste</v>
      </c>
      <c r="J19" s="12" t="str">
        <f>IF(ISNA(VLOOKUP(A19,REFCE!A:D,4,FALSE)),"",(VLOOKUP(A19,REFCE!A:D,4,FALSE)))</f>
        <v>ECM1000</v>
      </c>
      <c r="K19" t="str">
        <f>IF(ISNA(VLOOKUP(A19,REFCE!A:G,5,FALSE)),"",(VLOOKUP(A19,REFCE!A:G,5,FALSE)))</f>
        <v>Quar</v>
      </c>
      <c r="L19" t="str">
        <f>IF(ISNA(VLOOKUP(A19,REFCE!A:G,7,FALSE)),"",(VLOOKUP(A19,REFCE!A:G,7,FALSE)))</f>
        <v>S</v>
      </c>
    </row>
    <row r="20" spans="1:12" x14ac:dyDescent="0.25">
      <c r="A20" t="s">
        <v>200</v>
      </c>
      <c r="B20" s="6">
        <f>IF(VLOOKUP(A20,PALLETS!A:C,2,FALSE)="",0,VLOOKUP(A20,PALLETS!A:C,2,FALSE))</f>
        <v>0</v>
      </c>
      <c r="C20" s="6">
        <f t="shared" si="3"/>
        <v>0</v>
      </c>
      <c r="D20" s="6">
        <f>IF(VLOOKUP(A20,PALLETS!A:C,3,FALSE)=0,0,(VLOOKUP(A20,PALLETS!A:C,3,FALSE))/C20)</f>
        <v>0</v>
      </c>
      <c r="E20" s="6">
        <f t="shared" si="4"/>
        <v>0</v>
      </c>
      <c r="F20" t="str">
        <f>IF(ISNA(VLOOKUP(A20,REFCE!A:D,3,FALSE)),"",(VLOOKUP(A20,REFCE!A:D,3,FALSE)))</f>
        <v>Mixed Metals</v>
      </c>
      <c r="G20" s="75">
        <f>IF(A20="",0,VLOOKUP(A20,REFCE!A:D,2,FALSE))</f>
        <v>2.5000000000000001E-2</v>
      </c>
      <c r="H20" s="2">
        <f t="shared" si="5"/>
        <v>0</v>
      </c>
      <c r="I20" t="str">
        <f>IF(ISNA(VLOOKUP(A20,REFCE!A:D,3,FALSE)),"",(VLOOKUP(A20,REFCE!A:D,3,FALSE)))</f>
        <v>Mixed Metals</v>
      </c>
      <c r="J20" s="12" t="str">
        <f>IF(ISNA(VLOOKUP(A20,REFCE!A:D,4,FALSE)),"",(VLOOKUP(A20,REFCE!A:D,4,FALSE)))</f>
        <v>EGR1000</v>
      </c>
      <c r="K20" t="str">
        <f>IF(ISNA(VLOOKUP(A20,REFCE!A:G,5,FALSE)),"",(VLOOKUP(A20,REFCE!A:G,5,FALSE)))</f>
        <v>Quar</v>
      </c>
      <c r="L20" t="str">
        <f>IF(ISNA(VLOOKUP(A20,REFCE!A:G,7,FALSE)),"",(VLOOKUP(A20,REFCE!A:G,7,FALSE)))</f>
        <v>S</v>
      </c>
    </row>
    <row r="21" spans="1:12" x14ac:dyDescent="0.25">
      <c r="A21" t="s">
        <v>46</v>
      </c>
      <c r="B21" s="6">
        <f>IF(VLOOKUP(A21,PALLETS!A:C,2,FALSE)="",0,VLOOKUP(A21,PALLETS!A:C,2,FALSE))</f>
        <v>0</v>
      </c>
      <c r="C21" s="6">
        <f t="shared" si="3"/>
        <v>0</v>
      </c>
      <c r="D21" s="6">
        <f>IF(VLOOKUP(A21,PALLETS!A:C,3,FALSE)=0,0,(VLOOKUP(A21,PALLETS!A:C,3,FALSE))/C21)</f>
        <v>0</v>
      </c>
      <c r="E21" s="6">
        <f t="shared" si="4"/>
        <v>0</v>
      </c>
      <c r="F21" t="str">
        <f>IF(ISNA(VLOOKUP(A21,REFCE!A:D,3,FALSE)),"",(VLOOKUP(A21,REFCE!A:D,3,FALSE)))</f>
        <v>Aluminum</v>
      </c>
      <c r="G21" s="75">
        <f>IF(A21="",0,VLOOKUP(A21,REFCE!A:D,2,FALSE))</f>
        <v>2.5000000000000001E-2</v>
      </c>
      <c r="H21" s="2">
        <f t="shared" si="5"/>
        <v>0</v>
      </c>
      <c r="I21" t="str">
        <f>IF(ISNA(VLOOKUP(A21,REFCE!A:D,3,FALSE)),"",(VLOOKUP(A21,REFCE!A:D,3,FALSE)))</f>
        <v>Aluminum</v>
      </c>
      <c r="J21" s="12" t="str">
        <f>IF(ISNA(VLOOKUP(A21,REFCE!A:D,4,FALSE)),"",(VLOOKUP(A21,REFCE!A:D,4,FALSE)))</f>
        <v>ENG1000</v>
      </c>
      <c r="K21" t="str">
        <f>IF(ISNA(VLOOKUP(A21,REFCE!A:G,5,FALSE)),"",(VLOOKUP(A21,REFCE!A:G,5,FALSE)))</f>
        <v>Quar</v>
      </c>
      <c r="L21" t="str">
        <f>IF(ISNA(VLOOKUP(A21,REFCE!A:G,7,FALSE)),"",(VLOOKUP(A21,REFCE!A:G,7,FALSE)))</f>
        <v>S</v>
      </c>
    </row>
    <row r="22" spans="1:12" x14ac:dyDescent="0.25">
      <c r="A22" t="s">
        <v>74</v>
      </c>
      <c r="B22" s="6">
        <f>IF(VLOOKUP(A22,PALLETS!A:C,2,FALSE)="",0,VLOOKUP(A22,PALLETS!A:C,2,FALSE))</f>
        <v>0</v>
      </c>
      <c r="C22" s="6">
        <f t="shared" si="3"/>
        <v>0</v>
      </c>
      <c r="D22" s="6">
        <f>IF(VLOOKUP(A22,PALLETS!A:C,3,FALSE)=0,0,(VLOOKUP(A22,PALLETS!A:C,3,FALSE))/C22)</f>
        <v>0</v>
      </c>
      <c r="E22" s="6">
        <f t="shared" si="4"/>
        <v>0</v>
      </c>
      <c r="F22" t="str">
        <f>IF(ISNA(VLOOKUP(A22,REFCE!A:D,3,FALSE)),"",(VLOOKUP(A22,REFCE!A:D,3,FALSE)))</f>
        <v>Aluminum</v>
      </c>
      <c r="G22" s="75">
        <f>IF(A22="",0,VLOOKUP(A22,REFCE!A:D,2,FALSE))</f>
        <v>2.5000000000000001E-2</v>
      </c>
      <c r="H22" s="2">
        <f t="shared" si="5"/>
        <v>0</v>
      </c>
      <c r="I22" t="str">
        <f>IF(ISNA(VLOOKUP(A22,REFCE!A:D,3,FALSE)),"",(VLOOKUP(A22,REFCE!A:D,3,FALSE)))</f>
        <v>Aluminum</v>
      </c>
      <c r="J22" s="12" t="str">
        <f>IF(ISNA(VLOOKUP(A22,REFCE!A:D,4,FALSE)),"",(VLOOKUP(A22,REFCE!A:D,4,FALSE)))</f>
        <v>HDS1000</v>
      </c>
      <c r="K22" t="str">
        <f>IF(ISNA(VLOOKUP(A22,REFCE!A:G,5,FALSE)),"",(VLOOKUP(A22,REFCE!A:G,5,FALSE)))</f>
        <v>Quar</v>
      </c>
      <c r="L22" t="str">
        <f>IF(ISNA(VLOOKUP(A22,REFCE!A:G,7,FALSE)),"",(VLOOKUP(A22,REFCE!A:G,7,FALSE)))</f>
        <v>S</v>
      </c>
    </row>
    <row r="23" spans="1:12" x14ac:dyDescent="0.25">
      <c r="A23" t="s">
        <v>193</v>
      </c>
      <c r="B23" s="6">
        <f>IF(VLOOKUP(A23,PALLETS!A:C,2,FALSE)="",0,VLOOKUP(A23,PALLETS!A:C,2,FALSE))</f>
        <v>0</v>
      </c>
      <c r="C23" s="6">
        <f t="shared" si="3"/>
        <v>0</v>
      </c>
      <c r="D23" s="6">
        <f>IF(VLOOKUP(A23,PALLETS!A:C,3,FALSE)=0,0,(VLOOKUP(A23,PALLETS!A:C,3,FALSE))/C23)</f>
        <v>0</v>
      </c>
      <c r="E23" s="6">
        <f t="shared" si="4"/>
        <v>0</v>
      </c>
      <c r="F23" t="str">
        <f>IF(ISNA(VLOOKUP(A23,REFCE!A:D,3,FALSE)),"",(VLOOKUP(A23,REFCE!A:D,3,FALSE)))</f>
        <v>Mixed Metals</v>
      </c>
      <c r="G23" s="75">
        <f>IF(A23="",0,VLOOKUP(A23,REFCE!A:D,2,FALSE))</f>
        <v>2.5000000000000001E-2</v>
      </c>
      <c r="H23" s="2">
        <f t="shared" si="5"/>
        <v>0</v>
      </c>
      <c r="I23" t="str">
        <f>IF(ISNA(VLOOKUP(A23,REFCE!A:D,3,FALSE)),"",(VLOOKUP(A23,REFCE!A:D,3,FALSE)))</f>
        <v>Mixed Metals</v>
      </c>
      <c r="J23" s="12" t="str">
        <f>IF(ISNA(VLOOKUP(A23,REFCE!A:D,4,FALSE)),"",(VLOOKUP(A23,REFCE!A:D,4,FALSE)))</f>
        <v>FLP1000</v>
      </c>
      <c r="K23" t="str">
        <f>IF(ISNA(VLOOKUP(A23,REFCE!A:G,5,FALSE)),"",(VLOOKUP(A23,REFCE!A:G,5,FALSE)))</f>
        <v>Quar</v>
      </c>
      <c r="L23" t="str">
        <f>IF(ISNA(VLOOKUP(A23,REFCE!A:G,7,FALSE)),"",(VLOOKUP(A23,REFCE!A:G,7,FALSE)))</f>
        <v>S</v>
      </c>
    </row>
    <row r="24" spans="1:12" x14ac:dyDescent="0.25">
      <c r="A24" t="s">
        <v>262</v>
      </c>
      <c r="B24" s="6">
        <f>IF(VLOOKUP(A24,PALLETS!A:C,2,FALSE)="",0,VLOOKUP(A24,PALLETS!A:C,2,FALSE))</f>
        <v>0</v>
      </c>
      <c r="C24" s="6">
        <f t="shared" si="3"/>
        <v>0</v>
      </c>
      <c r="D24" s="6">
        <f>IF(VLOOKUP(A24,PALLETS!A:C,3,FALSE)=0,0,(VLOOKUP(A24,PALLETS!A:C,3,FALSE))/C24)</f>
        <v>0</v>
      </c>
      <c r="E24" s="6">
        <f t="shared" si="4"/>
        <v>0</v>
      </c>
      <c r="F24" t="str">
        <f>IF(ISNA(VLOOKUP(A24,REFCE!A:D,3,FALSE)),"",(VLOOKUP(A24,REFCE!A:D,3,FALSE)))</f>
        <v>Steel</v>
      </c>
      <c r="G24" s="75">
        <f>IF(A24="",0,VLOOKUP(A24,REFCE!A:D,2,FALSE))</f>
        <v>2.5000000000000001E-2</v>
      </c>
      <c r="H24" s="2">
        <f t="shared" si="5"/>
        <v>0</v>
      </c>
      <c r="I24" t="str">
        <f>IF(ISNA(VLOOKUP(A24,REFCE!A:D,3,FALSE)),"",(VLOOKUP(A24,REFCE!A:D,3,FALSE)))</f>
        <v>Steel</v>
      </c>
      <c r="J24" s="12" t="str">
        <f>IF(ISNA(VLOOKUP(A24,REFCE!A:D,4,FALSE)),"",(VLOOKUP(A24,REFCE!A:D,4,FALSE)))</f>
        <v>EGM1000</v>
      </c>
      <c r="K24" t="str">
        <f>IF(ISNA(VLOOKUP(A24,REFCE!A:G,5,FALSE)),"",(VLOOKUP(A24,REFCE!A:G,5,FALSE)))</f>
        <v>Quar</v>
      </c>
      <c r="L24" t="str">
        <f>IF(ISNA(VLOOKUP(A24,REFCE!A:G,7,FALSE)),"",(VLOOKUP(A24,REFCE!A:G,7,FALSE)))</f>
        <v>S</v>
      </c>
    </row>
    <row r="25" spans="1:12" x14ac:dyDescent="0.25">
      <c r="A25" t="s">
        <v>73</v>
      </c>
      <c r="B25" s="6">
        <f>IF(VLOOKUP(A25,PALLETS!A:C,2,FALSE)="",0,VLOOKUP(A25,PALLETS!A:C,2,FALSE))</f>
        <v>0</v>
      </c>
      <c r="C25" s="6">
        <f t="shared" si="3"/>
        <v>0</v>
      </c>
      <c r="D25" s="6">
        <f>IF(VLOOKUP(A25,PALLETS!A:C,3,FALSE)=0,0,(VLOOKUP(A25,PALLETS!A:C,3,FALSE))/C25)</f>
        <v>0</v>
      </c>
      <c r="E25" s="6">
        <f t="shared" si="4"/>
        <v>0</v>
      </c>
      <c r="F25" t="str">
        <f>IF(ISNA(VLOOKUP(A25,REFCE!A:D,3,FALSE)),"",(VLOOKUP(A25,REFCE!A:D,3,FALSE)))</f>
        <v>Mixed Metals</v>
      </c>
      <c r="G25" s="75">
        <f>IF(A25="",0,VLOOKUP(A25,REFCE!A:D,2,FALSE))</f>
        <v>2.5000000000000001E-2</v>
      </c>
      <c r="H25" s="2">
        <f t="shared" si="5"/>
        <v>0</v>
      </c>
      <c r="I25" t="str">
        <f>IF(ISNA(VLOOKUP(A25,REFCE!A:D,3,FALSE)),"",(VLOOKUP(A25,REFCE!A:D,3,FALSE)))</f>
        <v>Mixed Metals</v>
      </c>
      <c r="J25" s="12" t="str">
        <f>IF(ISNA(VLOOKUP(A25,REFCE!A:D,4,FALSE)),"",(VLOOKUP(A25,REFCE!A:D,4,FALSE)))</f>
        <v>SCR-STEEL</v>
      </c>
      <c r="K25" t="str">
        <f>IF(ISNA(VLOOKUP(A25,REFCE!A:G,5,FALSE)),"",(VLOOKUP(A25,REFCE!A:G,5,FALSE)))</f>
        <v>Scrap</v>
      </c>
      <c r="L25" t="str">
        <f>IF(ISNA(VLOOKUP(A25,REFCE!A:G,7,FALSE)),"",(VLOOKUP(A25,REFCE!A:G,7,FALSE)))</f>
        <v>S</v>
      </c>
    </row>
    <row r="26" spans="1:12" x14ac:dyDescent="0.25">
      <c r="A26" t="s">
        <v>45</v>
      </c>
      <c r="B26" s="6">
        <f>IF(VLOOKUP(A26,PALLETS!A:C,2,FALSE)="",0,VLOOKUP(A26,PALLETS!A:C,2,FALSE))</f>
        <v>0</v>
      </c>
      <c r="C26" s="6">
        <f t="shared" si="3"/>
        <v>0</v>
      </c>
      <c r="D26" s="6">
        <f>IF(VLOOKUP(A26,PALLETS!A:C,3,FALSE)=0,0,(VLOOKUP(A26,PALLETS!A:C,3,FALSE))/C26)</f>
        <v>0</v>
      </c>
      <c r="E26" s="6">
        <f t="shared" si="4"/>
        <v>0</v>
      </c>
      <c r="F26" t="str">
        <f>IF(ISNA(VLOOKUP(A26,REFCE!A:D,3,FALSE)),"",(VLOOKUP(A26,REFCE!A:D,3,FALSE)))</f>
        <v>Aluminum</v>
      </c>
      <c r="G26" s="75">
        <f>IF(A26="",0,VLOOKUP(A26,REFCE!A:D,2,FALSE))</f>
        <v>2.5000000000000001E-2</v>
      </c>
      <c r="H26" s="2">
        <f t="shared" si="5"/>
        <v>0</v>
      </c>
      <c r="I26" t="str">
        <f>IF(ISNA(VLOOKUP(A26,REFCE!A:D,3,FALSE)),"",(VLOOKUP(A26,REFCE!A:D,3,FALSE)))</f>
        <v>Aluminum</v>
      </c>
      <c r="J26" s="12" t="str">
        <f>IF(ISNA(VLOOKUP(A26,REFCE!A:D,4,FALSE)),"",(VLOOKUP(A26,REFCE!A:D,4,FALSE)))</f>
        <v>SCR-ALUM</v>
      </c>
      <c r="K26" t="str">
        <f>IF(ISNA(VLOOKUP(A26,REFCE!A:G,5,FALSE)),"",(VLOOKUP(A26,REFCE!A:G,5,FALSE)))</f>
        <v>Scrap</v>
      </c>
      <c r="L26" t="str">
        <f>IF(ISNA(VLOOKUP(A26,REFCE!A:G,7,FALSE)),"",(VLOOKUP(A26,REFCE!A:G,7,FALSE)))</f>
        <v>CA</v>
      </c>
    </row>
    <row r="27" spans="1:12" x14ac:dyDescent="0.25">
      <c r="A27" t="s">
        <v>204</v>
      </c>
      <c r="B27" s="6">
        <f>IF(VLOOKUP(A27,PALLETS!A:C,2,FALSE)="",0,VLOOKUP(A27,PALLETS!A:C,2,FALSE))</f>
        <v>0</v>
      </c>
      <c r="C27" s="6">
        <f t="shared" si="3"/>
        <v>0</v>
      </c>
      <c r="D27" s="6">
        <f>IF(VLOOKUP(A27,PALLETS!A:C,3,FALSE)=0,0,(VLOOKUP(A27,PALLETS!A:C,3,FALSE))/C27)</f>
        <v>0</v>
      </c>
      <c r="E27" s="6">
        <f t="shared" si="4"/>
        <v>0</v>
      </c>
      <c r="F27" t="str">
        <f>IF(ISNA(VLOOKUP(A27,REFCE!A:D,3,FALSE)),"",(VLOOKUP(A27,REFCE!A:D,3,FALSE)))</f>
        <v>Mixed Metals</v>
      </c>
      <c r="G27" s="75">
        <f>IF(A27="",0,VLOOKUP(A27,REFCE!A:D,2,FALSE))</f>
        <v>2.5000000000000001E-2</v>
      </c>
      <c r="H27" s="2">
        <f t="shared" si="5"/>
        <v>0</v>
      </c>
      <c r="I27" t="str">
        <f>IF(ISNA(VLOOKUP(A27,REFCE!A:D,3,FALSE)),"",(VLOOKUP(A27,REFCE!A:D,3,FALSE)))</f>
        <v>Mixed Metals</v>
      </c>
      <c r="J27" s="12" t="s">
        <v>334</v>
      </c>
      <c r="K27" t="str">
        <f>IF(ISNA(VLOOKUP(A27,REFCE!A:G,5,FALSE)),"",(VLOOKUP(A27,REFCE!A:G,5,FALSE)))</f>
        <v>Quar</v>
      </c>
      <c r="L27" t="str">
        <f>IF(ISNA(VLOOKUP(A27,REFCE!A:G,7,FALSE)),"",(VLOOKUP(A27,REFCE!A:G,7,FALSE)))</f>
        <v>S</v>
      </c>
    </row>
    <row r="28" spans="1:12" x14ac:dyDescent="0.25">
      <c r="A28" t="s">
        <v>250</v>
      </c>
      <c r="B28" s="6">
        <f>IF(VLOOKUP(A28,PALLETS!A:C,2,FALSE)="",0,VLOOKUP(A28,PALLETS!A:C,2,FALSE))</f>
        <v>0</v>
      </c>
      <c r="C28" s="6">
        <f t="shared" si="3"/>
        <v>0</v>
      </c>
      <c r="D28" s="6">
        <f>IF(VLOOKUP(A28,PALLETS!A:C,3,FALSE)=0,0,(VLOOKUP(A28,PALLETS!A:C,3,FALSE))/C28)</f>
        <v>0</v>
      </c>
      <c r="E28" s="6">
        <f t="shared" si="4"/>
        <v>0</v>
      </c>
      <c r="F28" t="str">
        <f>IF(ISNA(VLOOKUP(A28,REFCE!A:D,3,FALSE)),"",(VLOOKUP(A28,REFCE!A:D,3,FALSE)))</f>
        <v>Steel</v>
      </c>
      <c r="G28" s="75">
        <f>IF(A28="",0,VLOOKUP(A28,REFCE!A:D,2,FALSE))</f>
        <v>2.5000000000000001E-2</v>
      </c>
      <c r="H28" s="2">
        <f t="shared" si="5"/>
        <v>0</v>
      </c>
      <c r="I28" t="str">
        <f>IF(ISNA(VLOOKUP(A28,REFCE!A:D,3,FALSE)),"",(VLOOKUP(A28,REFCE!A:D,3,FALSE)))</f>
        <v>Steel</v>
      </c>
      <c r="J28" s="12" t="str">
        <f>IF(ISNA(VLOOKUP(A28,REFCE!A:D,4,FALSE)),"",(VLOOKUP(A28,REFCE!A:D,4,FALSE)))</f>
        <v>MCL1000</v>
      </c>
      <c r="K28" t="str">
        <f>IF(ISNA(VLOOKUP(A28,REFCE!A:G,5,FALSE)),"",(VLOOKUP(A28,REFCE!A:G,5,FALSE)))</f>
        <v>Quar</v>
      </c>
      <c r="L28" t="str">
        <f>IF(ISNA(VLOOKUP(A28,REFCE!A:G,7,FALSE)),"",(VLOOKUP(A28,REFCE!A:G,7,FALSE)))</f>
        <v>S</v>
      </c>
    </row>
    <row r="29" spans="1:12" x14ac:dyDescent="0.25">
      <c r="A29" t="s">
        <v>272</v>
      </c>
      <c r="B29" s="6">
        <f>IF(VLOOKUP(A29,PALLETS!A:C,2,FALSE)="",0,VLOOKUP(A29,PALLETS!A:C,2,FALSE))</f>
        <v>0</v>
      </c>
      <c r="C29" s="6">
        <f t="shared" si="3"/>
        <v>0</v>
      </c>
      <c r="D29" s="6">
        <f>IF(VLOOKUP(A29,PALLETS!A:C,3,FALSE)=0,0,(VLOOKUP(A29,PALLETS!A:C,3,FALSE))/C29)</f>
        <v>0</v>
      </c>
      <c r="E29" s="6">
        <f t="shared" si="4"/>
        <v>0</v>
      </c>
      <c r="F29" t="str">
        <f>IF(ISNA(VLOOKUP(A29,REFCE!A:D,3,FALSE)),"",(VLOOKUP(A29,REFCE!A:D,3,FALSE)))</f>
        <v>Mixed Metals</v>
      </c>
      <c r="G29" s="75">
        <f>IF(A29="",0,VLOOKUP(A29,REFCE!A:D,2,FALSE))</f>
        <v>2.5000000000000001E-2</v>
      </c>
      <c r="H29" s="2">
        <f t="shared" si="5"/>
        <v>0</v>
      </c>
      <c r="I29" t="str">
        <f>IF(ISNA(VLOOKUP(A29,REFCE!A:D,3,FALSE)),"",(VLOOKUP(A29,REFCE!A:D,3,FALSE)))</f>
        <v>Mixed Metals</v>
      </c>
      <c r="J29" s="12" t="str">
        <f>IF(ISNA(VLOOKUP(A29,REFCE!A:D,4,FALSE)),"",(VLOOKUP(A29,REFCE!A:D,4,FALSE)))</f>
        <v>PBB1000</v>
      </c>
      <c r="K29" t="str">
        <f>IF(ISNA(VLOOKUP(A29,REFCE!A:G,5,FALSE)),"",(VLOOKUP(A29,REFCE!A:G,5,FALSE)))</f>
        <v>Quar</v>
      </c>
      <c r="L29" t="str">
        <f>IF(ISNA(VLOOKUP(A29,REFCE!A:G,7,FALSE)),"",(VLOOKUP(A29,REFCE!A:G,7,FALSE)))</f>
        <v>S</v>
      </c>
    </row>
    <row r="30" spans="1:12" x14ac:dyDescent="0.25">
      <c r="A30" t="s">
        <v>263</v>
      </c>
      <c r="B30" s="6">
        <f>IF(VLOOKUP(A30,PALLETS!A:C,2,FALSE)="",0,VLOOKUP(A30,PALLETS!A:C,2,FALSE))</f>
        <v>0</v>
      </c>
      <c r="C30" s="6">
        <f t="shared" si="3"/>
        <v>0</v>
      </c>
      <c r="D30" s="6">
        <f>IF(VLOOKUP(A30,PALLETS!A:C,3,FALSE)=0,0,(VLOOKUP(A30,PALLETS!A:C,3,FALSE))/C30)</f>
        <v>0</v>
      </c>
      <c r="E30" s="6">
        <f t="shared" si="4"/>
        <v>0</v>
      </c>
      <c r="F30" t="str">
        <f>IF(ISNA(VLOOKUP(A30,REFCE!A:D,3,FALSE)),"",(VLOOKUP(A30,REFCE!A:D,3,FALSE)))</f>
        <v>Mixed Metals</v>
      </c>
      <c r="G30" s="75">
        <f>IF(A30="",0,VLOOKUP(A30,REFCE!A:D,2,FALSE))</f>
        <v>2.5000000000000001E-2</v>
      </c>
      <c r="H30" s="2">
        <f t="shared" si="5"/>
        <v>0</v>
      </c>
      <c r="I30" t="str">
        <f>IF(ISNA(VLOOKUP(A30,REFCE!A:D,3,FALSE)),"",(VLOOKUP(A30,REFCE!A:D,3,FALSE)))</f>
        <v>Mixed Metals</v>
      </c>
      <c r="J30" s="12" t="str">
        <f>IF(ISNA(VLOOKUP(A30,REFCE!A:D,4,FALSE)),"",(VLOOKUP(A30,REFCE!A:D,4,FALSE)))</f>
        <v>PBB1000C</v>
      </c>
      <c r="K30" t="str">
        <f>IF(ISNA(VLOOKUP(A30,REFCE!A:G,5,FALSE)),"",(VLOOKUP(A30,REFCE!A:G,5,FALSE)))</f>
        <v>Quar</v>
      </c>
      <c r="L30" t="str">
        <f>IF(ISNA(VLOOKUP(A30,REFCE!A:G,7,FALSE)),"",(VLOOKUP(A30,REFCE!A:G,7,FALSE)))</f>
        <v>S</v>
      </c>
    </row>
    <row r="31" spans="1:12" x14ac:dyDescent="0.25">
      <c r="A31" t="s">
        <v>47</v>
      </c>
      <c r="B31" s="6">
        <f>IF(VLOOKUP(A31,PALLETS!A:C,2,FALSE)="",0,VLOOKUP(A31,PALLETS!A:C,2,FALSE))</f>
        <v>0</v>
      </c>
      <c r="C31" s="6">
        <f t="shared" si="3"/>
        <v>0</v>
      </c>
      <c r="D31" s="6">
        <f>IF(VLOOKUP(A31,PALLETS!A:C,3,FALSE)=0,0,(VLOOKUP(A31,PALLETS!A:C,3,FALSE))/C31)</f>
        <v>0</v>
      </c>
      <c r="E31" s="6">
        <f t="shared" si="4"/>
        <v>0</v>
      </c>
      <c r="F31" t="str">
        <f>IF(ISNA(VLOOKUP(A31,REFCE!A:D,3,FALSE)),"",(VLOOKUP(A31,REFCE!A:D,3,FALSE)))</f>
        <v>Steel</v>
      </c>
      <c r="G31" s="75">
        <f>IF(A31="",0,VLOOKUP(A31,REFCE!A:D,2,FALSE))</f>
        <v>2.5000000000000001E-2</v>
      </c>
      <c r="H31" s="2">
        <f t="shared" si="5"/>
        <v>0</v>
      </c>
      <c r="I31" t="str">
        <f>IF(ISNA(VLOOKUP(A31,REFCE!A:D,3,FALSE)),"",(VLOOKUP(A31,REFCE!A:D,3,FALSE)))</f>
        <v>Steel</v>
      </c>
      <c r="J31" s="12" t="str">
        <f>IF(ISNA(VLOOKUP(A31,REFCE!A:D,4,FALSE)),"",(VLOOKUP(A31,REFCE!A:D,4,FALSE)))</f>
        <v>PSP1000</v>
      </c>
      <c r="K31" t="str">
        <f>IF(ISNA(VLOOKUP(A31,REFCE!A:G,5,FALSE)),"",(VLOOKUP(A31,REFCE!A:G,5,FALSE)))</f>
        <v>Quar</v>
      </c>
      <c r="L31" t="str">
        <f>IF(ISNA(VLOOKUP(A31,REFCE!A:G,7,FALSE)),"",(VLOOKUP(A31,REFCE!A:G,7,FALSE)))</f>
        <v>S</v>
      </c>
    </row>
    <row r="32" spans="1:12" x14ac:dyDescent="0.25">
      <c r="A32" t="s">
        <v>48</v>
      </c>
      <c r="B32" s="6">
        <f>IF(VLOOKUP(A32,PALLETS!A:C,2,FALSE)="",0,VLOOKUP(A32,PALLETS!A:C,2,FALSE))</f>
        <v>0</v>
      </c>
      <c r="C32" s="6">
        <f t="shared" si="3"/>
        <v>0</v>
      </c>
      <c r="D32" s="6">
        <f>IF(VLOOKUP(A32,PALLETS!A:C,3,FALSE)=0,0,(VLOOKUP(A32,PALLETS!A:C,3,FALSE))/C32)</f>
        <v>0</v>
      </c>
      <c r="E32" s="6">
        <f t="shared" si="4"/>
        <v>0</v>
      </c>
      <c r="F32" t="str">
        <f>IF(ISNA(VLOOKUP(A32,REFCE!A:D,3,FALSE)),"",(VLOOKUP(A32,REFCE!A:D,3,FALSE)))</f>
        <v>Steel</v>
      </c>
      <c r="G32" s="75">
        <f>IF(A32="",0,VLOOKUP(A32,REFCE!A:D,2,FALSE))</f>
        <v>2.5000000000000001E-2</v>
      </c>
      <c r="H32" s="2">
        <f t="shared" si="5"/>
        <v>0</v>
      </c>
      <c r="I32" t="str">
        <f>IF(ISNA(VLOOKUP(A32,REFCE!A:D,3,FALSE)),"",(VLOOKUP(A32,REFCE!A:D,3,FALSE)))</f>
        <v>Steel</v>
      </c>
      <c r="J32" s="12" t="str">
        <f>IF(ISNA(VLOOKUP(A32,REFCE!A:D,4,FALSE)),"",(VLOOKUP(A32,REFCE!A:D,4,FALSE)))</f>
        <v>PRP1000</v>
      </c>
      <c r="K32" t="str">
        <f>IF(ISNA(VLOOKUP(A32,REFCE!A:G,5,FALSE)),"",(VLOOKUP(A32,REFCE!A:G,5,FALSE)))</f>
        <v>Quar</v>
      </c>
      <c r="L32" t="str">
        <f>IF(ISNA(VLOOKUP(A32,REFCE!A:G,7,FALSE)),"",(VLOOKUP(A32,REFCE!A:G,7,FALSE)))</f>
        <v>S</v>
      </c>
    </row>
    <row r="33" spans="1:12" x14ac:dyDescent="0.25">
      <c r="A33" t="s">
        <v>49</v>
      </c>
      <c r="B33" s="6">
        <f>IF(VLOOKUP(A33,PALLETS!A:C,2,FALSE)="",0,VLOOKUP(A33,PALLETS!A:C,2,FALSE))</f>
        <v>0</v>
      </c>
      <c r="C33" s="6">
        <f t="shared" si="3"/>
        <v>0</v>
      </c>
      <c r="D33" s="6">
        <f>IF(VLOOKUP(A33,PALLETS!A:C,3,FALSE)=0,0,(VLOOKUP(A33,PALLETS!A:C,3,FALSE))/C33)</f>
        <v>0</v>
      </c>
      <c r="E33" s="6">
        <f t="shared" si="4"/>
        <v>0</v>
      </c>
      <c r="F33" t="str">
        <f>IF(ISNA(VLOOKUP(A33,REFCE!A:D,3,FALSE)),"",(VLOOKUP(A33,REFCE!A:D,3,FALSE)))</f>
        <v>Aluminum</v>
      </c>
      <c r="G33" s="75">
        <f>IF(A33="",0,VLOOKUP(A33,REFCE!A:D,2,FALSE))</f>
        <v>2.5000000000000001E-2</v>
      </c>
      <c r="H33" s="2">
        <f t="shared" si="5"/>
        <v>0</v>
      </c>
      <c r="I33" t="str">
        <f>IF(ISNA(VLOOKUP(A33,REFCE!A:D,3,FALSE)),"",(VLOOKUP(A33,REFCE!A:D,3,FALSE)))</f>
        <v>Aluminum</v>
      </c>
      <c r="J33" s="12" t="str">
        <f>IF(ISNA(VLOOKUP(A33,REFCE!A:D,4,FALSE)),"",(VLOOKUP(A33,REFCE!A:D,4,FALSE)))</f>
        <v>SCR-ALUM</v>
      </c>
      <c r="K33" t="str">
        <f>IF(ISNA(VLOOKUP(A33,REFCE!A:G,5,FALSE)),"",(VLOOKUP(A33,REFCE!A:G,5,FALSE)))</f>
        <v>Scrap</v>
      </c>
      <c r="L33" t="str">
        <f>IF(ISNA(VLOOKUP(A33,REFCE!A:G,7,FALSE)),"",(VLOOKUP(A33,REFCE!A:G,7,FALSE)))</f>
        <v>CA</v>
      </c>
    </row>
    <row r="34" spans="1:12" x14ac:dyDescent="0.25">
      <c r="A34" t="s">
        <v>253</v>
      </c>
      <c r="B34" s="6">
        <f>IF(VLOOKUP(A34,PALLETS!A:C,2,FALSE)="",0,VLOOKUP(A34,PALLETS!A:C,2,FALSE))</f>
        <v>0</v>
      </c>
      <c r="C34" s="6">
        <f t="shared" si="3"/>
        <v>0</v>
      </c>
      <c r="D34" s="6">
        <f>IF(VLOOKUP(A34,PALLETS!A:C,3,FALSE)=0,0,(VLOOKUP(A34,PALLETS!A:C,3,FALSE))/C34)</f>
        <v>0</v>
      </c>
      <c r="E34" s="6">
        <f t="shared" si="4"/>
        <v>0</v>
      </c>
      <c r="F34" t="str">
        <f>IF(ISNA(VLOOKUP(A34,REFCE!A:D,3,FALSE)),"",(VLOOKUP(A34,REFCE!A:D,3,FALSE)))</f>
        <v>Mixed Metals</v>
      </c>
      <c r="G34" s="75">
        <f>IF(A34="",0,VLOOKUP(A34,REFCE!A:D,2,FALSE))</f>
        <v>2.5000000000000001E-2</v>
      </c>
      <c r="H34" s="2">
        <f t="shared" si="5"/>
        <v>0</v>
      </c>
      <c r="I34" t="str">
        <f>IF(ISNA(VLOOKUP(A34,REFCE!A:D,3,FALSE)),"",(VLOOKUP(A34,REFCE!A:D,3,FALSE)))</f>
        <v>Mixed Metals</v>
      </c>
      <c r="J34" s="12" t="str">
        <f>IF(ISNA(VLOOKUP(A34,REFCE!A:D,4,FALSE)),"",(VLOOKUP(A34,REFCE!A:D,4,FALSE)))</f>
        <v>STS1000</v>
      </c>
      <c r="K34" t="str">
        <f>IF(ISNA(VLOOKUP(A34,REFCE!A:G,5,FALSE)),"",(VLOOKUP(A34,REFCE!A:G,5,FALSE)))</f>
        <v>Quar</v>
      </c>
      <c r="L34" t="str">
        <f>IF(ISNA(VLOOKUP(A34,REFCE!A:G,7,FALSE)),"",(VLOOKUP(A34,REFCE!A:G,7,FALSE)))</f>
        <v>S</v>
      </c>
    </row>
    <row r="35" spans="1:12" x14ac:dyDescent="0.25">
      <c r="A35" t="s">
        <v>195</v>
      </c>
      <c r="B35" s="6">
        <f>IF(VLOOKUP(A35,PALLETS!A:C,2,FALSE)="",0,VLOOKUP(A35,PALLETS!A:C,2,FALSE))</f>
        <v>0</v>
      </c>
      <c r="C35" s="6">
        <f t="shared" si="3"/>
        <v>0</v>
      </c>
      <c r="D35" s="6">
        <f>IF(VLOOKUP(A35,PALLETS!A:C,3,FALSE)=0,0,(VLOOKUP(A35,PALLETS!A:C,3,FALSE))/C35)</f>
        <v>0</v>
      </c>
      <c r="E35" s="6">
        <f t="shared" si="4"/>
        <v>0</v>
      </c>
      <c r="F35" t="str">
        <f>IF(ISNA(VLOOKUP(A35,REFCE!A:D,3,FALSE)),"",(VLOOKUP(A35,REFCE!A:D,3,FALSE)))</f>
        <v>E-Waste</v>
      </c>
      <c r="G35" s="75">
        <f>IF(A35="",0,VLOOKUP(A35,REFCE!A:D,2,FALSE))</f>
        <v>2.5000000000000001E-2</v>
      </c>
      <c r="H35" s="2">
        <f t="shared" si="5"/>
        <v>0</v>
      </c>
      <c r="I35" t="str">
        <f>IF(ISNA(VLOOKUP(A35,REFCE!A:D,3,FALSE)),"",(VLOOKUP(A35,REFCE!A:D,3,FALSE)))</f>
        <v>E-Waste</v>
      </c>
      <c r="J35" s="12" t="str">
        <f>IF(ISNA(VLOOKUP(A35,REFCE!A:D,4,FALSE)),"",(VLOOKUP(A35,REFCE!A:D,4,FALSE)))</f>
        <v>SPP1000</v>
      </c>
      <c r="K35" t="str">
        <f>IF(ISNA(VLOOKUP(A35,REFCE!A:G,5,FALSE)),"",(VLOOKUP(A35,REFCE!A:G,5,FALSE)))</f>
        <v>Quar</v>
      </c>
      <c r="L35" t="str">
        <f>IF(ISNA(VLOOKUP(A35,REFCE!A:G,7,FALSE)),"",(VLOOKUP(A35,REFCE!A:G,7,FALSE)))</f>
        <v>s</v>
      </c>
    </row>
    <row r="36" spans="1:12" x14ac:dyDescent="0.25">
      <c r="A36" t="s">
        <v>50</v>
      </c>
      <c r="B36" s="6">
        <f>IF(VLOOKUP(A36,PALLETS!A:C,2,FALSE)="",0,VLOOKUP(A36,PALLETS!A:C,2,FALSE))</f>
        <v>0</v>
      </c>
      <c r="C36" s="6">
        <f t="shared" si="3"/>
        <v>0</v>
      </c>
      <c r="D36" s="6">
        <f>IF(VLOOKUP(A36,PALLETS!A:C,3,FALSE)=0,0,(VLOOKUP(A36,PALLETS!A:C,3,FALSE))/C36)</f>
        <v>0</v>
      </c>
      <c r="E36" s="6">
        <f t="shared" si="4"/>
        <v>0</v>
      </c>
      <c r="F36" t="str">
        <f>IF(ISNA(VLOOKUP(A36,REFCE!A:D,3,FALSE)),"",(VLOOKUP(A36,REFCE!A:D,3,FALSE)))</f>
        <v>Mixed Metals</v>
      </c>
      <c r="G36" s="75">
        <f>IF(A36="",0,VLOOKUP(A36,REFCE!A:D,2,FALSE))</f>
        <v>2.5000000000000001E-2</v>
      </c>
      <c r="H36" s="2">
        <f t="shared" si="5"/>
        <v>0</v>
      </c>
      <c r="I36" t="str">
        <f>IF(ISNA(VLOOKUP(A36,REFCE!A:D,3,FALSE)),"",(VLOOKUP(A36,REFCE!A:D,3,FALSE)))</f>
        <v>Mixed Metals</v>
      </c>
      <c r="J36" s="12" t="str">
        <f>IF(ISNA(VLOOKUP(A36,REFCE!A:D,4,FALSE)),"",(VLOOKUP(A36,REFCE!A:D,4,FALSE)))</f>
        <v>STR1000</v>
      </c>
      <c r="K36" t="str">
        <f>IF(ISNA(VLOOKUP(A36,REFCE!A:G,5,FALSE)),"",(VLOOKUP(A36,REFCE!A:G,5,FALSE)))</f>
        <v>Quar</v>
      </c>
      <c r="L36" t="str">
        <f>IF(ISNA(VLOOKUP(A36,REFCE!A:G,7,FALSE)),"",(VLOOKUP(A36,REFCE!A:G,7,FALSE)))</f>
        <v>S</v>
      </c>
    </row>
    <row r="37" spans="1:12" x14ac:dyDescent="0.25">
      <c r="A37" t="s">
        <v>51</v>
      </c>
      <c r="B37" s="6">
        <f>IF(VLOOKUP(A37,PALLETS!A:C,2,FALSE)="",0,VLOOKUP(A37,PALLETS!A:C,2,FALSE))</f>
        <v>0</v>
      </c>
      <c r="C37" s="6">
        <f t="shared" si="3"/>
        <v>0</v>
      </c>
      <c r="D37" s="6">
        <f>IF(VLOOKUP(A37,PALLETS!A:C,3,FALSE)=0,0,(VLOOKUP(A37,PALLETS!A:C,3,FALSE))/C37)</f>
        <v>0</v>
      </c>
      <c r="E37" s="6">
        <f t="shared" si="4"/>
        <v>0</v>
      </c>
      <c r="F37" t="str">
        <f>IF(ISNA(VLOOKUP(A37,REFCE!A:D,3,FALSE)),"",(VLOOKUP(A37,REFCE!A:D,3,FALSE)))</f>
        <v>Steel</v>
      </c>
      <c r="G37" s="75">
        <f>IF(A37="",0,VLOOKUP(A37,REFCE!A:D,2,FALSE))</f>
        <v>2.5000000000000001E-2</v>
      </c>
      <c r="H37" s="2">
        <f t="shared" si="5"/>
        <v>0</v>
      </c>
      <c r="I37" t="str">
        <f>IF(ISNA(VLOOKUP(A37,REFCE!A:D,3,FALSE)),"",(VLOOKUP(A37,REFCE!A:D,3,FALSE)))</f>
        <v>Steel</v>
      </c>
      <c r="J37" s="12" t="str">
        <f>IF(ISNA(VLOOKUP(A37,REFCE!A:D,4,FALSE)),"",(VLOOKUP(A37,REFCE!A:D,4,FALSE)))</f>
        <v>PSG1000</v>
      </c>
      <c r="K37" t="str">
        <f>IF(ISNA(VLOOKUP(A37,REFCE!A:G,5,FALSE)),"",(VLOOKUP(A37,REFCE!A:G,5,FALSE)))</f>
        <v>Quar</v>
      </c>
      <c r="L37" t="str">
        <f>IF(ISNA(VLOOKUP(A37,REFCE!A:G,7,FALSE)),"",(VLOOKUP(A37,REFCE!A:G,7,FALSE)))</f>
        <v>S</v>
      </c>
    </row>
    <row r="38" spans="1:12" x14ac:dyDescent="0.25">
      <c r="A38" t="s">
        <v>76</v>
      </c>
      <c r="B38" s="6">
        <f>IF(VLOOKUP(A38,PALLETS!A:C,2,FALSE)="",0,VLOOKUP(A38,PALLETS!A:C,2,FALSE))</f>
        <v>0</v>
      </c>
      <c r="C38" s="6">
        <f t="shared" si="3"/>
        <v>0</v>
      </c>
      <c r="D38" s="6">
        <f>IF(VLOOKUP(A38,PALLETS!A:C,3,FALSE)=0,0,(VLOOKUP(A38,PALLETS!A:C,3,FALSE))/C38)</f>
        <v>0</v>
      </c>
      <c r="E38" s="6">
        <f t="shared" si="4"/>
        <v>0</v>
      </c>
      <c r="F38" t="str">
        <f>IF(ISNA(VLOOKUP(A38,REFCE!A:D,3,FALSE)),"",(VLOOKUP(A38,REFCE!A:D,3,FALSE)))</f>
        <v>Mixed Metals</v>
      </c>
      <c r="G38" s="75">
        <f>IF(A38="",0,VLOOKUP(A38,REFCE!A:D,2,FALSE))</f>
        <v>2.5000000000000001E-2</v>
      </c>
      <c r="H38" s="2">
        <f t="shared" si="5"/>
        <v>0</v>
      </c>
      <c r="I38" t="str">
        <f>IF(ISNA(VLOOKUP(A38,REFCE!A:D,3,FALSE)),"",(VLOOKUP(A38,REFCE!A:D,3,FALSE)))</f>
        <v>Mixed Metals</v>
      </c>
      <c r="J38" s="12" t="str">
        <f>IF(ISNA(VLOOKUP(A38,REFCE!A:D,4,FALSE)),"",(VLOOKUP(A38,REFCE!A:D,4,FALSE)))</f>
        <v>TBC1000</v>
      </c>
      <c r="K38" t="str">
        <f>IF(ISNA(VLOOKUP(A38,REFCE!A:G,5,FALSE)),"",(VLOOKUP(A38,REFCE!A:G,5,FALSE)))</f>
        <v>Quar</v>
      </c>
      <c r="L38" t="str">
        <f>IF(ISNA(VLOOKUP(A38,REFCE!A:G,7,FALSE)),"",(VLOOKUP(A38,REFCE!A:G,7,FALSE)))</f>
        <v>S</v>
      </c>
    </row>
    <row r="39" spans="1:12" x14ac:dyDescent="0.25">
      <c r="A39" t="s">
        <v>78</v>
      </c>
      <c r="B39" s="6">
        <f>IF(VLOOKUP(A39,PALLETS!A:C,2,FALSE)="",0,VLOOKUP(A39,PALLETS!A:C,2,FALSE))</f>
        <v>0</v>
      </c>
      <c r="C39" s="6">
        <f t="shared" si="3"/>
        <v>0</v>
      </c>
      <c r="D39" s="6">
        <f>IF(VLOOKUP(A39,PALLETS!A:C,3,FALSE)=0,0,(VLOOKUP(A39,PALLETS!A:C,3,FALSE))/C39)</f>
        <v>0</v>
      </c>
      <c r="E39" s="6">
        <f t="shared" si="4"/>
        <v>0</v>
      </c>
      <c r="F39" t="str">
        <f>IF(ISNA(VLOOKUP(A39,REFCE!A:D,3,FALSE)),"",(VLOOKUP(A39,REFCE!A:D,3,FALSE)))</f>
        <v>Steel</v>
      </c>
      <c r="G39" s="75">
        <f>IF(A39="",0,VLOOKUP(A39,REFCE!A:D,2,FALSE))</f>
        <v>2.5000000000000001E-2</v>
      </c>
      <c r="H39" s="2">
        <f t="shared" si="5"/>
        <v>0</v>
      </c>
      <c r="I39" t="str">
        <f>IF(ISNA(VLOOKUP(A39,REFCE!A:D,3,FALSE)),"",(VLOOKUP(A39,REFCE!A:D,3,FALSE)))</f>
        <v>Steel</v>
      </c>
      <c r="J39" s="12" t="str">
        <f>IF(ISNA(VLOOKUP(A39,REFCE!A:D,4,FALSE)),"",(VLOOKUP(A39,REFCE!A:D,4,FALSE)))</f>
        <v>TOR1000</v>
      </c>
      <c r="K39" t="str">
        <f>IF(ISNA(VLOOKUP(A39,REFCE!A:G,5,FALSE)),"",(VLOOKUP(A39,REFCE!A:G,5,FALSE)))</f>
        <v>Quar</v>
      </c>
      <c r="L39" t="str">
        <f>IF(ISNA(VLOOKUP(A39,REFCE!A:G,7,FALSE)),"",(VLOOKUP(A39,REFCE!A:G,7,FALSE)))</f>
        <v>S</v>
      </c>
    </row>
    <row r="40" spans="1:12" x14ac:dyDescent="0.25">
      <c r="A40" t="s">
        <v>135</v>
      </c>
      <c r="B40" s="6">
        <f>IF(VLOOKUP(A40,PALLETS!A:C,2,FALSE)="",0,VLOOKUP(A40,PALLETS!A:C,2,FALSE))</f>
        <v>0</v>
      </c>
      <c r="C40" s="6">
        <f t="shared" si="3"/>
        <v>0</v>
      </c>
      <c r="D40" s="6">
        <f>IF(VLOOKUP(A40,PALLETS!A:C,3,FALSE)=0,0,(VLOOKUP(A40,PALLETS!A:C,3,FALSE))/C40)</f>
        <v>0</v>
      </c>
      <c r="E40" s="6">
        <f t="shared" si="4"/>
        <v>0</v>
      </c>
      <c r="F40" t="str">
        <f>IF(ISNA(VLOOKUP(A40,REFCE!A:D,3,FALSE)),"",(VLOOKUP(A40,REFCE!A:D,3,FALSE)))</f>
        <v>Aluminum</v>
      </c>
      <c r="G40" s="75">
        <f>IF(A40="",0,VLOOKUP(A40,REFCE!A:D,2,FALSE))</f>
        <v>2.5000000000000001E-2</v>
      </c>
      <c r="H40" s="2">
        <f t="shared" si="5"/>
        <v>0</v>
      </c>
      <c r="I40" t="str">
        <f>IF(ISNA(VLOOKUP(A40,REFCE!A:D,3,FALSE)),"",(VLOOKUP(A40,REFCE!A:D,3,FALSE)))</f>
        <v>Aluminum</v>
      </c>
      <c r="J40" s="12" t="str">
        <f>IF(ISNA(VLOOKUP(A40,REFCE!A:D,4,FALSE)),"",(VLOOKUP(A40,REFCE!A:D,4,FALSE)))</f>
        <v>TRC1000</v>
      </c>
      <c r="K40" t="str">
        <f>IF(ISNA(VLOOKUP(A40,REFCE!A:G,5,FALSE)),"",(VLOOKUP(A40,REFCE!A:G,5,FALSE)))</f>
        <v>Quar</v>
      </c>
      <c r="L40" t="str">
        <f>IF(ISNA(VLOOKUP(A40,REFCE!A:G,7,FALSE)),"",(VLOOKUP(A40,REFCE!A:G,7,FALSE)))</f>
        <v>S</v>
      </c>
    </row>
    <row r="41" spans="1:12" x14ac:dyDescent="0.25">
      <c r="A41" t="s">
        <v>52</v>
      </c>
      <c r="B41" s="6">
        <f>IF(VLOOKUP(A41,PALLETS!A:C,2,FALSE)="",0,VLOOKUP(A41,PALLETS!A:C,2,FALSE))</f>
        <v>0</v>
      </c>
      <c r="C41" s="6">
        <f t="shared" si="3"/>
        <v>0</v>
      </c>
      <c r="D41" s="6">
        <f>IF(VLOOKUP(A41,PALLETS!A:C,3,FALSE)=0,0,(VLOOKUP(A41,PALLETS!A:C,3,FALSE))/C41)</f>
        <v>0</v>
      </c>
      <c r="E41" s="6">
        <f t="shared" si="4"/>
        <v>0</v>
      </c>
      <c r="F41" t="str">
        <f>IF(ISNA(VLOOKUP(A41,REFCE!A:D,3,FALSE)),"",(VLOOKUP(A41,REFCE!A:D,3,FALSE)))</f>
        <v>Mixed Metals</v>
      </c>
      <c r="G41" s="75">
        <f>IF(A41="",0,VLOOKUP(A41,REFCE!A:D,2,FALSE))</f>
        <v>2.5000000000000001E-2</v>
      </c>
      <c r="H41" s="2">
        <f t="shared" si="5"/>
        <v>0</v>
      </c>
      <c r="I41" t="str">
        <f>IF(ISNA(VLOOKUP(A41,REFCE!A:D,3,FALSE)),"",(VLOOKUP(A41,REFCE!A:D,3,FALSE)))</f>
        <v>Mixed Metals</v>
      </c>
      <c r="J41" s="12" t="str">
        <f>IF(ISNA(VLOOKUP(A41,REFCE!A:D,4,FALSE)),"",(VLOOKUP(A41,REFCE!A:D,4,FALSE)))</f>
        <v>TRN1000</v>
      </c>
      <c r="K41" t="str">
        <f>IF(ISNA(VLOOKUP(A41,REFCE!A:G,5,FALSE)),"",(VLOOKUP(A41,REFCE!A:G,5,FALSE)))</f>
        <v>Quar</v>
      </c>
      <c r="L41" t="str">
        <f>IF(ISNA(VLOOKUP(A41,REFCE!A:G,7,FALSE)),"",(VLOOKUP(A41,REFCE!A:G,7,FALSE)))</f>
        <v>S</v>
      </c>
    </row>
    <row r="42" spans="1:12" x14ac:dyDescent="0.25">
      <c r="A42" t="s">
        <v>72</v>
      </c>
      <c r="B42" s="6">
        <f>IF(VLOOKUP(A42,PALLETS!A:C,2,FALSE)="",0,VLOOKUP(A42,PALLETS!A:C,2,FALSE))</f>
        <v>0</v>
      </c>
      <c r="C42" s="6">
        <f t="shared" si="3"/>
        <v>0</v>
      </c>
      <c r="D42" s="6">
        <f>IF(VLOOKUP(A42,PALLETS!A:C,3,FALSE)=0,0,(VLOOKUP(A42,PALLETS!A:C,3,FALSE))/C42)</f>
        <v>0</v>
      </c>
      <c r="E42" s="6">
        <f t="shared" si="4"/>
        <v>0</v>
      </c>
      <c r="F42" t="str">
        <f>IF(ISNA(VLOOKUP(A42,REFCE!A:D,3,FALSE)),"",(VLOOKUP(A42,REFCE!A:D,3,FALSE)))</f>
        <v>Mixed Metals</v>
      </c>
      <c r="G42" s="75">
        <f>IF(A42="",0,VLOOKUP(A42,REFCE!A:D,2,FALSE))</f>
        <v>2.5000000000000001E-2</v>
      </c>
      <c r="H42" s="2">
        <f t="shared" si="5"/>
        <v>0</v>
      </c>
      <c r="I42" t="str">
        <f>IF(ISNA(VLOOKUP(A42,REFCE!A:D,3,FALSE)),"",(VLOOKUP(A42,REFCE!A:D,3,FALSE)))</f>
        <v>Mixed Metals</v>
      </c>
      <c r="J42" s="12" t="str">
        <f>IF(ISNA(VLOOKUP(A42,REFCE!A:D,4,FALSE)),"",(VLOOKUP(A42,REFCE!A:D,4,FALSE)))</f>
        <v>TVB1000</v>
      </c>
      <c r="K42" t="str">
        <f>IF(ISNA(VLOOKUP(A42,REFCE!A:G,5,FALSE)),"",(VLOOKUP(A42,REFCE!A:G,5,FALSE)))</f>
        <v>Quar</v>
      </c>
      <c r="L42" t="str">
        <f>IF(ISNA(VLOOKUP(A42,REFCE!A:G,7,FALSE)),"",(VLOOKUP(A42,REFCE!A:G,7,FALSE)))</f>
        <v>S</v>
      </c>
    </row>
    <row r="43" spans="1:12" x14ac:dyDescent="0.25">
      <c r="A43" t="s">
        <v>53</v>
      </c>
      <c r="B43" s="6">
        <f>IF(VLOOKUP(A43,PALLETS!A:C,2,FALSE)="",0,VLOOKUP(A43,PALLETS!A:C,2,FALSE))</f>
        <v>0</v>
      </c>
      <c r="C43" s="6">
        <f t="shared" si="3"/>
        <v>0</v>
      </c>
      <c r="D43" s="6">
        <f>IF(VLOOKUP(A43,PALLETS!A:C,3,FALSE)=0,0,(VLOOKUP(A43,PALLETS!A:C,3,FALSE))/C43)</f>
        <v>0</v>
      </c>
      <c r="E43" s="6">
        <f t="shared" si="4"/>
        <v>0</v>
      </c>
      <c r="F43" t="str">
        <f>IF(ISNA(VLOOKUP(A43,REFCE!A:D,3,FALSE)),"",(VLOOKUP(A43,REFCE!A:D,3,FALSE)))</f>
        <v>Steel</v>
      </c>
      <c r="G43" s="75">
        <f>IF(A43="",0,VLOOKUP(A43,REFCE!A:D,2,FALSE))</f>
        <v>2.5000000000000001E-2</v>
      </c>
      <c r="H43" s="2">
        <f t="shared" si="5"/>
        <v>0</v>
      </c>
      <c r="I43" t="str">
        <f>IF(ISNA(VLOOKUP(A43,REFCE!A:D,3,FALSE)),"",(VLOOKUP(A43,REFCE!A:D,3,FALSE)))</f>
        <v>Steel</v>
      </c>
      <c r="J43" s="12" t="str">
        <f>IF(ISNA(VLOOKUP(A43,REFCE!A:D,4,FALSE)),"",(VLOOKUP(A43,REFCE!A:D,4,FALSE)))</f>
        <v>WTP1000</v>
      </c>
      <c r="K43" t="str">
        <f>IF(ISNA(VLOOKUP(A43,REFCE!A:G,5,FALSE)),"",(VLOOKUP(A43,REFCE!A:G,5,FALSE)))</f>
        <v>Quar</v>
      </c>
      <c r="L43" t="str">
        <f>IF(ISNA(VLOOKUP(A43,REFCE!A:G,7,FALSE)),"",(VLOOKUP(A43,REFCE!A:G,7,FALSE)))</f>
        <v>S</v>
      </c>
    </row>
    <row r="44" spans="1:12" x14ac:dyDescent="0.25">
      <c r="A44" t="s">
        <v>254</v>
      </c>
      <c r="B44" s="6">
        <f>IF(VLOOKUP(A44,PALLETS!A:C,2,FALSE)="",0,VLOOKUP(A44,PALLETS!A:C,2,FALSE))</f>
        <v>0</v>
      </c>
      <c r="C44" s="6">
        <f t="shared" si="3"/>
        <v>0</v>
      </c>
      <c r="D44" s="6">
        <f>IF(VLOOKUP(A44,PALLETS!A:C,3,FALSE)=0,0,(VLOOKUP(A44,PALLETS!A:C,3,FALSE))/C44)</f>
        <v>0</v>
      </c>
      <c r="E44" s="6">
        <f t="shared" si="4"/>
        <v>0</v>
      </c>
      <c r="F44" t="str">
        <f>IF(ISNA(VLOOKUP(A44,REFCE!A:D,3,FALSE)),"",(VLOOKUP(A44,REFCE!A:D,3,FALSE)))</f>
        <v>Aluminum</v>
      </c>
      <c r="G44" s="75">
        <f>IF(A44="",0,VLOOKUP(A44,REFCE!A:D,2,FALSE))</f>
        <v>2.5000000000000001E-2</v>
      </c>
      <c r="H44" s="2">
        <f t="shared" si="5"/>
        <v>0</v>
      </c>
      <c r="I44" t="str">
        <f>IF(ISNA(VLOOKUP(A44,REFCE!A:D,3,FALSE)),"",(VLOOKUP(A44,REFCE!A:D,3,FALSE)))</f>
        <v>Aluminum</v>
      </c>
      <c r="J44" s="12" t="str">
        <f>IF(ISNA(VLOOKUP(A44,REFCE!A:D,4,FALSE)),"",(VLOOKUP(A44,REFCE!A:D,4,FALSE)))</f>
        <v>SCR-WHEELS-TA</v>
      </c>
      <c r="K44" t="str">
        <f>IF(ISNA(VLOOKUP(A44,REFCE!A:G,5,FALSE)),"",(VLOOKUP(A44,REFCE!A:G,5,FALSE)))</f>
        <v>Scrap</v>
      </c>
      <c r="L44" t="str">
        <f>IF(ISNA(VLOOKUP(A44,REFCE!A:G,7,FALSE)),"",(VLOOKUP(A44,REFCE!A:G,7,FALSE)))</f>
        <v>CA</v>
      </c>
    </row>
    <row r="45" spans="1:12" x14ac:dyDescent="0.25">
      <c r="A45" t="s">
        <v>255</v>
      </c>
      <c r="B45" s="6">
        <f>IF(VLOOKUP(A45,PALLETS!A:C,2,FALSE)="",0,VLOOKUP(A45,PALLETS!A:C,2,FALSE))</f>
        <v>0</v>
      </c>
      <c r="C45" s="6">
        <f t="shared" si="3"/>
        <v>0</v>
      </c>
      <c r="D45" s="6">
        <f>IF(VLOOKUP(A45,PALLETS!A:C,3,FALSE)=0,0,(VLOOKUP(A45,PALLETS!A:C,3,FALSE))/C45)</f>
        <v>0</v>
      </c>
      <c r="E45" s="6">
        <f t="shared" si="4"/>
        <v>0</v>
      </c>
      <c r="F45" t="str">
        <f>IF(ISNA(VLOOKUP(A45,REFCE!A:D,3,FALSE)),"",(VLOOKUP(A45,REFCE!A:D,3,FALSE)))</f>
        <v>Aluminum</v>
      </c>
      <c r="G45" s="75">
        <f>IF(A45="",0,VLOOKUP(A45,REFCE!A:D,2,FALSE))</f>
        <v>2.5000000000000001E-2</v>
      </c>
      <c r="H45" s="2">
        <f t="shared" si="5"/>
        <v>0</v>
      </c>
      <c r="I45" t="str">
        <f>IF(ISNA(VLOOKUP(A45,REFCE!A:D,3,FALSE)),"",(VLOOKUP(A45,REFCE!A:D,3,FALSE)))</f>
        <v>Aluminum</v>
      </c>
      <c r="J45" s="12" t="str">
        <f>IF(ISNA(VLOOKUP(A45,REFCE!A:D,4,FALSE)),"",(VLOOKUP(A45,REFCE!A:D,4,FALSE)))</f>
        <v>SCR-WHEELS-TA</v>
      </c>
      <c r="K45" t="str">
        <f>IF(ISNA(VLOOKUP(A45,REFCE!A:G,5,FALSE)),"",(VLOOKUP(A45,REFCE!A:G,5,FALSE)))</f>
        <v>Scrap</v>
      </c>
      <c r="L45" t="str">
        <f>IF(ISNA(VLOOKUP(A45,REFCE!A:G,7,FALSE)),"",(VLOOKUP(A45,REFCE!A:G,7,FALSE)))</f>
        <v>CA</v>
      </c>
    </row>
    <row r="46" spans="1:12" x14ac:dyDescent="0.25">
      <c r="A46" t="s">
        <v>226</v>
      </c>
      <c r="B46" s="6">
        <f>IF(VLOOKUP(A46,PALLETS!A:C,2,FALSE)="",0,VLOOKUP(A46,PALLETS!A:C,2,FALSE))</f>
        <v>0</v>
      </c>
      <c r="C46" s="6">
        <f t="shared" si="3"/>
        <v>0</v>
      </c>
      <c r="D46" s="6">
        <f>IF(VLOOKUP(A46,PALLETS!A:C,3,FALSE)=0,0,(VLOOKUP(A46,PALLETS!A:C,3,FALSE))/C46)</f>
        <v>0</v>
      </c>
      <c r="E46" s="6">
        <f t="shared" si="4"/>
        <v>0</v>
      </c>
      <c r="F46" t="str">
        <f>IF(ISNA(VLOOKUP(A46,REFCE!A:D,3,FALSE)),"",(VLOOKUP(A46,REFCE!A:D,3,FALSE)))</f>
        <v>Steel</v>
      </c>
      <c r="G46" s="75">
        <f>IF(A46="",0,VLOOKUP(A46,REFCE!A:D,2,FALSE))</f>
        <v>2.5000000000000001E-2</v>
      </c>
      <c r="H46" s="2">
        <f t="shared" si="5"/>
        <v>0</v>
      </c>
      <c r="I46" t="str">
        <f>IF(ISNA(VLOOKUP(A46,REFCE!A:D,3,FALSE)),"",(VLOOKUP(A46,REFCE!A:D,3,FALSE)))</f>
        <v>Steel</v>
      </c>
      <c r="J46" s="12" t="str">
        <f>IF(ISNA(VLOOKUP(A46,REFCE!A:D,4,FALSE)),"",(VLOOKUP(A46,REFCE!A:D,4,FALSE)))</f>
        <v>EWL1000</v>
      </c>
      <c r="K46" t="str">
        <f>IF(ISNA(VLOOKUP(A46,REFCE!A:G,5,FALSE)),"",(VLOOKUP(A46,REFCE!A:G,5,FALSE)))</f>
        <v>Quar</v>
      </c>
      <c r="L46" t="str">
        <f>IF(ISNA(VLOOKUP(A46,REFCE!A:G,7,FALSE)),"",(VLOOKUP(A46,REFCE!A:G,7,FALSE)))</f>
        <v>S</v>
      </c>
    </row>
    <row r="47" spans="1:12" x14ac:dyDescent="0.25">
      <c r="A47" t="s">
        <v>227</v>
      </c>
      <c r="B47" s="6">
        <f>IF(VLOOKUP(A47,PALLETS!A:C,2,FALSE)="",0,VLOOKUP(A47,PALLETS!A:C,2,FALSE))</f>
        <v>0</v>
      </c>
      <c r="C47" s="6">
        <f t="shared" si="3"/>
        <v>0</v>
      </c>
      <c r="D47" s="6">
        <f>IF(VLOOKUP(A47,PALLETS!A:C,3,FALSE)=0,0,(VLOOKUP(A47,PALLETS!A:C,3,FALSE))/C47)</f>
        <v>0</v>
      </c>
      <c r="E47" s="6">
        <f t="shared" si="4"/>
        <v>0</v>
      </c>
      <c r="F47" t="str">
        <f>IF(ISNA(VLOOKUP(A47,REFCE!A:D,3,FALSE)),"",(VLOOKUP(A47,REFCE!A:D,3,FALSE)))</f>
        <v>Steel</v>
      </c>
      <c r="G47" s="75">
        <f>IF(A47="",0,VLOOKUP(A47,REFCE!A:D,2,FALSE))</f>
        <v>2.5000000000000001E-2</v>
      </c>
      <c r="H47" s="2">
        <f t="shared" si="5"/>
        <v>0</v>
      </c>
      <c r="I47" t="str">
        <f>IF(ISNA(VLOOKUP(A47,REFCE!A:D,3,FALSE)),"",(VLOOKUP(A47,REFCE!A:D,3,FALSE)))</f>
        <v>Steel</v>
      </c>
      <c r="J47" s="12" t="str">
        <f>IF(ISNA(VLOOKUP(A47,REFCE!A:D,4,FALSE)),"",(VLOOKUP(A47,REFCE!A:D,4,FALSE)))</f>
        <v>EWM1000</v>
      </c>
      <c r="K47" t="str">
        <f>IF(ISNA(VLOOKUP(A47,REFCE!A:G,5,FALSE)),"",(VLOOKUP(A47,REFCE!A:G,5,FALSE)))</f>
        <v>Quar</v>
      </c>
      <c r="L47" t="str">
        <f>IF(ISNA(VLOOKUP(A47,REFCE!A:G,7,FALSE)),"",(VLOOKUP(A47,REFCE!A:G,7,FALSE)))</f>
        <v>S</v>
      </c>
    </row>
    <row r="48" spans="1:12" x14ac:dyDescent="0.25">
      <c r="A48" t="s">
        <v>54</v>
      </c>
      <c r="B48" s="6">
        <f>IF(VLOOKUP(A48,PALLETS!A:C,2,FALSE)="",0,VLOOKUP(A48,PALLETS!A:C,2,FALSE))</f>
        <v>0</v>
      </c>
      <c r="C48" s="6">
        <f t="shared" si="3"/>
        <v>0</v>
      </c>
      <c r="D48" s="6">
        <f>IF(VLOOKUP(A48,PALLETS!A:C,3,FALSE)=0,0,(VLOOKUP(A48,PALLETS!A:C,3,FALSE))/C48)</f>
        <v>0</v>
      </c>
      <c r="E48" s="6">
        <f t="shared" si="4"/>
        <v>0</v>
      </c>
      <c r="F48" t="str">
        <f>IF(ISNA(VLOOKUP(A48,REFCE!A:D,3,FALSE)),"",(VLOOKUP(A48,REFCE!A:D,3,FALSE)))</f>
        <v>Mixed Metals</v>
      </c>
      <c r="G48" s="75">
        <f>IF(A48="",0,VLOOKUP(A48,REFCE!A:D,2,FALSE))</f>
        <v>2.5000000000000001E-2</v>
      </c>
      <c r="H48" s="2">
        <f t="shared" si="5"/>
        <v>0</v>
      </c>
      <c r="I48" t="str">
        <f>IF(ISNA(VLOOKUP(A48,REFCE!A:D,3,FALSE)),"",(VLOOKUP(A48,REFCE!A:D,3,FALSE)))</f>
        <v>Mixed Metals</v>
      </c>
      <c r="J48" s="12" t="str">
        <f>IF(ISNA(VLOOKUP(A48,REFCE!A:D,4,FALSE)),"",(VLOOKUP(A48,REFCE!A:D,4,FALSE)))</f>
        <v>SCR-HARNESSES</v>
      </c>
      <c r="K48" t="str">
        <f>IF(ISNA(VLOOKUP(A48,REFCE!A:G,5,FALSE)),"",(VLOOKUP(A48,REFCE!A:G,5,FALSE)))</f>
        <v>Scrap</v>
      </c>
      <c r="L48" t="str">
        <f>IF(ISNA(VLOOKUP(A48,REFCE!A:G,7,FALSE)),"",(VLOOKUP(A48,REFCE!A:G,7,FALSE)))</f>
        <v>CA</v>
      </c>
    </row>
    <row r="49" spans="1:12" x14ac:dyDescent="0.25">
      <c r="A49" t="s">
        <v>275</v>
      </c>
      <c r="B49" s="6">
        <f>IF(VLOOKUP(A49,PALLETS!A:C,2,FALSE)="",0,VLOOKUP(A49,PALLETS!A:C,2,FALSE))</f>
        <v>0</v>
      </c>
      <c r="C49" s="6">
        <f t="shared" si="3"/>
        <v>0</v>
      </c>
      <c r="D49" s="6">
        <f>IF(VLOOKUP(A49,PALLETS!A:C,3,FALSE)=0,0,(VLOOKUP(A49,PALLETS!A:C,3,FALSE))/C49)</f>
        <v>0</v>
      </c>
      <c r="E49" s="6">
        <f t="shared" si="4"/>
        <v>0</v>
      </c>
      <c r="F49" t="str">
        <f>IF(ISNA(VLOOKUP(A49,REFCE!A:D,3,FALSE)),"",(VLOOKUP(A49,REFCE!A:D,3,FALSE)))</f>
        <v>Baled Cardboard</v>
      </c>
      <c r="G49" s="75">
        <f>IF(A49="",0,VLOOKUP(A49,REFCE!A:D,2,FALSE))</f>
        <v>2.5000000000000001E-2</v>
      </c>
      <c r="H49" s="2">
        <f t="shared" si="5"/>
        <v>0</v>
      </c>
      <c r="I49" t="str">
        <f>IF(ISNA(VLOOKUP(A49,REFCE!A:D,3,FALSE)),"",(VLOOKUP(A49,REFCE!A:D,3,FALSE)))</f>
        <v>Baled Cardboard</v>
      </c>
      <c r="J49" s="12" t="str">
        <f>IF(ISNA(VLOOKUP(A49,REFCE!A:D,4,FALSE)),"",(VLOOKUP(A49,REFCE!A:D,4,FALSE)))</f>
        <v>SCR-CARDBOARD</v>
      </c>
      <c r="K49" t="str">
        <f>IF(ISNA(VLOOKUP(A49,REFCE!A:G,5,FALSE)),"",(VLOOKUP(A49,REFCE!A:G,5,FALSE)))</f>
        <v>Scrap</v>
      </c>
      <c r="L49" t="str">
        <f>IF(ISNA(VLOOKUP(A49,REFCE!A:G,7,FALSE)),"",(VLOOKUP(A49,REFCE!A:G,7,FALSE)))</f>
        <v>CA</v>
      </c>
    </row>
    <row r="50" spans="1:12" x14ac:dyDescent="0.25">
      <c r="A50" t="s">
        <v>9</v>
      </c>
      <c r="B50" s="6">
        <f>IF(VLOOKUP(A50,PALLETS!A:C,2,FALSE)="",0,VLOOKUP(A50,PALLETS!A:C,2,FALSE))</f>
        <v>0</v>
      </c>
      <c r="C50" s="6">
        <f t="shared" si="3"/>
        <v>0</v>
      </c>
      <c r="D50" s="6">
        <f>IF(VLOOKUP(A50,PALLETS!A:C,3,FALSE)=0,0,(VLOOKUP(A50,PALLETS!A:C,3,FALSE))/C50)</f>
        <v>0</v>
      </c>
      <c r="E50" s="6">
        <f t="shared" si="4"/>
        <v>0</v>
      </c>
      <c r="F50" t="str">
        <f>IF(ISNA(VLOOKUP(A50,REFCE!A:D,3,FALSE)),"",(VLOOKUP(A50,REFCE!A:D,3,FALSE)))</f>
        <v>Paper</v>
      </c>
      <c r="G50" s="75">
        <f>IF(A50="",0,VLOOKUP(A50,REFCE!A:D,2,FALSE))</f>
        <v>2.5000000000000001E-2</v>
      </c>
      <c r="H50" s="2">
        <f t="shared" si="5"/>
        <v>0</v>
      </c>
      <c r="I50" t="str">
        <f>IF(ISNA(VLOOKUP(A50,REFCE!A:D,3,FALSE)),"",(VLOOKUP(A50,REFCE!A:D,3,FALSE)))</f>
        <v>Paper</v>
      </c>
      <c r="J50" s="12" t="str">
        <f>IF(ISNA(VLOOKUP(A50,REFCE!A:D,4,FALSE)),"",(VLOOKUP(A50,REFCE!A:D,4,FALSE)))</f>
        <v>SCR-CARDBOARD</v>
      </c>
      <c r="K50" t="str">
        <f>IF(ISNA(VLOOKUP(A50,REFCE!A:G,5,FALSE)),"",(VLOOKUP(A50,REFCE!A:G,5,FALSE)))</f>
        <v>Scrap</v>
      </c>
      <c r="L50" t="str">
        <f>IF(ISNA(VLOOKUP(A50,REFCE!A:G,7,FALSE)),"",(VLOOKUP(A50,REFCE!A:G,7,FALSE)))</f>
        <v>CA</v>
      </c>
    </row>
    <row r="51" spans="1:12" x14ac:dyDescent="0.25">
      <c r="A51" t="s">
        <v>149</v>
      </c>
      <c r="B51" s="6">
        <f>IF(VLOOKUP(A51,PALLETS!A:C,2,FALSE)="",0,VLOOKUP(A51,PALLETS!A:C,2,FALSE))</f>
        <v>0</v>
      </c>
      <c r="C51" s="6">
        <f t="shared" si="3"/>
        <v>0</v>
      </c>
      <c r="D51" s="6">
        <f>IF(VLOOKUP(A51,PALLETS!A:C,3,FALSE)=0,0,(VLOOKUP(A51,PALLETS!A:C,3,FALSE))/C51)</f>
        <v>0</v>
      </c>
      <c r="E51" s="6">
        <f t="shared" si="4"/>
        <v>0</v>
      </c>
      <c r="F51" t="str">
        <f>IF(ISNA(VLOOKUP(A51,REFCE!A:D,3,FALSE)),"",(VLOOKUP(A51,REFCE!A:D,3,FALSE)))</f>
        <v>Aluminum</v>
      </c>
      <c r="G51" s="75">
        <f>IF(A51="",0,VLOOKUP(A51,REFCE!A:D,2,FALSE))</f>
        <v>2.5000000000000001E-2</v>
      </c>
      <c r="H51" s="2">
        <f t="shared" si="5"/>
        <v>0</v>
      </c>
      <c r="I51" t="str">
        <f>IF(ISNA(VLOOKUP(A51,REFCE!A:D,3,FALSE)),"",(VLOOKUP(A51,REFCE!A:D,3,FALSE)))</f>
        <v>Aluminum</v>
      </c>
      <c r="J51" s="12" t="str">
        <f>IF(ISNA(VLOOKUP(A51,REFCE!A:D,4,FALSE)),"",(VLOOKUP(A51,REFCE!A:D,4,FALSE)))</f>
        <v>SCR-ALUM</v>
      </c>
      <c r="K51" t="str">
        <f>IF(ISNA(VLOOKUP(A51,REFCE!A:G,5,FALSE)),"",(VLOOKUP(A51,REFCE!A:G,5,FALSE)))</f>
        <v>Scrap</v>
      </c>
      <c r="L51" t="str">
        <f>IF(ISNA(VLOOKUP(A51,REFCE!A:G,7,FALSE)),"",(VLOOKUP(A51,REFCE!A:G,7,FALSE)))</f>
        <v>CA</v>
      </c>
    </row>
    <row r="52" spans="1:12" x14ac:dyDescent="0.25">
      <c r="A52" t="s">
        <v>150</v>
      </c>
      <c r="B52" s="6">
        <f>IF(VLOOKUP(A52,PALLETS!A:C,2,FALSE)="",0,VLOOKUP(A52,PALLETS!A:C,2,FALSE))</f>
        <v>0</v>
      </c>
      <c r="C52" s="6">
        <f t="shared" si="3"/>
        <v>0</v>
      </c>
      <c r="D52" s="6">
        <f>IF(VLOOKUP(A52,PALLETS!A:C,3,FALSE)=0,0,(VLOOKUP(A52,PALLETS!A:C,3,FALSE))/C52)</f>
        <v>0</v>
      </c>
      <c r="E52" s="6">
        <f t="shared" si="4"/>
        <v>0</v>
      </c>
      <c r="F52" t="str">
        <f>IF(ISNA(VLOOKUP(A52,REFCE!A:D,3,FALSE)),"",(VLOOKUP(A52,REFCE!A:D,3,FALSE)))</f>
        <v>Plastic</v>
      </c>
      <c r="G52" s="75">
        <f>IF(A52="",0,VLOOKUP(A52,REFCE!A:D,2,FALSE))</f>
        <v>2.5000000000000001E-2</v>
      </c>
      <c r="H52" s="2">
        <f t="shared" si="5"/>
        <v>0</v>
      </c>
      <c r="I52" t="str">
        <f>IF(ISNA(VLOOKUP(A52,REFCE!A:D,3,FALSE)),"",(VLOOKUP(A52,REFCE!A:D,3,FALSE)))</f>
        <v>Plastic</v>
      </c>
      <c r="J52" s="12" t="str">
        <f>IF(ISNA(VLOOKUP(A52,REFCE!A:D,4,FALSE)),"",(VLOOKUP(A52,REFCE!A:D,4,FALSE)))</f>
        <v>SCR-BUMPER</v>
      </c>
      <c r="K52" t="str">
        <f>IF(ISNA(VLOOKUP(A52,REFCE!A:G,5,FALSE)),"",(VLOOKUP(A52,REFCE!A:G,5,FALSE)))</f>
        <v>Scrap</v>
      </c>
      <c r="L52" t="str">
        <f>IF(ISNA(VLOOKUP(A52,REFCE!A:G,7,FALSE)),"",(VLOOKUP(A52,REFCE!A:G,7,FALSE)))</f>
        <v>CA</v>
      </c>
    </row>
    <row r="53" spans="1:12" x14ac:dyDescent="0.25">
      <c r="A53" t="s">
        <v>151</v>
      </c>
      <c r="B53" s="6">
        <f>IF(VLOOKUP(A53,PALLETS!A:C,2,FALSE)="",0,VLOOKUP(A53,PALLETS!A:C,2,FALSE))</f>
        <v>0</v>
      </c>
      <c r="C53" s="6">
        <f t="shared" si="3"/>
        <v>0</v>
      </c>
      <c r="D53" s="6">
        <f>IF(VLOOKUP(A53,PALLETS!A:C,3,FALSE)=0,0,(VLOOKUP(A53,PALLETS!A:C,3,FALSE))/C53)</f>
        <v>0</v>
      </c>
      <c r="E53" s="6">
        <f t="shared" si="4"/>
        <v>0</v>
      </c>
      <c r="F53" t="str">
        <f>IF(ISNA(VLOOKUP(A53,REFCE!A:D,3,FALSE)),"",(VLOOKUP(A53,REFCE!A:D,3,FALSE)))</f>
        <v>Cloth</v>
      </c>
      <c r="G53" s="75">
        <f>IF(A53="",0,VLOOKUP(A53,REFCE!A:D,2,FALSE))</f>
        <v>2.5000000000000001E-2</v>
      </c>
      <c r="H53" s="2">
        <f t="shared" si="5"/>
        <v>0</v>
      </c>
      <c r="I53" t="str">
        <f>IF(ISNA(VLOOKUP(A53,REFCE!A:D,3,FALSE)),"",(VLOOKUP(A53,REFCE!A:D,3,FALSE)))</f>
        <v>Cloth</v>
      </c>
      <c r="J53" s="12" t="str">
        <f>IF(ISNA(VLOOKUP(A53,REFCE!A:D,4,FALSE)),"",(VLOOKUP(A53,REFCE!A:D,4,FALSE)))</f>
        <v xml:space="preserve"> </v>
      </c>
      <c r="K53" t="str">
        <f>IF(ISNA(VLOOKUP(A53,REFCE!A:G,5,FALSE)),"",(VLOOKUP(A53,REFCE!A:G,5,FALSE)))</f>
        <v>Scrap</v>
      </c>
      <c r="L53" t="str">
        <f>IF(ISNA(VLOOKUP(A53,REFCE!A:G,7,FALSE)),"",(VLOOKUP(A53,REFCE!A:G,7,FALSE)))</f>
        <v>CA</v>
      </c>
    </row>
    <row r="54" spans="1:12" x14ac:dyDescent="0.25">
      <c r="A54" t="s">
        <v>152</v>
      </c>
      <c r="B54" s="6">
        <f>IF(VLOOKUP(A54,PALLETS!A:C,2,FALSE)="",0,VLOOKUP(A54,PALLETS!A:C,2,FALSE))</f>
        <v>0</v>
      </c>
      <c r="C54" s="6">
        <f t="shared" si="3"/>
        <v>0</v>
      </c>
      <c r="D54" s="6">
        <f>IF(VLOOKUP(A54,PALLETS!A:C,3,FALSE)=0,0,(VLOOKUP(A54,PALLETS!A:C,3,FALSE))/C54)</f>
        <v>0</v>
      </c>
      <c r="E54" s="6">
        <f t="shared" si="4"/>
        <v>0</v>
      </c>
      <c r="F54" t="str">
        <f>IF(ISNA(VLOOKUP(A54,REFCE!A:D,3,FALSE)),"",(VLOOKUP(A54,REFCE!A:D,3,FALSE)))</f>
        <v>E-Waste</v>
      </c>
      <c r="G54" s="75">
        <f>IF(A54="",0,VLOOKUP(A54,REFCE!A:D,2,FALSE))</f>
        <v>2.5000000000000001E-2</v>
      </c>
      <c r="H54" s="2">
        <f t="shared" si="5"/>
        <v>0</v>
      </c>
      <c r="I54" t="str">
        <f>IF(ISNA(VLOOKUP(A54,REFCE!A:D,3,FALSE)),"",(VLOOKUP(A54,REFCE!A:D,3,FALSE)))</f>
        <v>E-Waste</v>
      </c>
      <c r="J54" s="12" t="str">
        <f>IF(ISNA(VLOOKUP(A54,REFCE!A:D,4,FALSE)),"",(VLOOKUP(A54,REFCE!A:D,4,FALSE)))</f>
        <v>SCR-EWASTE</v>
      </c>
      <c r="K54" t="str">
        <f>IF(ISNA(VLOOKUP(A54,REFCE!A:G,5,FALSE)),"",(VLOOKUP(A54,REFCE!A:G,5,FALSE)))</f>
        <v>Scrap</v>
      </c>
      <c r="L54" t="str">
        <f>IF(ISNA(VLOOKUP(A54,REFCE!A:G,7,FALSE)),"",(VLOOKUP(A54,REFCE!A:G,7,FALSE)))</f>
        <v>CA</v>
      </c>
    </row>
    <row r="55" spans="1:12" x14ac:dyDescent="0.25">
      <c r="A55" t="s">
        <v>153</v>
      </c>
      <c r="B55" s="6">
        <f>IF(VLOOKUP(A55,PALLETS!A:C,2,FALSE)="",0,VLOOKUP(A55,PALLETS!A:C,2,FALSE))</f>
        <v>0</v>
      </c>
      <c r="C55" s="6">
        <f t="shared" si="3"/>
        <v>0</v>
      </c>
      <c r="D55" s="6">
        <f>IF(VLOOKUP(A55,PALLETS!A:C,3,FALSE)=0,0,(VLOOKUP(A55,PALLETS!A:C,3,FALSE))/C55)</f>
        <v>0</v>
      </c>
      <c r="E55" s="6">
        <f t="shared" si="4"/>
        <v>0</v>
      </c>
      <c r="F55" t="str">
        <f>IF(ISNA(VLOOKUP(A55,REFCE!A:D,3,FALSE)),"",(VLOOKUP(A55,REFCE!A:D,3,FALSE)))</f>
        <v>Foam</v>
      </c>
      <c r="G55" s="75">
        <f>IF(A55="",0,VLOOKUP(A55,REFCE!A:D,2,FALSE))</f>
        <v>2.5000000000000001E-2</v>
      </c>
      <c r="H55" s="2">
        <f t="shared" si="5"/>
        <v>0</v>
      </c>
      <c r="I55" t="str">
        <f>IF(ISNA(VLOOKUP(A55,REFCE!A:D,3,FALSE)),"",(VLOOKUP(A55,REFCE!A:D,3,FALSE)))</f>
        <v>Foam</v>
      </c>
      <c r="J55" s="12" t="str">
        <f>IF(ISNA(VLOOKUP(A55,REFCE!A:D,4,FALSE)),"",(VLOOKUP(A55,REFCE!A:D,4,FALSE)))</f>
        <v xml:space="preserve"> </v>
      </c>
      <c r="K55" t="str">
        <f>IF(ISNA(VLOOKUP(A55,REFCE!A:G,5,FALSE)),"",(VLOOKUP(A55,REFCE!A:G,5,FALSE)))</f>
        <v>Scrap</v>
      </c>
      <c r="L55" t="str">
        <f>IF(ISNA(VLOOKUP(A55,REFCE!A:G,7,FALSE)),"",(VLOOKUP(A55,REFCE!A:G,7,FALSE)))</f>
        <v>CA</v>
      </c>
    </row>
    <row r="56" spans="1:12" x14ac:dyDescent="0.25">
      <c r="A56" t="s">
        <v>154</v>
      </c>
      <c r="B56" s="6">
        <f>IF(VLOOKUP(A56,PALLETS!A:C,2,FALSE)="",0,VLOOKUP(A56,PALLETS!A:C,2,FALSE))</f>
        <v>0</v>
      </c>
      <c r="C56" s="6">
        <f t="shared" si="3"/>
        <v>0</v>
      </c>
      <c r="D56" s="6">
        <f>IF(VLOOKUP(A56,PALLETS!A:C,3,FALSE)=0,0,(VLOOKUP(A56,PALLETS!A:C,3,FALSE))/C56)</f>
        <v>0</v>
      </c>
      <c r="E56" s="6">
        <f t="shared" si="4"/>
        <v>0</v>
      </c>
      <c r="F56" t="str">
        <f>IF(ISNA(VLOOKUP(A56,REFCE!A:D,3,FALSE)),"",(VLOOKUP(A56,REFCE!A:D,3,FALSE)))</f>
        <v>Glass</v>
      </c>
      <c r="G56" s="75">
        <f>IF(A56="",0,VLOOKUP(A56,REFCE!A:D,2,FALSE))</f>
        <v>2.5000000000000001E-2</v>
      </c>
      <c r="H56" s="2">
        <f t="shared" si="5"/>
        <v>0</v>
      </c>
      <c r="I56" t="str">
        <f>IF(ISNA(VLOOKUP(A56,REFCE!A:D,3,FALSE)),"",(VLOOKUP(A56,REFCE!A:D,3,FALSE)))</f>
        <v>Glass</v>
      </c>
      <c r="J56" s="12" t="str">
        <f>IF(ISNA(VLOOKUP(A56,REFCE!A:D,4,FALSE)),"",(VLOOKUP(A56,REFCE!A:D,4,FALSE)))</f>
        <v xml:space="preserve"> </v>
      </c>
      <c r="K56" t="str">
        <f>IF(ISNA(VLOOKUP(A56,REFCE!A:G,5,FALSE)),"",(VLOOKUP(A56,REFCE!A:G,5,FALSE)))</f>
        <v>Scrap</v>
      </c>
      <c r="L56" t="str">
        <f>IF(ISNA(VLOOKUP(A56,REFCE!A:G,7,FALSE)),"",(VLOOKUP(A56,REFCE!A:G,7,FALSE)))</f>
        <v>CA</v>
      </c>
    </row>
    <row r="57" spans="1:12" x14ac:dyDescent="0.25">
      <c r="A57" t="s">
        <v>155</v>
      </c>
      <c r="B57" s="6">
        <f>IF(VLOOKUP(A57,PALLETS!A:C,2,FALSE)="",0,VLOOKUP(A57,PALLETS!A:C,2,FALSE))</f>
        <v>0</v>
      </c>
      <c r="C57" s="6">
        <f t="shared" si="3"/>
        <v>0</v>
      </c>
      <c r="D57" s="6">
        <f>IF(VLOOKUP(A57,PALLETS!A:C,3,FALSE)=0,0,(VLOOKUP(A57,PALLETS!A:C,3,FALSE))/C57)</f>
        <v>0</v>
      </c>
      <c r="E57" s="6">
        <f t="shared" si="4"/>
        <v>0</v>
      </c>
      <c r="F57" t="str">
        <f>IF(ISNA(VLOOKUP(A57,REFCE!A:D,3,FALSE)),"",(VLOOKUP(A57,REFCE!A:D,3,FALSE)))</f>
        <v>Iron</v>
      </c>
      <c r="G57" s="75">
        <f>IF(A57="",0,VLOOKUP(A57,REFCE!A:D,2,FALSE))</f>
        <v>2.5000000000000001E-2</v>
      </c>
      <c r="H57" s="2">
        <f t="shared" si="5"/>
        <v>0</v>
      </c>
      <c r="I57" t="str">
        <f>IF(ISNA(VLOOKUP(A57,REFCE!A:D,3,FALSE)),"",(VLOOKUP(A57,REFCE!A:D,3,FALSE)))</f>
        <v>Iron</v>
      </c>
      <c r="J57" s="12" t="str">
        <f>IF(ISNA(VLOOKUP(A57,REFCE!A:D,4,FALSE)),"",(VLOOKUP(A57,REFCE!A:D,4,FALSE)))</f>
        <v>SCR-STEEL</v>
      </c>
      <c r="K57" t="str">
        <f>IF(ISNA(VLOOKUP(A57,REFCE!A:G,5,FALSE)),"",(VLOOKUP(A57,REFCE!A:G,5,FALSE)))</f>
        <v>Scrap</v>
      </c>
      <c r="L57" t="str">
        <f>IF(ISNA(VLOOKUP(A57,REFCE!A:G,7,FALSE)),"",(VLOOKUP(A57,REFCE!A:G,7,FALSE)))</f>
        <v>CA</v>
      </c>
    </row>
    <row r="58" spans="1:12" x14ac:dyDescent="0.25">
      <c r="A58" t="s">
        <v>156</v>
      </c>
      <c r="B58" s="6">
        <f>IF(VLOOKUP(A58,PALLETS!A:C,2,FALSE)="",0,VLOOKUP(A58,PALLETS!A:C,2,FALSE))</f>
        <v>0</v>
      </c>
      <c r="C58" s="6">
        <f t="shared" si="3"/>
        <v>0</v>
      </c>
      <c r="D58" s="6">
        <f>IF(VLOOKUP(A58,PALLETS!A:C,3,FALSE)=0,0,(VLOOKUP(A58,PALLETS!A:C,3,FALSE))/C58)</f>
        <v>0</v>
      </c>
      <c r="E58" s="6">
        <f t="shared" si="4"/>
        <v>0</v>
      </c>
      <c r="F58" t="str">
        <f>IF(ISNA(VLOOKUP(A58,REFCE!A:D,3,FALSE)),"",(VLOOKUP(A58,REFCE!A:D,3,FALSE)))</f>
        <v>Mixed Metals</v>
      </c>
      <c r="G58" s="75">
        <f>IF(A58="",0,VLOOKUP(A58,REFCE!A:D,2,FALSE))</f>
        <v>2.5000000000000001E-2</v>
      </c>
      <c r="H58" s="2">
        <f t="shared" si="5"/>
        <v>0</v>
      </c>
      <c r="I58" t="str">
        <f>IF(ISNA(VLOOKUP(A58,REFCE!A:D,3,FALSE)),"",(VLOOKUP(A58,REFCE!A:D,3,FALSE)))</f>
        <v>Mixed Metals</v>
      </c>
      <c r="J58" s="12" t="str">
        <f>IF(ISNA(VLOOKUP(A58,REFCE!A:D,4,FALSE)),"",(VLOOKUP(A58,REFCE!A:D,4,FALSE)))</f>
        <v>SCR-MXMET</v>
      </c>
      <c r="K58" t="str">
        <f>IF(ISNA(VLOOKUP(A58,REFCE!A:G,5,FALSE)),"",(VLOOKUP(A58,REFCE!A:G,5,FALSE)))</f>
        <v>Scrap</v>
      </c>
      <c r="L58" t="str">
        <f>IF(ISNA(VLOOKUP(A58,REFCE!A:G,7,FALSE)),"",(VLOOKUP(A58,REFCE!A:G,7,FALSE)))</f>
        <v>CA</v>
      </c>
    </row>
    <row r="59" spans="1:12" x14ac:dyDescent="0.25">
      <c r="A59" t="s">
        <v>157</v>
      </c>
      <c r="B59" s="6">
        <f>IF(VLOOKUP(A59,PALLETS!A:C,2,FALSE)="",0,VLOOKUP(A59,PALLETS!A:C,2,FALSE))</f>
        <v>0</v>
      </c>
      <c r="C59" s="6">
        <f t="shared" si="3"/>
        <v>0</v>
      </c>
      <c r="D59" s="6">
        <f>IF(VLOOKUP(A59,PALLETS!A:C,3,FALSE)=0,0,(VLOOKUP(A59,PALLETS!A:C,3,FALSE))/C59)</f>
        <v>0</v>
      </c>
      <c r="E59" s="6">
        <f t="shared" si="4"/>
        <v>0</v>
      </c>
      <c r="F59" t="str">
        <f>IF(ISNA(VLOOKUP(A59,REFCE!A:D,3,FALSE)),"",(VLOOKUP(A59,REFCE!A:D,3,FALSE)))</f>
        <v>Paper</v>
      </c>
      <c r="G59" s="75">
        <f>IF(A59="",0,VLOOKUP(A59,REFCE!A:D,2,FALSE))</f>
        <v>2.5000000000000001E-2</v>
      </c>
      <c r="H59" s="2">
        <f t="shared" si="5"/>
        <v>0</v>
      </c>
      <c r="I59" t="str">
        <f>IF(ISNA(VLOOKUP(A59,REFCE!A:D,3,FALSE)),"",(VLOOKUP(A59,REFCE!A:D,3,FALSE)))</f>
        <v>Paper</v>
      </c>
      <c r="J59" s="12" t="str">
        <f>IF(ISNA(VLOOKUP(A59,REFCE!A:D,4,FALSE)),"",(VLOOKUP(A59,REFCE!A:D,4,FALSE)))</f>
        <v>SCR-CARDBOARD</v>
      </c>
      <c r="K59" t="str">
        <f>IF(ISNA(VLOOKUP(A59,REFCE!A:G,5,FALSE)),"",(VLOOKUP(A59,REFCE!A:G,5,FALSE)))</f>
        <v>Scrap</v>
      </c>
      <c r="L59" t="str">
        <f>IF(ISNA(VLOOKUP(A59,REFCE!A:G,7,FALSE)),"",(VLOOKUP(A59,REFCE!A:G,7,FALSE)))</f>
        <v>CA</v>
      </c>
    </row>
    <row r="60" spans="1:12" x14ac:dyDescent="0.25">
      <c r="A60" t="s">
        <v>158</v>
      </c>
      <c r="B60" s="6">
        <f>IF(VLOOKUP(A60,PALLETS!A:C,2,FALSE)="",0,VLOOKUP(A60,PALLETS!A:C,2,FALSE))</f>
        <v>0</v>
      </c>
      <c r="C60" s="6">
        <f t="shared" si="3"/>
        <v>0</v>
      </c>
      <c r="D60" s="6">
        <f>IF(VLOOKUP(A60,PALLETS!A:C,3,FALSE)=0,0,(VLOOKUP(A60,PALLETS!A:C,3,FALSE))/C60)</f>
        <v>0</v>
      </c>
      <c r="E60" s="6">
        <f t="shared" si="4"/>
        <v>0</v>
      </c>
      <c r="F60" t="str">
        <f>IF(ISNA(VLOOKUP(A60,REFCE!A:D,3,FALSE)),"",(VLOOKUP(A60,REFCE!A:D,3,FALSE)))</f>
        <v>Plastic</v>
      </c>
      <c r="G60" s="75">
        <f>IF(A60="",0,VLOOKUP(A60,REFCE!A:D,2,FALSE))</f>
        <v>2.5000000000000001E-2</v>
      </c>
      <c r="H60" s="2">
        <f t="shared" si="5"/>
        <v>0</v>
      </c>
      <c r="I60" t="str">
        <f>IF(ISNA(VLOOKUP(A60,REFCE!A:D,3,FALSE)),"",(VLOOKUP(A60,REFCE!A:D,3,FALSE)))</f>
        <v>Plastic</v>
      </c>
      <c r="J60" s="12" t="str">
        <f>IF(ISNA(VLOOKUP(A60,REFCE!A:D,4,FALSE)),"",(VLOOKUP(A60,REFCE!A:D,4,FALSE)))</f>
        <v>SCR-PLA</v>
      </c>
      <c r="K60" t="str">
        <f>IF(ISNA(VLOOKUP(A60,REFCE!A:G,5,FALSE)),"",(VLOOKUP(A60,REFCE!A:G,5,FALSE)))</f>
        <v>Scrap</v>
      </c>
      <c r="L60" t="str">
        <f>IF(ISNA(VLOOKUP(A60,REFCE!A:G,7,FALSE)),"",(VLOOKUP(A60,REFCE!A:G,7,FALSE)))</f>
        <v>CA</v>
      </c>
    </row>
    <row r="61" spans="1:12" x14ac:dyDescent="0.25">
      <c r="A61" t="s">
        <v>159</v>
      </c>
      <c r="B61" s="6">
        <f>IF(VLOOKUP(A61,PALLETS!A:C,2,FALSE)="",0,VLOOKUP(A61,PALLETS!A:C,2,FALSE))</f>
        <v>0</v>
      </c>
      <c r="C61" s="6">
        <f t="shared" si="3"/>
        <v>0</v>
      </c>
      <c r="D61" s="6">
        <f>IF(VLOOKUP(A61,PALLETS!A:C,3,FALSE)=0,0,(VLOOKUP(A61,PALLETS!A:C,3,FALSE))/C61)</f>
        <v>0</v>
      </c>
      <c r="E61" s="6">
        <f t="shared" si="4"/>
        <v>0</v>
      </c>
      <c r="F61" t="str">
        <f>IF(ISNA(VLOOKUP(A61,REFCE!A:D,3,FALSE)),"",(VLOOKUP(A61,REFCE!A:D,3,FALSE)))</f>
        <v>Rubber</v>
      </c>
      <c r="G61" s="75">
        <f>IF(A61="",0,VLOOKUP(A61,REFCE!A:D,2,FALSE))</f>
        <v>2.5000000000000001E-2</v>
      </c>
      <c r="H61" s="2">
        <f t="shared" si="5"/>
        <v>0</v>
      </c>
      <c r="I61" t="str">
        <f>IF(ISNA(VLOOKUP(A61,REFCE!A:D,3,FALSE)),"",(VLOOKUP(A61,REFCE!A:D,3,FALSE)))</f>
        <v>Rubber</v>
      </c>
      <c r="J61" s="12" t="str">
        <f>IF(ISNA(VLOOKUP(A61,REFCE!A:D,4,FALSE)),"",(VLOOKUP(A61,REFCE!A:D,4,FALSE)))</f>
        <v xml:space="preserve"> </v>
      </c>
      <c r="K61" t="str">
        <f>IF(ISNA(VLOOKUP(A61,REFCE!A:G,5,FALSE)),"",(VLOOKUP(A61,REFCE!A:G,5,FALSE)))</f>
        <v>Scrap</v>
      </c>
      <c r="L61" t="str">
        <f>IF(ISNA(VLOOKUP(A61,REFCE!A:G,7,FALSE)),"",(VLOOKUP(A61,REFCE!A:G,7,FALSE)))</f>
        <v>CA</v>
      </c>
    </row>
    <row r="62" spans="1:12" x14ac:dyDescent="0.25">
      <c r="A62" t="s">
        <v>160</v>
      </c>
      <c r="B62" s="6">
        <f>IF(VLOOKUP(A62,PALLETS!A:C,2,FALSE)="",0,VLOOKUP(A62,PALLETS!A:C,2,FALSE))</f>
        <v>0</v>
      </c>
      <c r="C62" s="6">
        <f t="shared" si="3"/>
        <v>0</v>
      </c>
      <c r="D62" s="6">
        <f>IF(VLOOKUP(A62,PALLETS!A:C,3,FALSE)=0,0,(VLOOKUP(A62,PALLETS!A:C,3,FALSE))/C62)</f>
        <v>0</v>
      </c>
      <c r="E62" s="6">
        <f t="shared" si="4"/>
        <v>0</v>
      </c>
      <c r="F62" t="str">
        <f>IF(ISNA(VLOOKUP(A62,REFCE!A:D,3,FALSE)),"",(VLOOKUP(A62,REFCE!A:D,3,FALSE)))</f>
        <v>Steel</v>
      </c>
      <c r="G62" s="75">
        <f>IF(A62="",0,VLOOKUP(A62,REFCE!A:D,2,FALSE))</f>
        <v>2.5000000000000001E-2</v>
      </c>
      <c r="H62" s="2">
        <f t="shared" si="5"/>
        <v>0</v>
      </c>
      <c r="I62" t="str">
        <f>IF(ISNA(VLOOKUP(A62,REFCE!A:D,3,FALSE)),"",(VLOOKUP(A62,REFCE!A:D,3,FALSE)))</f>
        <v>Steel</v>
      </c>
      <c r="J62" s="12" t="str">
        <f>IF(ISNA(VLOOKUP(A62,REFCE!A:D,4,FALSE)),"",(VLOOKUP(A62,REFCE!A:D,4,FALSE)))</f>
        <v>SCR-STEEL</v>
      </c>
      <c r="K62" t="str">
        <f>IF(ISNA(VLOOKUP(A62,REFCE!A:G,5,FALSE)),"",(VLOOKUP(A62,REFCE!A:G,5,FALSE)))</f>
        <v>Scrap</v>
      </c>
      <c r="L62" t="str">
        <f>IF(ISNA(VLOOKUP(A62,REFCE!A:G,7,FALSE)),"",(VLOOKUP(A62,REFCE!A:G,7,FALSE)))</f>
        <v>CA</v>
      </c>
    </row>
    <row r="63" spans="1:12" x14ac:dyDescent="0.25">
      <c r="A63" t="s">
        <v>161</v>
      </c>
      <c r="B63" s="6">
        <f>IF(VLOOKUP(A63,PALLETS!A:C,2,FALSE)="",0,VLOOKUP(A63,PALLETS!A:C,2,FALSE))</f>
        <v>0</v>
      </c>
      <c r="C63" s="6">
        <f t="shared" si="3"/>
        <v>0</v>
      </c>
      <c r="D63" s="6">
        <f>IF(VLOOKUP(A63,PALLETS!A:C,3,FALSE)=0,0,(VLOOKUP(A63,PALLETS!A:C,3,FALSE))/C63)</f>
        <v>0</v>
      </c>
      <c r="E63" s="6">
        <f t="shared" si="4"/>
        <v>0</v>
      </c>
      <c r="F63" t="str">
        <f>IF(ISNA(VLOOKUP(A63,REFCE!A:D,3,FALSE)),"",(VLOOKUP(A63,REFCE!A:D,3,FALSE)))</f>
        <v>Wood</v>
      </c>
      <c r="G63" s="75">
        <f>IF(A63="",0,VLOOKUP(A63,REFCE!A:D,2,FALSE))</f>
        <v>2.5000000000000001E-2</v>
      </c>
      <c r="H63" s="2">
        <f t="shared" si="5"/>
        <v>0</v>
      </c>
      <c r="I63" t="str">
        <f>IF(ISNA(VLOOKUP(A63,REFCE!A:D,3,FALSE)),"",(VLOOKUP(A63,REFCE!A:D,3,FALSE)))</f>
        <v>Wood</v>
      </c>
      <c r="J63" s="12" t="str">
        <f>IF(ISNA(VLOOKUP(A63,REFCE!A:D,4,FALSE)),"",(VLOOKUP(A63,REFCE!A:D,4,FALSE)))</f>
        <v xml:space="preserve"> </v>
      </c>
      <c r="K63" t="str">
        <f>IF(ISNA(VLOOKUP(A63,REFCE!A:G,5,FALSE)),"",(VLOOKUP(A63,REFCE!A:G,5,FALSE)))</f>
        <v>Scrap</v>
      </c>
      <c r="L63" t="str">
        <f>IF(ISNA(VLOOKUP(A63,REFCE!A:G,7,FALSE)),"",(VLOOKUP(A63,REFCE!A:G,7,FALSE)))</f>
        <v>CA</v>
      </c>
    </row>
    <row r="64" spans="1:12" x14ac:dyDescent="0.25">
      <c r="A64" t="s">
        <v>136</v>
      </c>
      <c r="B64" s="6">
        <f>IF(VLOOKUP(A64,PALLETS!A:C,2,FALSE)="",0,VLOOKUP(A64,PALLETS!A:C,2,FALSE))</f>
        <v>0</v>
      </c>
      <c r="C64" s="6">
        <f t="shared" si="3"/>
        <v>0</v>
      </c>
      <c r="D64" s="6">
        <f>IF(VLOOKUP(A64,PALLETS!A:C,3,FALSE)=0,0,(VLOOKUP(A64,PALLETS!A:C,3,FALSE))/C64)</f>
        <v>0</v>
      </c>
      <c r="E64" s="6">
        <f t="shared" si="4"/>
        <v>0</v>
      </c>
      <c r="F64" t="str">
        <f>IF(ISNA(VLOOKUP(A64,REFCE!A:D,3,FALSE)),"",(VLOOKUP(A64,REFCE!A:D,3,FALSE)))</f>
        <v>Aluminum</v>
      </c>
      <c r="G64" s="75">
        <f>IF(A64="",0,VLOOKUP(A64,REFCE!A:D,2,FALSE))</f>
        <v>2.5000000000000001E-2</v>
      </c>
      <c r="H64" s="2">
        <f t="shared" si="5"/>
        <v>0</v>
      </c>
      <c r="I64" t="str">
        <f>IF(ISNA(VLOOKUP(A64,REFCE!A:D,3,FALSE)),"",(VLOOKUP(A64,REFCE!A:D,3,FALSE)))</f>
        <v>Aluminum</v>
      </c>
      <c r="J64" s="12" t="str">
        <f>IF(ISNA(VLOOKUP(A64,REFCE!A:D,4,FALSE)),"",(VLOOKUP(A64,REFCE!A:D,4,FALSE)))</f>
        <v>SCR-ALUM-T</v>
      </c>
      <c r="K64" t="str">
        <f>IF(ISNA(VLOOKUP(A64,REFCE!A:G,5,FALSE)),"",(VLOOKUP(A64,REFCE!A:G,5,FALSE)))</f>
        <v>QScr</v>
      </c>
      <c r="L64" t="str">
        <f>IF(ISNA(VLOOKUP(A64,REFCE!A:G,7,FALSE)),"",(VLOOKUP(A64,REFCE!A:G,7,FALSE)))</f>
        <v>S</v>
      </c>
    </row>
    <row r="65" spans="1:12" x14ac:dyDescent="0.25">
      <c r="A65" t="s">
        <v>137</v>
      </c>
      <c r="B65" s="6">
        <f>IF(VLOOKUP(A65,PALLETS!A:C,2,FALSE)="",0,VLOOKUP(A65,PALLETS!A:C,2,FALSE))</f>
        <v>0</v>
      </c>
      <c r="C65" s="6">
        <f t="shared" si="3"/>
        <v>0</v>
      </c>
      <c r="D65" s="6">
        <f>IF(VLOOKUP(A65,PALLETS!A:C,3,FALSE)=0,0,(VLOOKUP(A65,PALLETS!A:C,3,FALSE))/C65)</f>
        <v>0</v>
      </c>
      <c r="E65" s="6">
        <f t="shared" si="4"/>
        <v>0</v>
      </c>
      <c r="F65" t="str">
        <f>IF(ISNA(VLOOKUP(A65,REFCE!A:D,3,FALSE)),"",(VLOOKUP(A65,REFCE!A:D,3,FALSE)))</f>
        <v>Plastic</v>
      </c>
      <c r="G65" s="75">
        <f>IF(A65="",0,VLOOKUP(A65,REFCE!A:D,2,FALSE))</f>
        <v>2.5000000000000001E-2</v>
      </c>
      <c r="H65" s="2">
        <f t="shared" si="5"/>
        <v>0</v>
      </c>
      <c r="I65" t="str">
        <f>IF(ISNA(VLOOKUP(A65,REFCE!A:D,3,FALSE)),"",(VLOOKUP(A65,REFCE!A:D,3,FALSE)))</f>
        <v>Plastic</v>
      </c>
      <c r="J65" s="12" t="str">
        <f>IF(ISNA(VLOOKUP(A65,REFCE!A:D,4,FALSE)),"",(VLOOKUP(A65,REFCE!A:D,4,FALSE)))</f>
        <v>SCR-BUMPER-T</v>
      </c>
      <c r="K65" t="str">
        <f>IF(ISNA(VLOOKUP(A65,REFCE!A:G,5,FALSE)),"",(VLOOKUP(A65,REFCE!A:G,5,FALSE)))</f>
        <v>QScr</v>
      </c>
      <c r="L65" t="str">
        <f>IF(ISNA(VLOOKUP(A65,REFCE!A:G,7,FALSE)),"",(VLOOKUP(A65,REFCE!A:G,7,FALSE)))</f>
        <v>S</v>
      </c>
    </row>
    <row r="66" spans="1:12" x14ac:dyDescent="0.25">
      <c r="A66" t="s">
        <v>138</v>
      </c>
      <c r="B66" s="6">
        <f>IF(VLOOKUP(A66,PALLETS!A:C,2,FALSE)="",0,VLOOKUP(A66,PALLETS!A:C,2,FALSE))</f>
        <v>0</v>
      </c>
      <c r="C66" s="6">
        <f t="shared" si="3"/>
        <v>0</v>
      </c>
      <c r="D66" s="6">
        <f>IF(VLOOKUP(A66,PALLETS!A:C,3,FALSE)=0,0,(VLOOKUP(A66,PALLETS!A:C,3,FALSE))/C66)</f>
        <v>0</v>
      </c>
      <c r="E66" s="6">
        <f t="shared" si="4"/>
        <v>0</v>
      </c>
      <c r="F66" t="str">
        <f>IF(ISNA(VLOOKUP(A66,REFCE!A:D,3,FALSE)),"",(VLOOKUP(A66,REFCE!A:D,3,FALSE)))</f>
        <v>Cloth</v>
      </c>
      <c r="G66" s="75">
        <f>IF(A66="",0,VLOOKUP(A66,REFCE!A:D,2,FALSE))</f>
        <v>2.5000000000000001E-2</v>
      </c>
      <c r="H66" s="2">
        <f t="shared" si="5"/>
        <v>0</v>
      </c>
      <c r="I66" t="str">
        <f>IF(ISNA(VLOOKUP(A66,REFCE!A:D,3,FALSE)),"",(VLOOKUP(A66,REFCE!A:D,3,FALSE)))</f>
        <v>Cloth</v>
      </c>
      <c r="J66" s="12" t="str">
        <f>IF(ISNA(VLOOKUP(A66,REFCE!A:D,4,FALSE)),"",(VLOOKUP(A66,REFCE!A:D,4,FALSE)))</f>
        <v>SCR-CLOTH-T</v>
      </c>
      <c r="K66" t="str">
        <f>IF(ISNA(VLOOKUP(A66,REFCE!A:G,5,FALSE)),"",(VLOOKUP(A66,REFCE!A:G,5,FALSE)))</f>
        <v>QScr</v>
      </c>
      <c r="L66" t="str">
        <f>IF(ISNA(VLOOKUP(A66,REFCE!A:G,7,FALSE)),"",(VLOOKUP(A66,REFCE!A:G,7,FALSE)))</f>
        <v>S</v>
      </c>
    </row>
    <row r="67" spans="1:12" x14ac:dyDescent="0.25">
      <c r="A67" t="s">
        <v>139</v>
      </c>
      <c r="B67" s="6">
        <f>IF(VLOOKUP(A67,PALLETS!A:C,2,FALSE)="",0,VLOOKUP(A67,PALLETS!A:C,2,FALSE))</f>
        <v>0</v>
      </c>
      <c r="C67" s="6">
        <f t="shared" si="3"/>
        <v>0</v>
      </c>
      <c r="D67" s="6">
        <f>IF(VLOOKUP(A67,PALLETS!A:C,3,FALSE)=0,0,(VLOOKUP(A67,PALLETS!A:C,3,FALSE))/C67)</f>
        <v>0</v>
      </c>
      <c r="E67" s="6">
        <f t="shared" si="4"/>
        <v>0</v>
      </c>
      <c r="F67" t="str">
        <f>IF(ISNA(VLOOKUP(A67,REFCE!A:D,3,FALSE)),"",(VLOOKUP(A67,REFCE!A:D,3,FALSE)))</f>
        <v>E-Waste</v>
      </c>
      <c r="G67" s="75">
        <f>IF(A67="",0,VLOOKUP(A67,REFCE!A:D,2,FALSE))</f>
        <v>2.5000000000000001E-2</v>
      </c>
      <c r="H67" s="2">
        <f t="shared" si="5"/>
        <v>0</v>
      </c>
      <c r="I67" t="str">
        <f>IF(ISNA(VLOOKUP(A67,REFCE!A:D,3,FALSE)),"",(VLOOKUP(A67,REFCE!A:D,3,FALSE)))</f>
        <v>E-Waste</v>
      </c>
      <c r="J67" s="12" t="str">
        <f>IF(ISNA(VLOOKUP(A67,REFCE!A:D,4,FALSE)),"",(VLOOKUP(A67,REFCE!A:D,4,FALSE)))</f>
        <v>SCR-EWASTE-T</v>
      </c>
      <c r="K67" t="str">
        <f>IF(ISNA(VLOOKUP(A67,REFCE!A:G,5,FALSE)),"",(VLOOKUP(A67,REFCE!A:G,5,FALSE)))</f>
        <v>QScr</v>
      </c>
      <c r="L67" t="str">
        <f>IF(ISNA(VLOOKUP(A67,REFCE!A:G,7,FALSE)),"",(VLOOKUP(A67,REFCE!A:G,7,FALSE)))</f>
        <v>S</v>
      </c>
    </row>
    <row r="68" spans="1:12" x14ac:dyDescent="0.25">
      <c r="A68" t="s">
        <v>140</v>
      </c>
      <c r="B68" s="6">
        <f>IF(VLOOKUP(A68,PALLETS!A:C,2,FALSE)="",0,VLOOKUP(A68,PALLETS!A:C,2,FALSE))</f>
        <v>0</v>
      </c>
      <c r="C68" s="6">
        <f t="shared" ref="C68:C77" si="6">IF(B68="",0,B68)</f>
        <v>0</v>
      </c>
      <c r="D68" s="6">
        <f>IF(VLOOKUP(A68,PALLETS!A:C,3,FALSE)=0,0,(VLOOKUP(A68,PALLETS!A:C,3,FALSE))/C68)</f>
        <v>0</v>
      </c>
      <c r="E68" s="6">
        <f t="shared" ref="E68:E77" si="7">C68*D68</f>
        <v>0</v>
      </c>
      <c r="F68" t="str">
        <f>IF(ISNA(VLOOKUP(A68,REFCE!A:D,3,FALSE)),"",(VLOOKUP(A68,REFCE!A:D,3,FALSE)))</f>
        <v>Foam</v>
      </c>
      <c r="G68" s="75">
        <f>IF(A68="",0,VLOOKUP(A68,REFCE!A:D,2,FALSE))</f>
        <v>2.5000000000000001E-2</v>
      </c>
      <c r="H68" s="2">
        <f t="shared" ref="H68:H77" si="8">E68*G68</f>
        <v>0</v>
      </c>
      <c r="I68" t="str">
        <f>IF(ISNA(VLOOKUP(A68,REFCE!A:D,3,FALSE)),"",(VLOOKUP(A68,REFCE!A:D,3,FALSE)))</f>
        <v>Foam</v>
      </c>
      <c r="J68" s="12" t="str">
        <f>IF(ISNA(VLOOKUP(A68,REFCE!A:D,4,FALSE)),"",(VLOOKUP(A68,REFCE!A:D,4,FALSE)))</f>
        <v xml:space="preserve"> </v>
      </c>
      <c r="K68" t="str">
        <f>IF(ISNA(VLOOKUP(A68,REFCE!A:G,5,FALSE)),"",(VLOOKUP(A68,REFCE!A:G,5,FALSE)))</f>
        <v>QScr</v>
      </c>
      <c r="L68" t="str">
        <f>IF(ISNA(VLOOKUP(A68,REFCE!A:G,7,FALSE)),"",(VLOOKUP(A68,REFCE!A:G,7,FALSE)))</f>
        <v>S</v>
      </c>
    </row>
    <row r="69" spans="1:12" x14ac:dyDescent="0.25">
      <c r="A69" t="s">
        <v>141</v>
      </c>
      <c r="B69" s="6">
        <f>IF(VLOOKUP(A69,PALLETS!A:C,2,FALSE)="",0,VLOOKUP(A69,PALLETS!A:C,2,FALSE))</f>
        <v>0</v>
      </c>
      <c r="C69" s="6">
        <f t="shared" si="6"/>
        <v>0</v>
      </c>
      <c r="D69" s="6">
        <f>IF(VLOOKUP(A69,PALLETS!A:C,3,FALSE)=0,0,(VLOOKUP(A69,PALLETS!A:C,3,FALSE))/C69)</f>
        <v>0</v>
      </c>
      <c r="E69" s="6">
        <f t="shared" si="7"/>
        <v>0</v>
      </c>
      <c r="F69" t="str">
        <f>IF(ISNA(VLOOKUP(A69,REFCE!A:D,3,FALSE)),"",(VLOOKUP(A69,REFCE!A:D,3,FALSE)))</f>
        <v>Glass</v>
      </c>
      <c r="G69" s="75">
        <f>IF(A69="",0,VLOOKUP(A69,REFCE!A:D,2,FALSE))</f>
        <v>2.5000000000000001E-2</v>
      </c>
      <c r="H69" s="2">
        <f t="shared" si="8"/>
        <v>0</v>
      </c>
      <c r="I69" t="str">
        <f>IF(ISNA(VLOOKUP(A69,REFCE!A:D,3,FALSE)),"",(VLOOKUP(A69,REFCE!A:D,3,FALSE)))</f>
        <v>Glass</v>
      </c>
      <c r="J69" s="12" t="str">
        <f>IF(ISNA(VLOOKUP(A69,REFCE!A:D,4,FALSE)),"",(VLOOKUP(A69,REFCE!A:D,4,FALSE)))</f>
        <v>SCR-GLASS-T</v>
      </c>
      <c r="K69" t="str">
        <f>IF(ISNA(VLOOKUP(A69,REFCE!A:G,5,FALSE)),"",(VLOOKUP(A69,REFCE!A:G,5,FALSE)))</f>
        <v>QScr</v>
      </c>
      <c r="L69" t="str">
        <f>IF(ISNA(VLOOKUP(A69,REFCE!A:G,7,FALSE)),"",(VLOOKUP(A69,REFCE!A:G,7,FALSE)))</f>
        <v>S</v>
      </c>
    </row>
    <row r="70" spans="1:12" x14ac:dyDescent="0.25">
      <c r="A70" t="s">
        <v>142</v>
      </c>
      <c r="B70" s="6">
        <f>IF(VLOOKUP(A70,PALLETS!A:C,2,FALSE)="",0,VLOOKUP(A70,PALLETS!A:C,2,FALSE))</f>
        <v>0</v>
      </c>
      <c r="C70" s="6">
        <f t="shared" si="6"/>
        <v>0</v>
      </c>
      <c r="D70" s="6">
        <f>IF(VLOOKUP(A70,PALLETS!A:C,3,FALSE)=0,0,(VLOOKUP(A70,PALLETS!A:C,3,FALSE))/C70)</f>
        <v>0</v>
      </c>
      <c r="E70" s="6">
        <f t="shared" si="7"/>
        <v>0</v>
      </c>
      <c r="F70" t="str">
        <f>IF(ISNA(VLOOKUP(A70,REFCE!A:D,3,FALSE)),"",(VLOOKUP(A70,REFCE!A:D,3,FALSE)))</f>
        <v>Iron</v>
      </c>
      <c r="G70" s="75">
        <f>IF(A70="",0,VLOOKUP(A70,REFCE!A:D,2,FALSE))</f>
        <v>2.5000000000000001E-2</v>
      </c>
      <c r="H70" s="2">
        <f t="shared" si="8"/>
        <v>0</v>
      </c>
      <c r="I70" t="str">
        <f>IF(ISNA(VLOOKUP(A70,REFCE!A:D,3,FALSE)),"",(VLOOKUP(A70,REFCE!A:D,3,FALSE)))</f>
        <v>Iron</v>
      </c>
      <c r="J70" s="12" t="str">
        <f>IF(ISNA(VLOOKUP(A70,REFCE!A:D,4,FALSE)),"",(VLOOKUP(A70,REFCE!A:D,4,FALSE)))</f>
        <v>SCR-CAST-T</v>
      </c>
      <c r="K70" t="str">
        <f>IF(ISNA(VLOOKUP(A70,REFCE!A:G,5,FALSE)),"",(VLOOKUP(A70,REFCE!A:G,5,FALSE)))</f>
        <v>QScr</v>
      </c>
      <c r="L70" t="str">
        <f>IF(ISNA(VLOOKUP(A70,REFCE!A:G,7,FALSE)),"",(VLOOKUP(A70,REFCE!A:G,7,FALSE)))</f>
        <v>S</v>
      </c>
    </row>
    <row r="71" spans="1:12" x14ac:dyDescent="0.25">
      <c r="A71" t="s">
        <v>143</v>
      </c>
      <c r="B71" s="6">
        <f>IF(VLOOKUP(A71,PALLETS!A:C,2,FALSE)="",0,VLOOKUP(A71,PALLETS!A:C,2,FALSE))</f>
        <v>0</v>
      </c>
      <c r="C71" s="6">
        <f t="shared" si="6"/>
        <v>0</v>
      </c>
      <c r="D71" s="6">
        <f>IF(VLOOKUP(A71,PALLETS!A:C,3,FALSE)=0,0,(VLOOKUP(A71,PALLETS!A:C,3,FALSE))/C71)</f>
        <v>0</v>
      </c>
      <c r="E71" s="6">
        <f t="shared" si="7"/>
        <v>0</v>
      </c>
      <c r="F71" t="str">
        <f>IF(ISNA(VLOOKUP(A71,REFCE!A:D,3,FALSE)),"",(VLOOKUP(A71,REFCE!A:D,3,FALSE)))</f>
        <v>Mixed Metals</v>
      </c>
      <c r="G71" s="75">
        <f>IF(A71="",0,VLOOKUP(A71,REFCE!A:D,2,FALSE))</f>
        <v>2.5000000000000001E-2</v>
      </c>
      <c r="H71" s="2">
        <f t="shared" si="8"/>
        <v>0</v>
      </c>
      <c r="I71" t="str">
        <f>IF(ISNA(VLOOKUP(A71,REFCE!A:D,3,FALSE)),"",(VLOOKUP(A71,REFCE!A:D,3,FALSE)))</f>
        <v>Mixed Metals</v>
      </c>
      <c r="J71" s="12" t="str">
        <f>IF(ISNA(VLOOKUP(A71,REFCE!A:D,4,FALSE)),"",(VLOOKUP(A71,REFCE!A:D,4,FALSE)))</f>
        <v>SCR-MXMET-T</v>
      </c>
      <c r="K71" t="str">
        <f>IF(ISNA(VLOOKUP(A71,REFCE!A:G,5,FALSE)),"",(VLOOKUP(A71,REFCE!A:G,5,FALSE)))</f>
        <v>QScr</v>
      </c>
      <c r="L71" t="str">
        <f>IF(ISNA(VLOOKUP(A71,REFCE!A:G,7,FALSE)),"",(VLOOKUP(A71,REFCE!A:G,7,FALSE)))</f>
        <v>S</v>
      </c>
    </row>
    <row r="72" spans="1:12" x14ac:dyDescent="0.25">
      <c r="A72" t="s">
        <v>144</v>
      </c>
      <c r="B72" s="6">
        <f>IF(VLOOKUP(A72,PALLETS!A:C,2,FALSE)="",0,VLOOKUP(A72,PALLETS!A:C,2,FALSE))</f>
        <v>0</v>
      </c>
      <c r="C72" s="6">
        <f t="shared" si="6"/>
        <v>0</v>
      </c>
      <c r="D72" s="6">
        <f>IF(VLOOKUP(A72,PALLETS!A:C,3,FALSE)=0,0,(VLOOKUP(A72,PALLETS!A:C,3,FALSE))/C72)</f>
        <v>0</v>
      </c>
      <c r="E72" s="6">
        <f t="shared" si="7"/>
        <v>0</v>
      </c>
      <c r="F72" t="str">
        <f>IF(ISNA(VLOOKUP(A72,REFCE!A:D,3,FALSE)),"",(VLOOKUP(A72,REFCE!A:D,3,FALSE)))</f>
        <v>Paper</v>
      </c>
      <c r="G72" s="75">
        <f>IF(A72="",0,VLOOKUP(A72,REFCE!A:D,2,FALSE))</f>
        <v>2.5000000000000001E-2</v>
      </c>
      <c r="H72" s="2">
        <f t="shared" si="8"/>
        <v>0</v>
      </c>
      <c r="I72" t="str">
        <f>IF(ISNA(VLOOKUP(A72,REFCE!A:D,3,FALSE)),"",(VLOOKUP(A72,REFCE!A:D,3,FALSE)))</f>
        <v>Paper</v>
      </c>
      <c r="J72" s="12" t="str">
        <f>IF(ISNA(VLOOKUP(A72,REFCE!A:D,4,FALSE)),"",(VLOOKUP(A72,REFCE!A:D,4,FALSE)))</f>
        <v>SCR-CARDBOARD</v>
      </c>
      <c r="K72" t="str">
        <f>IF(ISNA(VLOOKUP(A72,REFCE!A:G,5,FALSE)),"",(VLOOKUP(A72,REFCE!A:G,5,FALSE)))</f>
        <v>QScr</v>
      </c>
      <c r="L72" t="str">
        <f>IF(ISNA(VLOOKUP(A72,REFCE!A:G,7,FALSE)),"",(VLOOKUP(A72,REFCE!A:G,7,FALSE)))</f>
        <v>S</v>
      </c>
    </row>
    <row r="73" spans="1:12" x14ac:dyDescent="0.25">
      <c r="A73" t="s">
        <v>145</v>
      </c>
      <c r="B73" s="6">
        <f>IF(VLOOKUP(A73,PALLETS!A:C,2,FALSE)="",0,VLOOKUP(A73,PALLETS!A:C,2,FALSE))</f>
        <v>0</v>
      </c>
      <c r="C73" s="6">
        <f t="shared" si="6"/>
        <v>0</v>
      </c>
      <c r="D73" s="6">
        <f>IF(VLOOKUP(A73,PALLETS!A:C,3,FALSE)=0,0,(VLOOKUP(A73,PALLETS!A:C,3,FALSE))/C73)</f>
        <v>0</v>
      </c>
      <c r="E73" s="6">
        <f t="shared" si="7"/>
        <v>0</v>
      </c>
      <c r="F73" t="str">
        <f>IF(ISNA(VLOOKUP(A73,REFCE!A:D,3,FALSE)),"",(VLOOKUP(A73,REFCE!A:D,3,FALSE)))</f>
        <v>Plastic</v>
      </c>
      <c r="G73" s="75">
        <f>IF(A73="",0,VLOOKUP(A73,REFCE!A:D,2,FALSE))</f>
        <v>2.5000000000000001E-2</v>
      </c>
      <c r="H73" s="2">
        <f t="shared" si="8"/>
        <v>0</v>
      </c>
      <c r="I73" t="str">
        <f>IF(ISNA(VLOOKUP(A73,REFCE!A:D,3,FALSE)),"",(VLOOKUP(A73,REFCE!A:D,3,FALSE)))</f>
        <v>Plastic</v>
      </c>
      <c r="J73" s="12" t="str">
        <f>IF(ISNA(VLOOKUP(A73,REFCE!A:D,4,FALSE)),"",(VLOOKUP(A73,REFCE!A:D,4,FALSE)))</f>
        <v>SCR-PLA-T</v>
      </c>
      <c r="K73" t="str">
        <f>IF(ISNA(VLOOKUP(A73,REFCE!A:G,5,FALSE)),"",(VLOOKUP(A73,REFCE!A:G,5,FALSE)))</f>
        <v>QScr</v>
      </c>
      <c r="L73" t="str">
        <f>IF(ISNA(VLOOKUP(A73,REFCE!A:G,7,FALSE)),"",(VLOOKUP(A73,REFCE!A:G,7,FALSE)))</f>
        <v>S</v>
      </c>
    </row>
    <row r="74" spans="1:12" x14ac:dyDescent="0.25">
      <c r="A74" t="s">
        <v>146</v>
      </c>
      <c r="B74" s="6">
        <f>IF(VLOOKUP(A74,PALLETS!A:C,2,FALSE)="",0,VLOOKUP(A74,PALLETS!A:C,2,FALSE))</f>
        <v>0</v>
      </c>
      <c r="C74" s="6">
        <f t="shared" si="6"/>
        <v>0</v>
      </c>
      <c r="D74" s="6">
        <f>IF(VLOOKUP(A74,PALLETS!A:C,3,FALSE)=0,0,(VLOOKUP(A74,PALLETS!A:C,3,FALSE))/C74)</f>
        <v>0</v>
      </c>
      <c r="E74" s="6">
        <f t="shared" si="7"/>
        <v>0</v>
      </c>
      <c r="F74" t="str">
        <f>IF(ISNA(VLOOKUP(A74,REFCE!A:D,3,FALSE)),"",(VLOOKUP(A74,REFCE!A:D,3,FALSE)))</f>
        <v>Rubber</v>
      </c>
      <c r="G74" s="75">
        <f>IF(A74="",0,VLOOKUP(A74,REFCE!A:D,2,FALSE))</f>
        <v>2.5000000000000001E-2</v>
      </c>
      <c r="H74" s="2">
        <f t="shared" si="8"/>
        <v>0</v>
      </c>
      <c r="I74" t="str">
        <f>IF(ISNA(VLOOKUP(A74,REFCE!A:D,3,FALSE)),"",(VLOOKUP(A74,REFCE!A:D,3,FALSE)))</f>
        <v>Rubber</v>
      </c>
      <c r="J74" s="12" t="str">
        <f>IF(ISNA(VLOOKUP(A74,REFCE!A:D,4,FALSE)),"",(VLOOKUP(A74,REFCE!A:D,4,FALSE)))</f>
        <v>SCR-RUBBER-T</v>
      </c>
      <c r="K74" t="str">
        <f>IF(ISNA(VLOOKUP(A74,REFCE!A:G,5,FALSE)),"",(VLOOKUP(A74,REFCE!A:G,5,FALSE)))</f>
        <v>QScr</v>
      </c>
      <c r="L74" t="str">
        <f>IF(ISNA(VLOOKUP(A74,REFCE!A:G,7,FALSE)),"",(VLOOKUP(A74,REFCE!A:G,7,FALSE)))</f>
        <v>S</v>
      </c>
    </row>
    <row r="75" spans="1:12" x14ac:dyDescent="0.25">
      <c r="A75" t="s">
        <v>147</v>
      </c>
      <c r="B75" s="6">
        <f>IF(VLOOKUP(A75,PALLETS!A:C,2,FALSE)="",0,VLOOKUP(A75,PALLETS!A:C,2,FALSE))</f>
        <v>0</v>
      </c>
      <c r="C75" s="6">
        <f t="shared" si="6"/>
        <v>0</v>
      </c>
      <c r="D75" s="6">
        <f>IF(VLOOKUP(A75,PALLETS!A:C,3,FALSE)=0,0,(VLOOKUP(A75,PALLETS!A:C,3,FALSE))/C75)</f>
        <v>0</v>
      </c>
      <c r="E75" s="6">
        <f t="shared" si="7"/>
        <v>0</v>
      </c>
      <c r="F75" t="str">
        <f>IF(ISNA(VLOOKUP(A75,REFCE!A:D,3,FALSE)),"",(VLOOKUP(A75,REFCE!A:D,3,FALSE)))</f>
        <v>Steel</v>
      </c>
      <c r="G75" s="75">
        <f>IF(A75="",0,VLOOKUP(A75,REFCE!A:D,2,FALSE))</f>
        <v>2.5000000000000001E-2</v>
      </c>
      <c r="H75" s="2">
        <f t="shared" si="8"/>
        <v>0</v>
      </c>
      <c r="I75" t="str">
        <f>IF(ISNA(VLOOKUP(A75,REFCE!A:D,3,FALSE)),"",(VLOOKUP(A75,REFCE!A:D,3,FALSE)))</f>
        <v>Steel</v>
      </c>
      <c r="J75" s="12" t="str">
        <f>IF(ISNA(VLOOKUP(A75,REFCE!A:D,4,FALSE)),"",(VLOOKUP(A75,REFCE!A:D,4,FALSE)))</f>
        <v>SCR-STEEL-T</v>
      </c>
      <c r="K75" t="str">
        <f>IF(ISNA(VLOOKUP(A75,REFCE!A:G,5,FALSE)),"",(VLOOKUP(A75,REFCE!A:G,5,FALSE)))</f>
        <v>QScr</v>
      </c>
      <c r="L75" t="str">
        <f>IF(ISNA(VLOOKUP(A75,REFCE!A:G,7,FALSE)),"",(VLOOKUP(A75,REFCE!A:G,7,FALSE)))</f>
        <v>S</v>
      </c>
    </row>
    <row r="76" spans="1:12" x14ac:dyDescent="0.25">
      <c r="A76" t="s">
        <v>148</v>
      </c>
      <c r="B76" s="6">
        <f>IF(VLOOKUP(A76,PALLETS!A:C,2,FALSE)="",0,VLOOKUP(A76,PALLETS!A:C,2,FALSE))</f>
        <v>0</v>
      </c>
      <c r="C76" s="6">
        <f t="shared" si="6"/>
        <v>0</v>
      </c>
      <c r="D76" s="6">
        <f>IF(VLOOKUP(A76,PALLETS!A:C,3,FALSE)=0,0,(VLOOKUP(A76,PALLETS!A:C,3,FALSE))/C76)</f>
        <v>0</v>
      </c>
      <c r="E76" s="6">
        <f t="shared" si="7"/>
        <v>0</v>
      </c>
      <c r="F76" t="str">
        <f>IF(ISNA(VLOOKUP(A76,REFCE!A:D,3,FALSE)),"",(VLOOKUP(A76,REFCE!A:D,3,FALSE)))</f>
        <v>Wood</v>
      </c>
      <c r="G76" s="75">
        <f>IF(A76="",0,VLOOKUP(A76,REFCE!A:D,2,FALSE))</f>
        <v>2.5000000000000001E-2</v>
      </c>
      <c r="H76" s="2">
        <f t="shared" si="8"/>
        <v>0</v>
      </c>
      <c r="I76" t="str">
        <f>IF(ISNA(VLOOKUP(A76,REFCE!A:D,3,FALSE)),"",(VLOOKUP(A76,REFCE!A:D,3,FALSE)))</f>
        <v>Wood</v>
      </c>
      <c r="J76" s="12" t="str">
        <f>IF(ISNA(VLOOKUP(A76,REFCE!A:D,4,FALSE)),"",(VLOOKUP(A76,REFCE!A:D,4,FALSE)))</f>
        <v>SCR-WOOD</v>
      </c>
      <c r="K76" t="str">
        <f>IF(ISNA(VLOOKUP(A76,REFCE!A:G,5,FALSE)),"",(VLOOKUP(A76,REFCE!A:G,5,FALSE)))</f>
        <v>QScr</v>
      </c>
      <c r="L76" t="str">
        <f>IF(ISNA(VLOOKUP(A76,REFCE!A:G,7,FALSE)),"",(VLOOKUP(A76,REFCE!A:G,7,FALSE)))</f>
        <v>S</v>
      </c>
    </row>
    <row r="77" spans="1:12" x14ac:dyDescent="0.25">
      <c r="A77" t="s">
        <v>276</v>
      </c>
      <c r="B77" s="6">
        <f>IF(VLOOKUP(A77,PALLETS!A:C,2,FALSE)="",0,VLOOKUP(A77,PALLETS!A:C,2,FALSE))</f>
        <v>0</v>
      </c>
      <c r="C77" s="6">
        <f t="shared" si="6"/>
        <v>0</v>
      </c>
      <c r="D77" s="6">
        <f>IF(VLOOKUP(A77,PALLETS!A:C,3,FALSE)=0,0,(VLOOKUP(A77,PALLETS!A:C,3,FALSE))/C77)</f>
        <v>0</v>
      </c>
      <c r="E77" s="6">
        <f t="shared" si="7"/>
        <v>0</v>
      </c>
      <c r="F77" t="str">
        <f>IF(ISNA(VLOOKUP(A77,REFCE!A:D,3,FALSE)),"",(VLOOKUP(A77,REFCE!A:D,3,FALSE)))</f>
        <v>Misc</v>
      </c>
      <c r="G77" s="75">
        <f>IF(A77="",0,VLOOKUP(A77,REFCE!A:D,2,FALSE))</f>
        <v>0</v>
      </c>
      <c r="H77" s="2">
        <f t="shared" si="8"/>
        <v>0</v>
      </c>
      <c r="I77" t="str">
        <f>IF(ISNA(VLOOKUP(A77,REFCE!A:D,3,FALSE)),"",(VLOOKUP(A77,REFCE!A:D,3,FALSE)))</f>
        <v>Misc</v>
      </c>
      <c r="J77" s="12" t="str">
        <f>IF(ISNA(VLOOKUP(A77,REFCE!A:D,4,FALSE)),"",(VLOOKUP(A77,REFCE!A:D,4,FALSE)))</f>
        <v xml:space="preserve"> </v>
      </c>
      <c r="K77" t="str">
        <f>IF(ISNA(VLOOKUP(A77,REFCE!A:G,5,FALSE)),"",(VLOOKUP(A77,REFCE!A:G,5,FALSE)))</f>
        <v>QScr</v>
      </c>
      <c r="L77" t="str">
        <f>IF(ISNA(VLOOKUP(A77,REFCE!A:G,7,FALSE)),"",(VLOOKUP(A77,REFCE!A:G,7,FALSE)))</f>
        <v>CA</v>
      </c>
    </row>
  </sheetData>
  <autoFilter ref="A1:L76"/>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4:B18"/>
  <sheetViews>
    <sheetView workbookViewId="0">
      <selection activeCell="C10" sqref="C10"/>
    </sheetView>
  </sheetViews>
  <sheetFormatPr defaultRowHeight="15" x14ac:dyDescent="0.25"/>
  <cols>
    <col min="1" max="1" width="18.42578125" bestFit="1" customWidth="1"/>
  </cols>
  <sheetData>
    <row r="4" spans="1:2" x14ac:dyDescent="0.25">
      <c r="A4" s="1" t="s">
        <v>62</v>
      </c>
      <c r="B4" s="1" t="s">
        <v>261</v>
      </c>
    </row>
    <row r="5" spans="1:2" x14ac:dyDescent="0.25">
      <c r="A5" s="1" t="s">
        <v>65</v>
      </c>
      <c r="B5" s="1">
        <v>0.23</v>
      </c>
    </row>
    <row r="6" spans="1:2" x14ac:dyDescent="0.25">
      <c r="A6" s="1" t="s">
        <v>274</v>
      </c>
      <c r="B6" s="1">
        <v>0.23</v>
      </c>
    </row>
    <row r="7" spans="1:2" x14ac:dyDescent="0.25">
      <c r="A7" s="1" t="s">
        <v>41</v>
      </c>
      <c r="B7" s="1">
        <v>0.23</v>
      </c>
    </row>
    <row r="8" spans="1:2" x14ac:dyDescent="0.25">
      <c r="A8" s="1" t="s">
        <v>27</v>
      </c>
      <c r="B8" s="1">
        <v>0.23</v>
      </c>
    </row>
    <row r="9" spans="1:2" x14ac:dyDescent="0.25">
      <c r="A9" s="1" t="s">
        <v>24</v>
      </c>
      <c r="B9" s="1">
        <v>0.23</v>
      </c>
    </row>
    <row r="10" spans="1:2" x14ac:dyDescent="0.25">
      <c r="A10" s="1" t="s">
        <v>29</v>
      </c>
      <c r="B10" s="1">
        <v>0.23</v>
      </c>
    </row>
    <row r="11" spans="1:2" x14ac:dyDescent="0.25">
      <c r="A11" s="1" t="s">
        <v>86</v>
      </c>
      <c r="B11" s="1">
        <v>0.23</v>
      </c>
    </row>
    <row r="12" spans="1:2" x14ac:dyDescent="0.25">
      <c r="A12" s="1" t="s">
        <v>66</v>
      </c>
      <c r="B12" s="1">
        <v>0.23</v>
      </c>
    </row>
    <row r="13" spans="1:2" x14ac:dyDescent="0.25">
      <c r="A13" s="1" t="s">
        <v>25</v>
      </c>
      <c r="B13" s="1">
        <v>0.23</v>
      </c>
    </row>
    <row r="14" spans="1:2" x14ac:dyDescent="0.25">
      <c r="A14" s="1" t="s">
        <v>23</v>
      </c>
      <c r="B14" s="1">
        <v>0.23</v>
      </c>
    </row>
    <row r="15" spans="1:2" x14ac:dyDescent="0.25">
      <c r="A15" s="1" t="s">
        <v>26</v>
      </c>
      <c r="B15" s="1">
        <v>0.23</v>
      </c>
    </row>
    <row r="16" spans="1:2" x14ac:dyDescent="0.25">
      <c r="A16" s="1" t="s">
        <v>22</v>
      </c>
      <c r="B16" s="1">
        <v>0.23</v>
      </c>
    </row>
    <row r="17" spans="1:2" x14ac:dyDescent="0.25">
      <c r="A17" s="1" t="s">
        <v>28</v>
      </c>
      <c r="B17" s="1">
        <v>0.23</v>
      </c>
    </row>
    <row r="18" spans="1:2" x14ac:dyDescent="0.25">
      <c r="A18" s="1" t="s">
        <v>276</v>
      </c>
      <c r="B18" s="1">
        <v>0.23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14</vt:i4>
      </vt:variant>
    </vt:vector>
  </HeadingPairs>
  <TitlesOfParts>
    <vt:vector size="26" baseType="lpstr">
      <vt:lpstr>MACRO</vt:lpstr>
      <vt:lpstr>DATA</vt:lpstr>
      <vt:lpstr>COVERPAGE</vt:lpstr>
      <vt:lpstr>PARTS</vt:lpstr>
      <vt:lpstr>UNLOAD</vt:lpstr>
      <vt:lpstr>PALLETS</vt:lpstr>
      <vt:lpstr>TOTALS</vt:lpstr>
      <vt:lpstr>PIVOT</vt:lpstr>
      <vt:lpstr>COD</vt:lpstr>
      <vt:lpstr>REFCE</vt:lpstr>
      <vt:lpstr>LOOKUP</vt:lpstr>
      <vt:lpstr>HANDLING</vt:lpstr>
      <vt:lpstr>COVERPAGE!_GoBack</vt:lpstr>
      <vt:lpstr>CITY</vt:lpstr>
      <vt:lpstr>LOCATION</vt:lpstr>
      <vt:lpstr>COD!Print_Area</vt:lpstr>
      <vt:lpstr>COVERPAGE!Print_Area</vt:lpstr>
      <vt:lpstr>PALLETS!Print_Area</vt:lpstr>
      <vt:lpstr>REFCE!Print_Area</vt:lpstr>
      <vt:lpstr>TOTALS!Print_Area</vt:lpstr>
      <vt:lpstr>UNLOAD!Print_Area</vt:lpstr>
      <vt:lpstr>PALLETS!Print_Titles</vt:lpstr>
      <vt:lpstr>PIVOT!Print_Titles</vt:lpstr>
      <vt:lpstr>REFCE!Print_Titles</vt:lpstr>
      <vt:lpstr>TOTALS!Print_Titles</vt:lpstr>
      <vt:lpstr>UNLOAD!Print_Titles</vt:lpstr>
    </vt:vector>
  </TitlesOfParts>
  <Company>Toyota Motor Sales, USA,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Melenito Manguinao</dc:creator>
  <cp:lastModifiedBy>Lauren Cooper</cp:lastModifiedBy>
  <cp:lastPrinted>2017-12-06T18:19:55Z</cp:lastPrinted>
  <dcterms:created xsi:type="dcterms:W3CDTF">2015-06-19T19:16:56Z</dcterms:created>
  <dcterms:modified xsi:type="dcterms:W3CDTF">2018-01-05T16:38:38Z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aacb7cc7-6c51-4213-a5f2-5c2784bfa8eb</vt:lpwstr>
  </property>
  <property fmtid="{D5CDD505-2E9C-101B-9397-08002B2CF9AE}" pid="3" name="xClassification">
    <vt:lpwstr> </vt:lpwstr>
  </property>
</Properties>
</file>